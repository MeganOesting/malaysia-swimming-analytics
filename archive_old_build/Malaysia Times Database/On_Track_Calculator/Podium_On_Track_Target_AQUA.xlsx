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 Tables 25" sheetId="1" r:id="rId4"/>
    <sheet state="visible" name="Podium Target Times" sheetId="2" r:id="rId5"/>
    <sheet state="visible" name="AQUA POINTS" sheetId="3" r:id="rId6"/>
  </sheets>
  <definedNames/>
  <calcPr/>
</workbook>
</file>

<file path=xl/sharedStrings.xml><?xml version="1.0" encoding="utf-8"?>
<sst xmlns="http://schemas.openxmlformats.org/spreadsheetml/2006/main" count="2069" uniqueCount="562">
  <si>
    <t>Gender</t>
  </si>
  <si>
    <t>Event</t>
  </si>
  <si>
    <t>Age</t>
  </si>
  <si>
    <t>Canada Track</t>
  </si>
  <si>
    <t>Canada Track Time</t>
  </si>
  <si>
    <t>Canada Track Time in Seconds</t>
  </si>
  <si>
    <t>Average Progression Delta</t>
  </si>
  <si>
    <t>Average Progression Delta VALUE ONLY</t>
  </si>
  <si>
    <t>Canada Entry Age</t>
  </si>
  <si>
    <t>Canada Arrival Age</t>
  </si>
  <si>
    <t>Malaysia Arrival Time (SEA BRONZE)</t>
  </si>
  <si>
    <t>Malaysia Track Time in Seconds</t>
  </si>
  <si>
    <t>Malaysia Track Time</t>
  </si>
  <si>
    <t>Malaysia Track AQUA</t>
  </si>
  <si>
    <t>F</t>
  </si>
  <si>
    <t>100 Back</t>
  </si>
  <si>
    <t>1:05.85</t>
  </si>
  <si>
    <t>1:03.87</t>
  </si>
  <si>
    <t>1:04.75</t>
  </si>
  <si>
    <t>1:02.34</t>
  </si>
  <si>
    <t>1:03.20</t>
  </si>
  <si>
    <t>1:03.66</t>
  </si>
  <si>
    <t>1:01.22</t>
  </si>
  <si>
    <t>1:02.06</t>
  </si>
  <si>
    <t>1:02.52</t>
  </si>
  <si>
    <t>1:00.46</t>
  </si>
  <si>
    <t>1:01.29</t>
  </si>
  <si>
    <t>1:01.74</t>
  </si>
  <si>
    <t>1:00.79</t>
  </si>
  <si>
    <t>1:01.23</t>
  </si>
  <si>
    <t>1:00.90</t>
  </si>
  <si>
    <t>1:00.66</t>
  </si>
  <si>
    <t>100 Breast</t>
  </si>
  <si>
    <t>1:09.68</t>
  </si>
  <si>
    <t>1:08.45</t>
  </si>
  <si>
    <t>1:09.15</t>
  </si>
  <si>
    <t>1:07.71</t>
  </si>
  <si>
    <t>1:08.40</t>
  </si>
  <si>
    <t>1:08.94</t>
  </si>
  <si>
    <t>1:07.24</t>
  </si>
  <si>
    <t>1:07.92</t>
  </si>
  <si>
    <t>1:08.46</t>
  </si>
  <si>
    <t>1:06.87</t>
  </si>
  <si>
    <t>1:07.55</t>
  </si>
  <si>
    <t>1:08.08</t>
  </si>
  <si>
    <t>1:07.20</t>
  </si>
  <si>
    <t>1:07.73</t>
  </si>
  <si>
    <t>1:07.39</t>
  </si>
  <si>
    <t>1:07.10</t>
  </si>
  <si>
    <t>100 Fly</t>
  </si>
  <si>
    <t>1:01.67</t>
  </si>
  <si>
    <t>1:00.43</t>
  </si>
  <si>
    <t>1:01.15</t>
  </si>
  <si>
    <t>59.56</t>
  </si>
  <si>
    <t>1:00.27</t>
  </si>
  <si>
    <t>1:00.47</t>
  </si>
  <si>
    <t>59.57</t>
  </si>
  <si>
    <t>59.77</t>
  </si>
  <si>
    <t>58.33</t>
  </si>
  <si>
    <t>59.03</t>
  </si>
  <si>
    <t>59.22</t>
  </si>
  <si>
    <t>58.60</t>
  </si>
  <si>
    <t>58.80</t>
  </si>
  <si>
    <t>58.52</t>
  </si>
  <si>
    <t>58.38</t>
  </si>
  <si>
    <t>100 Free</t>
  </si>
  <si>
    <t>56.85</t>
  </si>
  <si>
    <t>55.76</t>
  </si>
  <si>
    <t>56.38</t>
  </si>
  <si>
    <t>55.07</t>
  </si>
  <si>
    <t>55.68</t>
  </si>
  <si>
    <t>55.99</t>
  </si>
  <si>
    <t>54.62</t>
  </si>
  <si>
    <t>55.22</t>
  </si>
  <si>
    <t>55.53</t>
  </si>
  <si>
    <t>54.25</t>
  </si>
  <si>
    <t>54.85</t>
  </si>
  <si>
    <t>55.16</t>
  </si>
  <si>
    <t>54.53</t>
  </si>
  <si>
    <t>54.83</t>
  </si>
  <si>
    <t>54.55</t>
  </si>
  <si>
    <t>54.36</t>
  </si>
  <si>
    <t>1500 Free</t>
  </si>
  <si>
    <t>17:12.17</t>
  </si>
  <si>
    <t>16:52.17</t>
  </si>
  <si>
    <t>16:56.98</t>
  </si>
  <si>
    <t>16:38.19</t>
  </si>
  <si>
    <t>16:42.94</t>
  </si>
  <si>
    <t>16:45.20</t>
  </si>
  <si>
    <t>16:29.65</t>
  </si>
  <si>
    <t>16:34.36</t>
  </si>
  <si>
    <t>16:36.60</t>
  </si>
  <si>
    <t>16:24.56</t>
  </si>
  <si>
    <t>16:29.24</t>
  </si>
  <si>
    <t>16:31.47</t>
  </si>
  <si>
    <t>16:26.24</t>
  </si>
  <si>
    <t>16:28.46</t>
  </si>
  <si>
    <t>16:26.78</t>
  </si>
  <si>
    <t>16:25.53</t>
  </si>
  <si>
    <t>200 Back</t>
  </si>
  <si>
    <t>2:23.84</t>
  </si>
  <si>
    <t>2:18.64</t>
  </si>
  <si>
    <t>2:20.52</t>
  </si>
  <si>
    <t>2:14.97</t>
  </si>
  <si>
    <t>2:16.80</t>
  </si>
  <si>
    <t>2:17.67</t>
  </si>
  <si>
    <t>2:12.63</t>
  </si>
  <si>
    <t>2:14.43</t>
  </si>
  <si>
    <t>2:15.28</t>
  </si>
  <si>
    <t>2:11.08</t>
  </si>
  <si>
    <t>2:12.86</t>
  </si>
  <si>
    <t>2:13.70</t>
  </si>
  <si>
    <t>2:11.79</t>
  </si>
  <si>
    <t>2:11.91</t>
  </si>
  <si>
    <t>2:11.40</t>
  </si>
  <si>
    <t>200 Breast</t>
  </si>
  <si>
    <t>2:31.21</t>
  </si>
  <si>
    <t>2:28.85</t>
  </si>
  <si>
    <t>2:30.01</t>
  </si>
  <si>
    <t>2:27.43</t>
  </si>
  <si>
    <t>2:28.58</t>
  </si>
  <si>
    <t>2:29.19</t>
  </si>
  <si>
    <t>2:26.60</t>
  </si>
  <si>
    <t>2:27.74</t>
  </si>
  <si>
    <t>2:28.35</t>
  </si>
  <si>
    <t>2:25.91</t>
  </si>
  <si>
    <t>2:27.05</t>
  </si>
  <si>
    <t>2:27.66</t>
  </si>
  <si>
    <t>2:26.41</t>
  </si>
  <si>
    <t>2:27.01</t>
  </si>
  <si>
    <t>2:26.51</t>
  </si>
  <si>
    <t>2:26.14</t>
  </si>
  <si>
    <t>200 Fly</t>
  </si>
  <si>
    <t>2:18.48</t>
  </si>
  <si>
    <t>2:14.47</t>
  </si>
  <si>
    <t>2:15.86</t>
  </si>
  <si>
    <t>2:11.84</t>
  </si>
  <si>
    <t>2:13.20</t>
  </si>
  <si>
    <t>2:13.77</t>
  </si>
  <si>
    <t>2:10.18</t>
  </si>
  <si>
    <t>2:11.53</t>
  </si>
  <si>
    <t>2:12.08</t>
  </si>
  <si>
    <t>2:09.21</t>
  </si>
  <si>
    <t>2:10.55</t>
  </si>
  <si>
    <t>2:11.10</t>
  </si>
  <si>
    <t>2:09.78</t>
  </si>
  <si>
    <t>2:10.33</t>
  </si>
  <si>
    <t>2:09.76</t>
  </si>
  <si>
    <t>2:09.39</t>
  </si>
  <si>
    <t>200 Free</t>
  </si>
  <si>
    <t>2:06.51</t>
  </si>
  <si>
    <t>2:02.98</t>
  </si>
  <si>
    <t>2:04.11</t>
  </si>
  <si>
    <t>2:00.67</t>
  </si>
  <si>
    <t>2:01.78</t>
  </si>
  <si>
    <t>2:02.25</t>
  </si>
  <si>
    <t>1:59.20</t>
  </si>
  <si>
    <t>2:00.30</t>
  </si>
  <si>
    <t>2:00.76</t>
  </si>
  <si>
    <t>1:58.23</t>
  </si>
  <si>
    <t>1:59.32</t>
  </si>
  <si>
    <t>1:59.77</t>
  </si>
  <si>
    <t>1:58.69</t>
  </si>
  <si>
    <t>1:59.15</t>
  </si>
  <si>
    <t>1:58.68</t>
  </si>
  <si>
    <t>1:58.39</t>
  </si>
  <si>
    <t>200 IM</t>
  </si>
  <si>
    <t>2:18.51</t>
  </si>
  <si>
    <t>2:15.93</t>
  </si>
  <si>
    <t>2:16.89</t>
  </si>
  <si>
    <t>2:14.41</t>
  </si>
  <si>
    <t>2:15.36</t>
  </si>
  <si>
    <t>2:15.76</t>
  </si>
  <si>
    <t>2:13.47</t>
  </si>
  <si>
    <t>2:14.42</t>
  </si>
  <si>
    <t>2:14.82</t>
  </si>
  <si>
    <t>2:14.17</t>
  </si>
  <si>
    <t>2:13.25</t>
  </si>
  <si>
    <t>2:13.65</t>
  </si>
  <si>
    <t>2:12.83</t>
  </si>
  <si>
    <t>2:13.22</t>
  </si>
  <si>
    <t>2:12.95</t>
  </si>
  <si>
    <t>400 Free</t>
  </si>
  <si>
    <t>4:25.42</t>
  </si>
  <si>
    <t>4:18.86</t>
  </si>
  <si>
    <t>4:20.27</t>
  </si>
  <si>
    <t>4:14.48</t>
  </si>
  <si>
    <t>4:15.87</t>
  </si>
  <si>
    <t>4:16.35</t>
  </si>
  <si>
    <t>4:11.78</t>
  </si>
  <si>
    <t>4:13.16</t>
  </si>
  <si>
    <t>4:13.63</t>
  </si>
  <si>
    <t>4:10.23</t>
  </si>
  <si>
    <t>4:11.60</t>
  </si>
  <si>
    <t>4:12.07</t>
  </si>
  <si>
    <t>4:10.74</t>
  </si>
  <si>
    <t>4:11.21</t>
  </si>
  <si>
    <t>4:10.70</t>
  </si>
  <si>
    <t>4:10.35</t>
  </si>
  <si>
    <t>400 IM</t>
  </si>
  <si>
    <t>5:09.36</t>
  </si>
  <si>
    <t>4:58.88</t>
  </si>
  <si>
    <t>5:01.95</t>
  </si>
  <si>
    <t>4:51.23</t>
  </si>
  <si>
    <t>4:54.23</t>
  </si>
  <si>
    <t>4:54.88</t>
  </si>
  <si>
    <t>4:46.20</t>
  </si>
  <si>
    <t>4:49.15</t>
  </si>
  <si>
    <t>4:49.79</t>
  </si>
  <si>
    <t>4:43.06</t>
  </si>
  <si>
    <t>4:45.98</t>
  </si>
  <si>
    <t>4:46.61</t>
  </si>
  <si>
    <t>4:44.11</t>
  </si>
  <si>
    <t>4:44.74</t>
  </si>
  <si>
    <t>4:43.69</t>
  </si>
  <si>
    <t>4:43.24</t>
  </si>
  <si>
    <t>50 Back</t>
  </si>
  <si>
    <t>29.29</t>
  </si>
  <si>
    <t>28.78</t>
  </si>
  <si>
    <t>29.02</t>
  </si>
  <si>
    <t>28.52</t>
  </si>
  <si>
    <t>28.76</t>
  </si>
  <si>
    <t>28.90</t>
  </si>
  <si>
    <t>28.36</t>
  </si>
  <si>
    <t>28.60</t>
  </si>
  <si>
    <t>28.73</t>
  </si>
  <si>
    <t>28.22</t>
  </si>
  <si>
    <t>28.46</t>
  </si>
  <si>
    <t>28.59</t>
  </si>
  <si>
    <t>28.32</t>
  </si>
  <si>
    <t>28.35</t>
  </si>
  <si>
    <t>28.28</t>
  </si>
  <si>
    <t>50 Breast</t>
  </si>
  <si>
    <t>31.56</t>
  </si>
  <si>
    <t>31.20</t>
  </si>
  <si>
    <t>31.35</t>
  </si>
  <si>
    <t>31.00</t>
  </si>
  <si>
    <t>31.15</t>
  </si>
  <si>
    <t>31.19</t>
  </si>
  <si>
    <t>30.86</t>
  </si>
  <si>
    <t>31.01</t>
  </si>
  <si>
    <t>31.05</t>
  </si>
  <si>
    <t>30.75</t>
  </si>
  <si>
    <t>30.90</t>
  </si>
  <si>
    <t>30.94</t>
  </si>
  <si>
    <t>30.81</t>
  </si>
  <si>
    <t>30.85</t>
  </si>
  <si>
    <t>30.79</t>
  </si>
  <si>
    <t>50 Fly</t>
  </si>
  <si>
    <t>26.98</t>
  </si>
  <si>
    <t>26.71</t>
  </si>
  <si>
    <t>26.81</t>
  </si>
  <si>
    <t>26.50</t>
  </si>
  <si>
    <t>26.60</t>
  </si>
  <si>
    <t>26.61</t>
  </si>
  <si>
    <t>26.34</t>
  </si>
  <si>
    <t>26.43</t>
  </si>
  <si>
    <t>26.45</t>
  </si>
  <si>
    <t>26.23</t>
  </si>
  <si>
    <t>26.33</t>
  </si>
  <si>
    <t>26.27</t>
  </si>
  <si>
    <t>26.28</t>
  </si>
  <si>
    <t>26.24</t>
  </si>
  <si>
    <t>50 Free</t>
  </si>
  <si>
    <t>25.66</t>
  </si>
  <si>
    <t>25.40</t>
  </si>
  <si>
    <t>25.68</t>
  </si>
  <si>
    <t>25.20</t>
  </si>
  <si>
    <t>25.48</t>
  </si>
  <si>
    <t>25.64</t>
  </si>
  <si>
    <t>25.02</t>
  </si>
  <si>
    <t>25.30</t>
  </si>
  <si>
    <t>25.47</t>
  </si>
  <si>
    <t>24.86</t>
  </si>
  <si>
    <t>25.14</t>
  </si>
  <si>
    <t>24.99</t>
  </si>
  <si>
    <t>25.15</t>
  </si>
  <si>
    <t>24.93</t>
  </si>
  <si>
    <t>800 Free</t>
  </si>
  <si>
    <t>9:04.09</t>
  </si>
  <si>
    <t>8:51.31</t>
  </si>
  <si>
    <t>8:54.21</t>
  </si>
  <si>
    <t>8:42.92</t>
  </si>
  <si>
    <t>8:45.77</t>
  </si>
  <si>
    <t>8:46.60</t>
  </si>
  <si>
    <t>8:37.81</t>
  </si>
  <si>
    <t>8:40.64</t>
  </si>
  <si>
    <t>8:41.46</t>
  </si>
  <si>
    <t>8:34.62</t>
  </si>
  <si>
    <t>8:37.43</t>
  </si>
  <si>
    <t>8:38.25</t>
  </si>
  <si>
    <t>8:35.61</t>
  </si>
  <si>
    <t>8:36.42</t>
  </si>
  <si>
    <t>8:35.43</t>
  </si>
  <si>
    <t>8:34.90</t>
  </si>
  <si>
    <t>M</t>
  </si>
  <si>
    <t>57.82</t>
  </si>
  <si>
    <t>56.23</t>
  </si>
  <si>
    <t>56.79</t>
  </si>
  <si>
    <t>55.17</t>
  </si>
  <si>
    <t>55.72</t>
  </si>
  <si>
    <t>55.86</t>
  </si>
  <si>
    <t>54.43</t>
  </si>
  <si>
    <t>54.98</t>
  </si>
  <si>
    <t>55.12</t>
  </si>
  <si>
    <t>53.94</t>
  </si>
  <si>
    <t>54.48</t>
  </si>
  <si>
    <t>54.15</t>
  </si>
  <si>
    <t>54.28</t>
  </si>
  <si>
    <t>54.08</t>
  </si>
  <si>
    <t>53.97</t>
  </si>
  <si>
    <t>1:04.06</t>
  </si>
  <si>
    <t>1:02.45</t>
  </si>
  <si>
    <t>1:03.26</t>
  </si>
  <si>
    <t>1:01.25</t>
  </si>
  <si>
    <t>1:02.05</t>
  </si>
  <si>
    <t>1:02.46</t>
  </si>
  <si>
    <t>1:00.37</t>
  </si>
  <si>
    <t>1:01.16</t>
  </si>
  <si>
    <t>1:01.57</t>
  </si>
  <si>
    <t>59.75</t>
  </si>
  <si>
    <t>1:00.53</t>
  </si>
  <si>
    <t>1:00.93</t>
  </si>
  <si>
    <t>1:00.09</t>
  </si>
  <si>
    <t>1:00.48</t>
  </si>
  <si>
    <t>1:00.14</t>
  </si>
  <si>
    <t>59.91</t>
  </si>
  <si>
    <t>55.15</t>
  </si>
  <si>
    <t>53.75</t>
  </si>
  <si>
    <t>54.31</t>
  </si>
  <si>
    <t>52.83</t>
  </si>
  <si>
    <t>53.38</t>
  </si>
  <si>
    <t>53.52</t>
  </si>
  <si>
    <t>52.22</t>
  </si>
  <si>
    <t>52.76</t>
  </si>
  <si>
    <t>52.90</t>
  </si>
  <si>
    <t>51.77</t>
  </si>
  <si>
    <t>52.31</t>
  </si>
  <si>
    <t>52.45</t>
  </si>
  <si>
    <t>51.99</t>
  </si>
  <si>
    <t>52.13</t>
  </si>
  <si>
    <t>51.90</t>
  </si>
  <si>
    <t>51.79</t>
  </si>
  <si>
    <t>53.28</t>
  </si>
  <si>
    <t>51.48</t>
  </si>
  <si>
    <t>52.43</t>
  </si>
  <si>
    <t>50.09</t>
  </si>
  <si>
    <t>51.02</t>
  </si>
  <si>
    <t>51.44</t>
  </si>
  <si>
    <t>49.07</t>
  </si>
  <si>
    <t>49.98</t>
  </si>
  <si>
    <t>50.39</t>
  </si>
  <si>
    <t>48.34</t>
  </si>
  <si>
    <t>49.23</t>
  </si>
  <si>
    <t>49.64</t>
  </si>
  <si>
    <t>48.72</t>
  </si>
  <si>
    <t>49.12</t>
  </si>
  <si>
    <t>48.74</t>
  </si>
  <si>
    <t>48.49</t>
  </si>
  <si>
    <t>16:17.69</t>
  </si>
  <si>
    <t>15:46.32</t>
  </si>
  <si>
    <t>15:53.70</t>
  </si>
  <si>
    <t>15:24.14</t>
  </si>
  <si>
    <t>15:31.34</t>
  </si>
  <si>
    <t>15:33.06</t>
  </si>
  <si>
    <t>15:10.35</t>
  </si>
  <si>
    <t>15:17.45</t>
  </si>
  <si>
    <t>15:19.13</t>
  </si>
  <si>
    <t>15:01.89</t>
  </si>
  <si>
    <t>15:08.92</t>
  </si>
  <si>
    <t>15:10.59</t>
  </si>
  <si>
    <t>15:04.13</t>
  </si>
  <si>
    <t>15:05.79</t>
  </si>
  <si>
    <t>15:03.55</t>
  </si>
  <si>
    <t>15:02.44</t>
  </si>
  <si>
    <t>2:07.63</t>
  </si>
  <si>
    <t>2:03.66</t>
  </si>
  <si>
    <t>2:04.75</t>
  </si>
  <si>
    <t>2:00.86</t>
  </si>
  <si>
    <t>2:01.93</t>
  </si>
  <si>
    <t>2:02.23</t>
  </si>
  <si>
    <t>2:00.21</t>
  </si>
  <si>
    <t>2:00.51</t>
  </si>
  <si>
    <t>1:58.07</t>
  </si>
  <si>
    <t>1:59.12</t>
  </si>
  <si>
    <t>1:59.41</t>
  </si>
  <si>
    <t>1:58.48</t>
  </si>
  <si>
    <t>1:58.77</t>
  </si>
  <si>
    <t>1:58.36</t>
  </si>
  <si>
    <t>1:58.13</t>
  </si>
  <si>
    <t>2:23.31</t>
  </si>
  <si>
    <t>2:18.55</t>
  </si>
  <si>
    <t>2:20.95</t>
  </si>
  <si>
    <t>2:14.89</t>
  </si>
  <si>
    <t>2:17.24</t>
  </si>
  <si>
    <t>2:18.23</t>
  </si>
  <si>
    <t>2:12.22</t>
  </si>
  <si>
    <t>2:14.51</t>
  </si>
  <si>
    <t>2:15.48</t>
  </si>
  <si>
    <t>2:10.32</t>
  </si>
  <si>
    <t>2:12.58</t>
  </si>
  <si>
    <t>2:13.54</t>
  </si>
  <si>
    <t>2:11.26</t>
  </si>
  <si>
    <t>2:12.21</t>
  </si>
  <si>
    <t>2:10.66</t>
  </si>
  <si>
    <t>2:07.69</t>
  </si>
  <si>
    <t>2:03.12</t>
  </si>
  <si>
    <t>2:04.65</t>
  </si>
  <si>
    <t>1:59.88</t>
  </si>
  <si>
    <t>2:01.37</t>
  </si>
  <si>
    <t>2:01.77</t>
  </si>
  <si>
    <t>1:57.84</t>
  </si>
  <si>
    <t>1:59.30</t>
  </si>
  <si>
    <t>1:59.70</t>
  </si>
  <si>
    <t>1:56.51</t>
  </si>
  <si>
    <t>1:57.95</t>
  </si>
  <si>
    <t>1:58.35</t>
  </si>
  <si>
    <t>1:57.06</t>
  </si>
  <si>
    <t>1:57.45</t>
  </si>
  <si>
    <t>1:56.90</t>
  </si>
  <si>
    <t>1:56.60</t>
  </si>
  <si>
    <t>1:56.62</t>
  </si>
  <si>
    <t>1:52.75</t>
  </si>
  <si>
    <t>1:54.33</t>
  </si>
  <si>
    <t>1:49.93</t>
  </si>
  <si>
    <t>1:51.47</t>
  </si>
  <si>
    <t>1:52.04</t>
  </si>
  <si>
    <t>1:48.02</t>
  </si>
  <si>
    <t>1:49.53</t>
  </si>
  <si>
    <t>1:50.09</t>
  </si>
  <si>
    <t>1:46.70</t>
  </si>
  <si>
    <t>1:48.20</t>
  </si>
  <si>
    <t>1:48.75</t>
  </si>
  <si>
    <t>1:47.30</t>
  </si>
  <si>
    <t>1:47.84</t>
  </si>
  <si>
    <t>1:47.24</t>
  </si>
  <si>
    <t>1:46.88</t>
  </si>
  <si>
    <t>2:06.50</t>
  </si>
  <si>
    <t>2:03.32</t>
  </si>
  <si>
    <t>2:04.42</t>
  </si>
  <si>
    <t>2:01.30</t>
  </si>
  <si>
    <t>2:02.39</t>
  </si>
  <si>
    <t>2:02.59</t>
  </si>
  <si>
    <t>1:59.95</t>
  </si>
  <si>
    <t>2:01.03</t>
  </si>
  <si>
    <t>2:01.22</t>
  </si>
  <si>
    <t>1:59.05</t>
  </si>
  <si>
    <t>2:00.12</t>
  </si>
  <si>
    <t>2:00.31</t>
  </si>
  <si>
    <t>1:59.49</t>
  </si>
  <si>
    <t>1:59.69</t>
  </si>
  <si>
    <t>1:59.24</t>
  </si>
  <si>
    <t>4:08.91</t>
  </si>
  <si>
    <t>4:00.79</t>
  </si>
  <si>
    <t>4:03.63</t>
  </si>
  <si>
    <t>3:54.84</t>
  </si>
  <si>
    <t>3:57.61</t>
  </si>
  <si>
    <t>3:58.24</t>
  </si>
  <si>
    <t>3:50.84</t>
  </si>
  <si>
    <t>3:53.56</t>
  </si>
  <si>
    <t>3:54.18</t>
  </si>
  <si>
    <t>3:48.15</t>
  </si>
  <si>
    <t>3:51.45</t>
  </si>
  <si>
    <t>3:49.11</t>
  </si>
  <si>
    <t>3:49.72</t>
  </si>
  <si>
    <t>3:48.75</t>
  </si>
  <si>
    <t>3:48.27</t>
  </si>
  <si>
    <t>4:38.79</t>
  </si>
  <si>
    <t>4:30.33</t>
  </si>
  <si>
    <t>4:34.00</t>
  </si>
  <si>
    <t>4:24.32</t>
  </si>
  <si>
    <t>4:27.91</t>
  </si>
  <si>
    <t>4:28.61</t>
  </si>
  <si>
    <t>4:20.41</t>
  </si>
  <si>
    <t>4:23.94</t>
  </si>
  <si>
    <t>4:24.63</t>
  </si>
  <si>
    <t>4:17.48</t>
  </si>
  <si>
    <t>4:20.98</t>
  </si>
  <si>
    <t>4:21.66</t>
  </si>
  <si>
    <t>4:18.85</t>
  </si>
  <si>
    <t>4:19.53</t>
  </si>
  <si>
    <t>4:18.15</t>
  </si>
  <si>
    <t>4:17.46</t>
  </si>
  <si>
    <t>27.26</t>
  </si>
  <si>
    <t>26.47</t>
  </si>
  <si>
    <t>26.73</t>
  </si>
  <si>
    <t>25.85</t>
  </si>
  <si>
    <t>26.10</t>
  </si>
  <si>
    <t>26.15</t>
  </si>
  <si>
    <t>25.69</t>
  </si>
  <si>
    <t>25.11</t>
  </si>
  <si>
    <t>25.35</t>
  </si>
  <si>
    <t>25.19</t>
  </si>
  <si>
    <t>25.24</t>
  </si>
  <si>
    <t>25.12</t>
  </si>
  <si>
    <t>28.68</t>
  </si>
  <si>
    <t>28.17</t>
  </si>
  <si>
    <t>28.40</t>
  </si>
  <si>
    <t>27.79</t>
  </si>
  <si>
    <t>28.01</t>
  </si>
  <si>
    <t>28.07</t>
  </si>
  <si>
    <t>27.53</t>
  </si>
  <si>
    <t>27.75</t>
  </si>
  <si>
    <t>27.81</t>
  </si>
  <si>
    <t>27.33</t>
  </si>
  <si>
    <t>27.55</t>
  </si>
  <si>
    <t>27.61</t>
  </si>
  <si>
    <t>27.41</t>
  </si>
  <si>
    <t>27.47</t>
  </si>
  <si>
    <t>27.38</t>
  </si>
  <si>
    <t>27.34</t>
  </si>
  <si>
    <t>24.61</t>
  </si>
  <si>
    <t>24.10</t>
  </si>
  <si>
    <t>24.31</t>
  </si>
  <si>
    <t>23.75</t>
  </si>
  <si>
    <t>23.96</t>
  </si>
  <si>
    <t>24.04</t>
  </si>
  <si>
    <t>23.52</t>
  </si>
  <si>
    <t>23.73</t>
  </si>
  <si>
    <t>23.81</t>
  </si>
  <si>
    <t>23.36</t>
  </si>
  <si>
    <t>23.57</t>
  </si>
  <si>
    <t>23.64</t>
  </si>
  <si>
    <t>23.45</t>
  </si>
  <si>
    <t>23.43</t>
  </si>
  <si>
    <t>23.38</t>
  </si>
  <si>
    <t>23.44</t>
  </si>
  <si>
    <t>22.91</t>
  </si>
  <si>
    <t>23.09</t>
  </si>
  <si>
    <t>22.52</t>
  </si>
  <si>
    <t>22.69</t>
  </si>
  <si>
    <t>22.74</t>
  </si>
  <si>
    <t>22.24</t>
  </si>
  <si>
    <t>22.41</t>
  </si>
  <si>
    <t>22.46</t>
  </si>
  <si>
    <t>22.05</t>
  </si>
  <si>
    <t>22.22</t>
  </si>
  <si>
    <t>22.27</t>
  </si>
  <si>
    <t>22.11</t>
  </si>
  <si>
    <t>22.15</t>
  </si>
  <si>
    <t>22.09</t>
  </si>
  <si>
    <t>22.06</t>
  </si>
  <si>
    <t>8:31.10</t>
  </si>
  <si>
    <t>8:14.62</t>
  </si>
  <si>
    <t>8:20.18</t>
  </si>
  <si>
    <t>8:02.43</t>
  </si>
  <si>
    <t>8:07.85</t>
  </si>
  <si>
    <t>8:09.69</t>
  </si>
  <si>
    <t>7:54.03</t>
  </si>
  <si>
    <t>7:59.36</t>
  </si>
  <si>
    <t>8:01.16</t>
  </si>
  <si>
    <t>7:48.66</t>
  </si>
  <si>
    <t>7:53.93</t>
  </si>
  <si>
    <t>7:55.71</t>
  </si>
  <si>
    <t>7:50.66</t>
  </si>
  <si>
    <t>7:52.43</t>
  </si>
  <si>
    <t>7:50.42</t>
  </si>
  <si>
    <t>7:49.18</t>
  </si>
  <si>
    <t>Time</t>
  </si>
  <si>
    <t>AQUA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</si>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</sst>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49" xfId="0" applyAlignment="1" applyBorder="1" applyFont="1" applyNumberForma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5" fillId="0" fontId="1" numFmtId="2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2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1" fillId="0" fontId="1" numFmtId="2" xfId="0" applyAlignment="1" applyBorder="1" applyFont="1" applyNumberForma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13" fillId="0" fontId="3" numFmtId="4" xfId="0" applyAlignment="1" applyBorder="1" applyFont="1" applyNumberFormat="1">
      <alignment horizontal="center" vertical="bottom"/>
    </xf>
    <xf borderId="13" fillId="0" fontId="2" numFmtId="4" xfId="0" applyAlignment="1" applyBorder="1" applyFont="1" applyNumberFormat="1">
      <alignment vertical="bottom"/>
    </xf>
    <xf borderId="0" fillId="0" fontId="3" numFmtId="4" xfId="0" applyAlignment="1" applyFont="1" applyNumberFormat="1">
      <alignment horizontal="center" vertical="bottom"/>
    </xf>
    <xf borderId="13" fillId="0" fontId="4" numFmtId="4" xfId="0" applyAlignment="1" applyBorder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MOT Tables 25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Podium Target Times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677" displayName="Table2" name="Table2" id="1">
  <tableColumns count="14">
    <tableColumn name="Gender" id="1"/>
    <tableColumn name="Event" id="2"/>
    <tableColumn name="Age" id="3"/>
    <tableColumn name="Canada Track" id="4"/>
    <tableColumn name="Canada Track Time" id="5"/>
    <tableColumn name="Canada Track Time in Seconds" id="6"/>
    <tableColumn name="Average Progression Delta" id="7"/>
    <tableColumn name="Average Progression Delta VALUE ONLY" id="8"/>
    <tableColumn name="Canada Entry Age" id="9"/>
    <tableColumn name="Canada Arrival Age" id="10"/>
    <tableColumn name="Malaysia Arrival Time (SEA BRONZE)" id="11"/>
    <tableColumn name="Malaysia Track Time in Seconds" id="12"/>
    <tableColumn name="Malaysia Track Time" id="13"/>
    <tableColumn name="Malaysia Track AQUA" id="14"/>
  </tableColumns>
  <tableStyleInfo name="MOT Tables 25-style" showColumnStripes="0" showFirstColumn="1" showLastColumn="1" showRowStripes="1"/>
</table>
</file>

<file path=xl/tables/table2.xml><?xml version="1.0" encoding="utf-8"?>
<table xmlns="http://schemas.openxmlformats.org/spreadsheetml/2006/main" ref="A1:D35" displayName="Table1" name="Table1" id="2">
  <tableColumns count="4">
    <tableColumn name="Gender" id="1"/>
    <tableColumn name="Event" id="2"/>
    <tableColumn name="Time" id="3"/>
    <tableColumn name="AQUA" id="4"/>
  </tableColumns>
  <tableStyleInfo name="Podium Target Ti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>
      <c r="A2" s="5" t="s">
        <v>14</v>
      </c>
      <c r="B2" s="6" t="s">
        <v>15</v>
      </c>
      <c r="C2" s="6">
        <v>13.0</v>
      </c>
      <c r="D2" s="6">
        <v>1.0</v>
      </c>
      <c r="E2" s="7" t="s">
        <v>16</v>
      </c>
      <c r="F2" s="8">
        <f>IFERROR(__xludf.DUMMYFUNCTION("IF(
  REGEXMATCH(E2, "":""),
  60*VALUE(INDEX(SPLIT(E2, "":""),1,1)) + VALUE(INDEX(SPLIT(E2, "":""),1,2)),
  VALUE(E2)
)"),65.85)</f>
        <v>65.85</v>
      </c>
      <c r="G2" s="8">
        <v>0.0</v>
      </c>
      <c r="H2" s="8">
        <v>0.0</v>
      </c>
      <c r="I2" s="6">
        <f>C2</f>
        <v>13</v>
      </c>
      <c r="J2" s="6">
        <f>C19</f>
        <v>21</v>
      </c>
      <c r="K2" s="6">
        <f t="array" ref="K2">INDEX('Podium Target Times'!$C:$C, MATCH(A2&amp;B2, 'Podium Target Times'!$A:$A&amp;'Podium Target Times'!$B:$B, 0))
</f>
        <v>63.71</v>
      </c>
      <c r="L2" s="8">
        <f>L3+G3</f>
        <v>71.20833333</v>
      </c>
      <c r="M2" s="6" t="str">
        <f t="shared" ref="M2:M677" si="1">IF(L2&lt;60, TEXT(L2,"0.00"), IF(L2&lt;600, TEXT(L2/86400,"m:ss.00"), TEXT(L2/86400,"mm:ss.00")))
</f>
        <v>1:11.21</v>
      </c>
      <c r="N2" s="9">
        <f>IFERROR(__xludf.DUMMYFUNCTION("LET(
  gen,$A2, ev,$B2, t,$M2,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)"),516.0)</f>
        <v>516</v>
      </c>
    </row>
    <row r="3">
      <c r="A3" s="10" t="s">
        <v>14</v>
      </c>
      <c r="B3" s="11" t="s">
        <v>15</v>
      </c>
      <c r="C3" s="11">
        <v>14.0</v>
      </c>
      <c r="D3" s="11">
        <v>1.0</v>
      </c>
      <c r="E3" s="12" t="s">
        <v>17</v>
      </c>
      <c r="F3" s="13">
        <f>IFERROR(__xludf.DUMMYFUNCTION("IF(
  REGEXMATCH(E3, "":""),
  60*VALUE(INDEX(SPLIT(E3, "":""),1,1)) + VALUE(INDEX(SPLIT(E3, "":""),1,2)),
  VALUE(E3)
)"),63.87)</f>
        <v>63.87</v>
      </c>
      <c r="G3" s="13">
        <f>F2-F3</f>
        <v>1.98</v>
      </c>
      <c r="H3" s="13">
        <v>1.9799999999999969</v>
      </c>
      <c r="I3" s="11">
        <f>C2</f>
        <v>13</v>
      </c>
      <c r="J3" s="11">
        <f>C19</f>
        <v>21</v>
      </c>
      <c r="K3" s="11">
        <f t="array" ref="K3">INDEX('Podium Target Times'!$C:$C, MATCH(A3&amp;B3, 'Podium Target Times'!$A:$A&amp;'Podium Target Times'!$B:$B, 0))
</f>
        <v>63.71</v>
      </c>
      <c r="L3" s="13">
        <f>L5+G5</f>
        <v>69.22833333</v>
      </c>
      <c r="M3" s="11" t="str">
        <f t="shared" si="1"/>
        <v>1:09.23</v>
      </c>
      <c r="N3" s="14">
        <f>IFERROR(__xludf.DUMMYFUNCTION("LET(
  gen,$A3, ev,$B3, t,$M3,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)"),561.0)</f>
        <v>561</v>
      </c>
    </row>
    <row r="4">
      <c r="A4" s="5" t="s">
        <v>14</v>
      </c>
      <c r="B4" s="6" t="s">
        <v>15</v>
      </c>
      <c r="C4" s="6">
        <v>14.0</v>
      </c>
      <c r="D4" s="6">
        <v>2.0</v>
      </c>
      <c r="E4" s="7" t="s">
        <v>18</v>
      </c>
      <c r="F4" s="8">
        <f>IFERROR(__xludf.DUMMYFUNCTION("IF(
  REGEXMATCH(E4, "":""),
  60*VALUE(INDEX(SPLIT(E4, "":""),1,1)) + VALUE(INDEX(SPLIT(E4, "":""),1,2)),
  VALUE(E4)
)"),64.75)</f>
        <v>64.75</v>
      </c>
      <c r="G4" s="8">
        <f>F2-F3</f>
        <v>1.98</v>
      </c>
      <c r="H4" s="8">
        <v>1.9799999999999969</v>
      </c>
      <c r="I4" s="6">
        <f>C2</f>
        <v>13</v>
      </c>
      <c r="J4" s="6">
        <f>C19</f>
        <v>21</v>
      </c>
      <c r="K4" s="6">
        <f t="array" ref="K4">INDEX('Podium Target Times'!$C:$C, MATCH(A4&amp;B4, 'Podium Target Times'!$A:$A&amp;'Podium Target Times'!$B:$B, 0))
</f>
        <v>63.71</v>
      </c>
      <c r="L4" s="8">
        <f>L5+G5</f>
        <v>69.22833333</v>
      </c>
      <c r="M4" s="6" t="str">
        <f t="shared" si="1"/>
        <v>1:09.23</v>
      </c>
      <c r="N4" s="9">
        <f>IFERROR(__xludf.DUMMYFUNCTION("LET(
  gen,$A4, ev,$B4, t,$M4,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)"),561.0)</f>
        <v>561</v>
      </c>
    </row>
    <row r="5">
      <c r="A5" s="10" t="s">
        <v>14</v>
      </c>
      <c r="B5" s="11" t="s">
        <v>15</v>
      </c>
      <c r="C5" s="11">
        <v>15.0</v>
      </c>
      <c r="D5" s="11">
        <v>1.0</v>
      </c>
      <c r="E5" s="12" t="s">
        <v>19</v>
      </c>
      <c r="F5" s="13">
        <f>IFERROR(__xludf.DUMMYFUNCTION("IF(
  REGEXMATCH(E5, "":""),
  60*VALUE(INDEX(SPLIT(E5, "":""),1,1)) + VALUE(INDEX(SPLIT(E5, "":""),1,2)),
  VALUE(E5)
)"),62.34)</f>
        <v>62.34</v>
      </c>
      <c r="G5" s="13">
        <f>average(F3-F5,F4-F6)</f>
        <v>1.54</v>
      </c>
      <c r="H5" s="13">
        <v>1.5399999999999956</v>
      </c>
      <c r="I5" s="11">
        <f>C2</f>
        <v>13</v>
      </c>
      <c r="J5" s="11">
        <f>C19</f>
        <v>21</v>
      </c>
      <c r="K5" s="11">
        <f t="array" ref="K5">INDEX('Podium Target Times'!$C:$C, MATCH(A5&amp;B5, 'Podium Target Times'!$A:$A&amp;'Podium Target Times'!$B:$B, 0))
</f>
        <v>63.71</v>
      </c>
      <c r="L5" s="13">
        <f>L8+G8</f>
        <v>67.68833333</v>
      </c>
      <c r="M5" s="11" t="str">
        <f t="shared" si="1"/>
        <v>1:07.69</v>
      </c>
      <c r="N5" s="14">
        <f>IFERROR(__xludf.DUMMYFUNCTION("LET(
  gen,$A5, ev,$B5, t,$M5,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)"),601.0)</f>
        <v>601</v>
      </c>
    </row>
    <row r="6">
      <c r="A6" s="5" t="s">
        <v>14</v>
      </c>
      <c r="B6" s="6" t="s">
        <v>15</v>
      </c>
      <c r="C6" s="6">
        <v>15.0</v>
      </c>
      <c r="D6" s="6">
        <v>2.0</v>
      </c>
      <c r="E6" s="7" t="s">
        <v>20</v>
      </c>
      <c r="F6" s="8">
        <f>IFERROR(__xludf.DUMMYFUNCTION("IF(
  REGEXMATCH(E6, "":""),
  60*VALUE(INDEX(SPLIT(E6, "":""),1,1)) + VALUE(INDEX(SPLIT(E6, "":""),1,2)),
  VALUE(E6)
)"),63.2)</f>
        <v>63.2</v>
      </c>
      <c r="G6" s="8">
        <f>average(F3-F5,F4-F6)</f>
        <v>1.54</v>
      </c>
      <c r="H6" s="8">
        <v>1.5399999999999956</v>
      </c>
      <c r="I6" s="6">
        <f>C2</f>
        <v>13</v>
      </c>
      <c r="J6" s="6">
        <f>C19</f>
        <v>21</v>
      </c>
      <c r="K6" s="6">
        <f t="array" ref="K6">INDEX('Podium Target Times'!$C:$C, MATCH(A6&amp;B6, 'Podium Target Times'!$A:$A&amp;'Podium Target Times'!$B:$B, 0))
</f>
        <v>63.71</v>
      </c>
      <c r="L6" s="8">
        <f>L8+G8</f>
        <v>67.68833333</v>
      </c>
      <c r="M6" s="6" t="str">
        <f t="shared" si="1"/>
        <v>1:07.69</v>
      </c>
      <c r="N6" s="9">
        <f>IFERROR(__xludf.DUMMYFUNCTION("LET(
  gen,$A6, ev,$B6, t,$M6,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)"),601.0)</f>
        <v>601</v>
      </c>
    </row>
    <row r="7">
      <c r="A7" s="10" t="s">
        <v>14</v>
      </c>
      <c r="B7" s="11" t="s">
        <v>15</v>
      </c>
      <c r="C7" s="11">
        <v>15.0</v>
      </c>
      <c r="D7" s="11">
        <v>3.0</v>
      </c>
      <c r="E7" s="12" t="s">
        <v>21</v>
      </c>
      <c r="F7" s="13">
        <f>IFERROR(__xludf.DUMMYFUNCTION("IF(
  REGEXMATCH(E7, "":""),
  60*VALUE(INDEX(SPLIT(E7, "":""),1,1)) + VALUE(INDEX(SPLIT(E7, "":""),1,2)),
  VALUE(E7)
)"),63.66)</f>
        <v>63.66</v>
      </c>
      <c r="G7" s="13">
        <f>average(F3-F5,F4-F6)</f>
        <v>1.54</v>
      </c>
      <c r="H7" s="13">
        <v>1.5399999999999956</v>
      </c>
      <c r="I7" s="11">
        <f>C2</f>
        <v>13</v>
      </c>
      <c r="J7" s="11">
        <f>C19</f>
        <v>21</v>
      </c>
      <c r="K7" s="11">
        <f t="array" ref="K7">INDEX('Podium Target Times'!$C:$C, MATCH(A7&amp;B7, 'Podium Target Times'!$A:$A&amp;'Podium Target Times'!$B:$B, 0))
</f>
        <v>63.71</v>
      </c>
      <c r="L7" s="13">
        <f>L8+G8</f>
        <v>67.68833333</v>
      </c>
      <c r="M7" s="11" t="str">
        <f t="shared" si="1"/>
        <v>1:07.69</v>
      </c>
      <c r="N7" s="14">
        <f>IFERROR(__xludf.DUMMYFUNCTION("LET(
  gen,$A7, ev,$B7, t,$M7,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)"),601.0)</f>
        <v>601</v>
      </c>
    </row>
    <row r="8">
      <c r="A8" s="5" t="s">
        <v>14</v>
      </c>
      <c r="B8" s="6" t="s">
        <v>15</v>
      </c>
      <c r="C8" s="6">
        <v>16.0</v>
      </c>
      <c r="D8" s="6">
        <v>1.0</v>
      </c>
      <c r="E8" s="7" t="s">
        <v>22</v>
      </c>
      <c r="F8" s="8">
        <f>IFERROR(__xludf.DUMMYFUNCTION("IF(
  REGEXMATCH(E8, "":""),
  60*VALUE(INDEX(SPLIT(E8, "":""),1,1)) + VALUE(INDEX(SPLIT(E8, "":""),1,2)),
  VALUE(E8)
)"),61.22)</f>
        <v>61.22</v>
      </c>
      <c r="G8" s="8">
        <f>average(F5-F8,F6-F9,F7-F10)</f>
        <v>1.133333333</v>
      </c>
      <c r="H8" s="8">
        <v>1.1333333333333329</v>
      </c>
      <c r="I8" s="6">
        <f>C2</f>
        <v>13</v>
      </c>
      <c r="J8" s="6">
        <f>C19</f>
        <v>21</v>
      </c>
      <c r="K8" s="6">
        <f t="array" ref="K8">INDEX('Podium Target Times'!$C:$C, MATCH(A8&amp;B8, 'Podium Target Times'!$A:$A&amp;'Podium Target Times'!$B:$B, 0))
</f>
        <v>63.71</v>
      </c>
      <c r="L8" s="8">
        <f>L11+G11</f>
        <v>66.555</v>
      </c>
      <c r="M8" s="6" t="str">
        <f t="shared" si="1"/>
        <v>1:06.56</v>
      </c>
      <c r="N8" s="9">
        <f>IFERROR(__xludf.DUMMYFUNCTION("LET(
  gen,$A8, ev,$B8, t,$M8,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)"),632.0)</f>
        <v>632</v>
      </c>
    </row>
    <row r="9">
      <c r="A9" s="10" t="s">
        <v>14</v>
      </c>
      <c r="B9" s="11" t="s">
        <v>15</v>
      </c>
      <c r="C9" s="11">
        <v>16.0</v>
      </c>
      <c r="D9" s="11">
        <v>2.0</v>
      </c>
      <c r="E9" s="12" t="s">
        <v>23</v>
      </c>
      <c r="F9" s="13">
        <f>IFERROR(__xludf.DUMMYFUNCTION("IF(
  REGEXMATCH(E9, "":""),
  60*VALUE(INDEX(SPLIT(E9, "":""),1,1)) + VALUE(INDEX(SPLIT(E9, "":""),1,2)),
  VALUE(E9)
)"),62.06)</f>
        <v>62.06</v>
      </c>
      <c r="G9" s="13">
        <f>average(F5-F8,F6-F9,F7-F10)</f>
        <v>1.133333333</v>
      </c>
      <c r="H9" s="13">
        <v>1.1333333333333329</v>
      </c>
      <c r="I9" s="11">
        <f>C2</f>
        <v>13</v>
      </c>
      <c r="J9" s="11">
        <f>C19</f>
        <v>21</v>
      </c>
      <c r="K9" s="11">
        <f t="array" ref="K9">INDEX('Podium Target Times'!$C:$C, MATCH(A9&amp;B9, 'Podium Target Times'!$A:$A&amp;'Podium Target Times'!$B:$B, 0))
</f>
        <v>63.71</v>
      </c>
      <c r="L9" s="13">
        <f>L11+G11</f>
        <v>66.555</v>
      </c>
      <c r="M9" s="11" t="str">
        <f t="shared" si="1"/>
        <v>1:06.56</v>
      </c>
      <c r="N9" s="14">
        <f>IFERROR(__xludf.DUMMYFUNCTION("LET(
  gen,$A9, ev,$B9, t,$M9,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)"),632.0)</f>
        <v>632</v>
      </c>
    </row>
    <row r="10">
      <c r="A10" s="5" t="s">
        <v>14</v>
      </c>
      <c r="B10" s="6" t="s">
        <v>15</v>
      </c>
      <c r="C10" s="6">
        <v>16.0</v>
      </c>
      <c r="D10" s="6">
        <v>3.0</v>
      </c>
      <c r="E10" s="7" t="s">
        <v>24</v>
      </c>
      <c r="F10" s="8">
        <f>IFERROR(__xludf.DUMMYFUNCTION("IF(
  REGEXMATCH(E10, "":""),
  60*VALUE(INDEX(SPLIT(E10, "":""),1,1)) + VALUE(INDEX(SPLIT(E10, "":""),1,2)),
  VALUE(E10)
)"),62.52)</f>
        <v>62.52</v>
      </c>
      <c r="G10" s="8">
        <f>average(F5-F8,F6-F9,F7-F10)</f>
        <v>1.133333333</v>
      </c>
      <c r="H10" s="8">
        <v>1.1333333333333329</v>
      </c>
      <c r="I10" s="6">
        <f>C2</f>
        <v>13</v>
      </c>
      <c r="J10" s="6">
        <f>C19</f>
        <v>21</v>
      </c>
      <c r="K10" s="6">
        <f t="array" ref="K10">INDEX('Podium Target Times'!$C:$C, MATCH(A10&amp;B10, 'Podium Target Times'!$A:$A&amp;'Podium Target Times'!$B:$B, 0))
</f>
        <v>63.71</v>
      </c>
      <c r="L10" s="8">
        <f>L11+G11</f>
        <v>66.555</v>
      </c>
      <c r="M10" s="6" t="str">
        <f t="shared" si="1"/>
        <v>1:06.56</v>
      </c>
      <c r="N10" s="9">
        <f>IFERROR(__xludf.DUMMYFUNCTION("LET(
  gen,$A10, ev,$B10, t,$M10,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)"),632.0)</f>
        <v>632</v>
      </c>
    </row>
    <row r="11">
      <c r="A11" s="10" t="s">
        <v>14</v>
      </c>
      <c r="B11" s="11" t="s">
        <v>15</v>
      </c>
      <c r="C11" s="11">
        <v>17.0</v>
      </c>
      <c r="D11" s="11">
        <v>1.0</v>
      </c>
      <c r="E11" s="12" t="s">
        <v>25</v>
      </c>
      <c r="F11" s="13">
        <f>IFERROR(__xludf.DUMMYFUNCTION("IF(
  REGEXMATCH(E11, "":""),
  60*VALUE(INDEX(SPLIT(E11, "":""),1,1)) + VALUE(INDEX(SPLIT(E11, "":""),1,2)),
  VALUE(E11)
)"),60.46)</f>
        <v>60.46</v>
      </c>
      <c r="G11" s="13">
        <f>average(F8-F11,F9-F12,F10-F13)</f>
        <v>0.77</v>
      </c>
      <c r="H11" s="13">
        <v>0.7700000000000008</v>
      </c>
      <c r="I11" s="11">
        <f>C2</f>
        <v>13</v>
      </c>
      <c r="J11" s="11">
        <f>C19</f>
        <v>21</v>
      </c>
      <c r="K11" s="11">
        <f t="array" ref="K11">INDEX('Podium Target Times'!$C:$C, MATCH(A11&amp;B11, 'Podium Target Times'!$A:$A&amp;'Podium Target Times'!$B:$B, 0))
</f>
        <v>63.71</v>
      </c>
      <c r="L11" s="13">
        <f>L14+G14</f>
        <v>65.785</v>
      </c>
      <c r="M11" s="11" t="str">
        <f t="shared" si="1"/>
        <v>1:05.79</v>
      </c>
      <c r="N11" s="14">
        <f>IFERROR(__xludf.DUMMYFUNCTION("LET(
  gen,$A11, ev,$B11, t,$M11,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12">
      <c r="A12" s="5" t="s">
        <v>14</v>
      </c>
      <c r="B12" s="6" t="s">
        <v>15</v>
      </c>
      <c r="C12" s="6">
        <v>17.0</v>
      </c>
      <c r="D12" s="6">
        <v>2.0</v>
      </c>
      <c r="E12" s="7" t="s">
        <v>26</v>
      </c>
      <c r="F12" s="8">
        <f>IFERROR(__xludf.DUMMYFUNCTION("IF(
  REGEXMATCH(E12, "":""),
  60*VALUE(INDEX(SPLIT(E12, "":""),1,1)) + VALUE(INDEX(SPLIT(E12, "":""),1,2)),
  VALUE(E12)
)"),61.29)</f>
        <v>61.29</v>
      </c>
      <c r="G12" s="8">
        <f>average(F8-F11,F9-F12,F10-F13)</f>
        <v>0.77</v>
      </c>
      <c r="H12" s="8">
        <v>0.7700000000000008</v>
      </c>
      <c r="I12" s="6">
        <f>C2</f>
        <v>13</v>
      </c>
      <c r="J12" s="6">
        <f>C19</f>
        <v>21</v>
      </c>
      <c r="K12" s="6">
        <f t="array" ref="K12">INDEX('Podium Target Times'!$C:$C, MATCH(A12&amp;B12, 'Podium Target Times'!$A:$A&amp;'Podium Target Times'!$B:$B, 0))
</f>
        <v>63.71</v>
      </c>
      <c r="L12" s="8">
        <f>L14+G14</f>
        <v>65.785</v>
      </c>
      <c r="M12" s="6" t="str">
        <f t="shared" si="1"/>
        <v>1:05.79</v>
      </c>
      <c r="N12" s="9">
        <f>IFERROR(__xludf.DUMMYFUNCTION("LET(
  gen,$A12, ev,$B12, t,$M12,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13">
      <c r="A13" s="10" t="s">
        <v>14</v>
      </c>
      <c r="B13" s="11" t="s">
        <v>15</v>
      </c>
      <c r="C13" s="11">
        <v>17.0</v>
      </c>
      <c r="D13" s="11">
        <v>3.0</v>
      </c>
      <c r="E13" s="12" t="s">
        <v>27</v>
      </c>
      <c r="F13" s="13">
        <f>IFERROR(__xludf.DUMMYFUNCTION("IF(
  REGEXMATCH(E13, "":""),
  60*VALUE(INDEX(SPLIT(E13, "":""),1,1)) + VALUE(INDEX(SPLIT(E13, "":""),1,2)),
  VALUE(E13)
)"),61.74)</f>
        <v>61.74</v>
      </c>
      <c r="G13" s="13">
        <f>average(F8-F11,F9-F12,F10-F13)</f>
        <v>0.77</v>
      </c>
      <c r="H13" s="13">
        <v>0.7700000000000008</v>
      </c>
      <c r="I13" s="11">
        <f>C2</f>
        <v>13</v>
      </c>
      <c r="J13" s="11">
        <f>C19</f>
        <v>21</v>
      </c>
      <c r="K13" s="11">
        <f t="array" ref="K13">INDEX('Podium Target Times'!$C:$C, MATCH(A13&amp;B13, 'Podium Target Times'!$A:$A&amp;'Podium Target Times'!$B:$B, 0))
</f>
        <v>63.71</v>
      </c>
      <c r="L13" s="13">
        <f>L14+G14</f>
        <v>65.785</v>
      </c>
      <c r="M13" s="11" t="str">
        <f t="shared" si="1"/>
        <v>1:05.79</v>
      </c>
      <c r="N13" s="14">
        <f>IFERROR(__xludf.DUMMYFUNCTION("LET(
  gen,$A13, ev,$B13, t,$M13,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14">
      <c r="A14" s="5" t="s">
        <v>14</v>
      </c>
      <c r="B14" s="6" t="s">
        <v>15</v>
      </c>
      <c r="C14" s="6">
        <v>18.0</v>
      </c>
      <c r="D14" s="6">
        <v>2.0</v>
      </c>
      <c r="E14" s="7" t="s">
        <v>28</v>
      </c>
      <c r="F14" s="8">
        <f>IFERROR(__xludf.DUMMYFUNCTION("IF(
  REGEXMATCH(E14, "":""),
  60*VALUE(INDEX(SPLIT(E14, "":""),1,1)) + VALUE(INDEX(SPLIT(E14, "":""),1,2)),
  VALUE(E14)
)"),60.79)</f>
        <v>60.79</v>
      </c>
      <c r="G14" s="8">
        <f>average(F12-F14,F13-F15)</f>
        <v>0.505</v>
      </c>
      <c r="H14" s="8">
        <v>0.5050000000000026</v>
      </c>
      <c r="I14" s="6">
        <f>C2</f>
        <v>13</v>
      </c>
      <c r="J14" s="6">
        <f>C19</f>
        <v>21</v>
      </c>
      <c r="K14" s="6">
        <f t="array" ref="K14">INDEX('Podium Target Times'!$C:$C, MATCH(A14&amp;B14, 'Podium Target Times'!$A:$A&amp;'Podium Target Times'!$B:$B, 0))
</f>
        <v>63.71</v>
      </c>
      <c r="L14" s="8">
        <f>L16+G16</f>
        <v>65.28</v>
      </c>
      <c r="M14" s="6" t="str">
        <f t="shared" si="1"/>
        <v>1:05.28</v>
      </c>
      <c r="N14" s="9">
        <f>IFERROR(__xludf.DUMMYFUNCTION("LET(
  gen,$A14, ev,$B14, t,$M14,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)"),670.0)</f>
        <v>670</v>
      </c>
    </row>
    <row r="15">
      <c r="A15" s="10" t="s">
        <v>14</v>
      </c>
      <c r="B15" s="11" t="s">
        <v>15</v>
      </c>
      <c r="C15" s="11">
        <v>18.0</v>
      </c>
      <c r="D15" s="11">
        <v>3.0</v>
      </c>
      <c r="E15" s="12" t="s">
        <v>29</v>
      </c>
      <c r="F15" s="13">
        <f>IFERROR(__xludf.DUMMYFUNCTION("IF(
  REGEXMATCH(E15, "":""),
  60*VALUE(INDEX(SPLIT(E15, "":""),1,1)) + VALUE(INDEX(SPLIT(E15, "":""),1,2)),
  VALUE(E15)
)"),61.23)</f>
        <v>61.23</v>
      </c>
      <c r="G15" s="13">
        <f>average(F12-F14,F13-F15)</f>
        <v>0.505</v>
      </c>
      <c r="H15" s="13">
        <v>0.5050000000000026</v>
      </c>
      <c r="I15" s="11">
        <f>C2</f>
        <v>13</v>
      </c>
      <c r="J15" s="11">
        <f>C19</f>
        <v>21</v>
      </c>
      <c r="K15" s="11">
        <f t="array" ref="K15">INDEX('Podium Target Times'!$C:$C, MATCH(A15&amp;B15, 'Podium Target Times'!$A:$A&amp;'Podium Target Times'!$B:$B, 0))
</f>
        <v>63.71</v>
      </c>
      <c r="L15" s="13">
        <f>L16+G16</f>
        <v>65.28</v>
      </c>
      <c r="M15" s="11" t="str">
        <f t="shared" si="1"/>
        <v>1:05.28</v>
      </c>
      <c r="N15" s="14">
        <f>IFERROR(__xludf.DUMMYFUNCTION("LET(
  gen,$A15, ev,$B15, t,$M15,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)"),670.0)</f>
        <v>670</v>
      </c>
    </row>
    <row r="16">
      <c r="A16" s="5" t="s">
        <v>14</v>
      </c>
      <c r="B16" s="6" t="s">
        <v>15</v>
      </c>
      <c r="C16" s="6">
        <v>19.0</v>
      </c>
      <c r="D16" s="6">
        <v>2.0</v>
      </c>
      <c r="E16" s="7" t="s">
        <v>25</v>
      </c>
      <c r="F16" s="8">
        <f>IFERROR(__xludf.DUMMYFUNCTION("IF(
  REGEXMATCH(E16, "":""),
  60*VALUE(INDEX(SPLIT(E16, "":""),1,1)) + VALUE(INDEX(SPLIT(E16, "":""),1,2)),
  VALUE(E16)
)"),60.46)</f>
        <v>60.46</v>
      </c>
      <c r="G16" s="8">
        <f>average(F14-F16,F15-F17)</f>
        <v>0.33</v>
      </c>
      <c r="H16" s="8">
        <v>0.3299999999999983</v>
      </c>
      <c r="I16" s="6">
        <f>C2</f>
        <v>13</v>
      </c>
      <c r="J16" s="6">
        <f>C19</f>
        <v>21</v>
      </c>
      <c r="K16" s="6">
        <f t="array" ref="K16">INDEX('Podium Target Times'!$C:$C, MATCH(A16&amp;B16, 'Podium Target Times'!$A:$A&amp;'Podium Target Times'!$B:$B, 0))
</f>
        <v>63.71</v>
      </c>
      <c r="L16" s="8">
        <f>L18+G18</f>
        <v>64.95</v>
      </c>
      <c r="M16" s="6" t="str">
        <f t="shared" si="1"/>
        <v>1:04.95</v>
      </c>
      <c r="N16" s="9">
        <f>IFERROR(__xludf.DUMMYFUNCTION("LET(
  gen,$A16, ev,$B16, t,$M16,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)"),680.0)</f>
        <v>680</v>
      </c>
    </row>
    <row r="17">
      <c r="A17" s="10" t="s">
        <v>14</v>
      </c>
      <c r="B17" s="11" t="s">
        <v>15</v>
      </c>
      <c r="C17" s="11">
        <v>19.0</v>
      </c>
      <c r="D17" s="11">
        <v>3.0</v>
      </c>
      <c r="E17" s="12" t="s">
        <v>30</v>
      </c>
      <c r="F17" s="13">
        <f>IFERROR(__xludf.DUMMYFUNCTION("IF(
  REGEXMATCH(E17, "":""),
  60*VALUE(INDEX(SPLIT(E17, "":""),1,1)) + VALUE(INDEX(SPLIT(E17, "":""),1,2)),
  VALUE(E17)
)"),60.9)</f>
        <v>60.9</v>
      </c>
      <c r="G17" s="13">
        <f>average(F14-F16,F15-F17)</f>
        <v>0.33</v>
      </c>
      <c r="H17" s="13">
        <v>0.3299999999999983</v>
      </c>
      <c r="I17" s="11">
        <f>C2</f>
        <v>13</v>
      </c>
      <c r="J17" s="11">
        <f>C19</f>
        <v>21</v>
      </c>
      <c r="K17" s="11">
        <f t="array" ref="K17">INDEX('Podium Target Times'!$C:$C, MATCH(A17&amp;B17, 'Podium Target Times'!$A:$A&amp;'Podium Target Times'!$B:$B, 0))
</f>
        <v>63.71</v>
      </c>
      <c r="L17" s="13">
        <f t="shared" ref="L17:L18" si="2">L18+G18</f>
        <v>64.95</v>
      </c>
      <c r="M17" s="11" t="str">
        <f t="shared" si="1"/>
        <v>1:04.95</v>
      </c>
      <c r="N17" s="14">
        <f>IFERROR(__xludf.DUMMYFUNCTION("LET(
  gen,$A17, ev,$B17, t,$M17,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)"),680.0)</f>
        <v>680</v>
      </c>
    </row>
    <row r="18">
      <c r="A18" s="5" t="s">
        <v>14</v>
      </c>
      <c r="B18" s="6" t="s">
        <v>15</v>
      </c>
      <c r="C18" s="6">
        <v>20.0</v>
      </c>
      <c r="D18" s="6">
        <v>3.0</v>
      </c>
      <c r="E18" s="7" t="s">
        <v>31</v>
      </c>
      <c r="F18" s="8">
        <f>IFERROR(__xludf.DUMMYFUNCTION("IF(
  REGEXMATCH(E18, "":""),
  60*VALUE(INDEX(SPLIT(E18, "":""),1,1)) + VALUE(INDEX(SPLIT(E18, "":""),1,2)),
  VALUE(E18)
)"),60.66)</f>
        <v>60.66</v>
      </c>
      <c r="G18" s="8">
        <f t="shared" ref="G18:G19" si="3">F17-F18</f>
        <v>0.24</v>
      </c>
      <c r="H18" s="8">
        <v>0.240000000000002</v>
      </c>
      <c r="I18" s="6">
        <f>C2</f>
        <v>13</v>
      </c>
      <c r="J18" s="6">
        <f>C19</f>
        <v>21</v>
      </c>
      <c r="K18" s="6">
        <f t="array" ref="K18">INDEX('Podium Target Times'!$C:$C, MATCH(A18&amp;B18, 'Podium Target Times'!$A:$A&amp;'Podium Target Times'!$B:$B, 0))
</f>
        <v>63.71</v>
      </c>
      <c r="L18" s="8">
        <f t="shared" si="2"/>
        <v>64.71</v>
      </c>
      <c r="M18" s="6" t="str">
        <f t="shared" si="1"/>
        <v>1:04.71</v>
      </c>
      <c r="N18" s="9">
        <f>IFERROR(__xludf.DUMMYFUNCTION("LET(
  gen,$A18, ev,$B18, t,$M18,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19">
      <c r="A19" s="10" t="s">
        <v>14</v>
      </c>
      <c r="B19" s="11" t="s">
        <v>15</v>
      </c>
      <c r="C19" s="11">
        <v>21.0</v>
      </c>
      <c r="D19" s="11">
        <v>3.0</v>
      </c>
      <c r="E19" s="12" t="s">
        <v>25</v>
      </c>
      <c r="F19" s="13">
        <f>IFERROR(__xludf.DUMMYFUNCTION("IF(
  REGEXMATCH(E19, "":""),
  60*VALUE(INDEX(SPLIT(E19, "":""),1,1)) + VALUE(INDEX(SPLIT(E19, "":""),1,2)),
  VALUE(E19)
)"),60.46)</f>
        <v>60.46</v>
      </c>
      <c r="G19" s="13">
        <f t="shared" si="3"/>
        <v>0.2</v>
      </c>
      <c r="H19" s="13">
        <v>0.19999999999999574</v>
      </c>
      <c r="I19" s="11">
        <f>C2</f>
        <v>13</v>
      </c>
      <c r="J19" s="11">
        <f>C19</f>
        <v>21</v>
      </c>
      <c r="K19" s="11">
        <f t="array" ref="K19">INDEX('Podium Target Times'!$C:$C, MATCH(A19&amp;B19, 'Podium Target Times'!$A:$A&amp;'Podium Target Times'!$B:$B, 0))
</f>
        <v>63.71</v>
      </c>
      <c r="L19" s="13">
        <f>G19+L20</f>
        <v>64.51</v>
      </c>
      <c r="M19" s="11" t="str">
        <f t="shared" si="1"/>
        <v>1:04.51</v>
      </c>
      <c r="N19" s="14">
        <f>IFERROR(__xludf.DUMMYFUNCTION("LET(
  gen,$A19, ev,$B19, t,$M19,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)"),694.0)</f>
        <v>694</v>
      </c>
    </row>
    <row r="20">
      <c r="A20" s="5" t="s">
        <v>14</v>
      </c>
      <c r="B20" s="6" t="s">
        <v>15</v>
      </c>
      <c r="C20" s="6">
        <v>22.0</v>
      </c>
      <c r="D20" s="6"/>
      <c r="E20" s="7"/>
      <c r="F20" s="8">
        <f>IFERROR(__xludf.DUMMYFUNCTION("IF(
  REGEXMATCH(E20, "":""),
  60*VALUE(INDEX(SPLIT(E20, "":""),1,1)) + VALUE(INDEX(SPLIT(E20, "":""),1,2)),
  VALUE(E20)
)"),0.0)</f>
        <v>0</v>
      </c>
      <c r="G20" s="8"/>
      <c r="H20" s="8"/>
      <c r="I20" s="6">
        <f>C2</f>
        <v>13</v>
      </c>
      <c r="J20" s="6">
        <f>C19</f>
        <v>21</v>
      </c>
      <c r="K20" s="6">
        <f t="array" ref="K20">INDEX('Podium Target Times'!$C:$C, MATCH(A20&amp;B20, 'Podium Target Times'!$A:$A&amp;'Podium Target Times'!$B:$B, 0))
</f>
        <v>63.71</v>
      </c>
      <c r="L20" s="8">
        <f>G19+L21</f>
        <v>64.31</v>
      </c>
      <c r="M20" s="6" t="str">
        <f t="shared" si="1"/>
        <v>1:04.31</v>
      </c>
      <c r="N20" s="9">
        <f>IFERROR(__xludf.DUMMYFUNCTION("LET(
  gen,$A20, ev,$B20, t,$M20,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)"),701.0)</f>
        <v>701</v>
      </c>
    </row>
    <row r="21">
      <c r="A21" s="10" t="s">
        <v>14</v>
      </c>
      <c r="B21" s="11" t="s">
        <v>15</v>
      </c>
      <c r="C21" s="11">
        <v>23.0</v>
      </c>
      <c r="D21" s="11"/>
      <c r="E21" s="12"/>
      <c r="F21" s="13">
        <f>IFERROR(__xludf.DUMMYFUNCTION("IF(
  REGEXMATCH(E21, "":""),
  60*VALUE(INDEX(SPLIT(E21, "":""),1,1)) + VALUE(INDEX(SPLIT(E21, "":""),1,2)),
  VALUE(E21)
)"),0.0)</f>
        <v>0</v>
      </c>
      <c r="G21" s="13"/>
      <c r="H21" s="13"/>
      <c r="I21" s="11">
        <f>C2</f>
        <v>13</v>
      </c>
      <c r="J21" s="11">
        <f>C19</f>
        <v>21</v>
      </c>
      <c r="K21" s="11">
        <f t="array" ref="K21">INDEX('Podium Target Times'!$C:$C, MATCH(A21&amp;B21, 'Podium Target Times'!$A:$A&amp;'Podium Target Times'!$B:$B, 0))
</f>
        <v>63.71</v>
      </c>
      <c r="L21" s="13">
        <f>L22+G19</f>
        <v>64.11</v>
      </c>
      <c r="M21" s="11" t="str">
        <f t="shared" si="1"/>
        <v>1:04.11</v>
      </c>
      <c r="N21" s="14">
        <f>IFERROR(__xludf.DUMMYFUNCTION("LET(
  gen,$A21, ev,$B21, t,$M21,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)"),707.0)</f>
        <v>707</v>
      </c>
    </row>
    <row r="22">
      <c r="A22" s="5" t="s">
        <v>14</v>
      </c>
      <c r="B22" s="6" t="s">
        <v>15</v>
      </c>
      <c r="C22" s="6">
        <v>24.0</v>
      </c>
      <c r="D22" s="6"/>
      <c r="E22" s="7"/>
      <c r="F22" s="8">
        <f>IFERROR(__xludf.DUMMYFUNCTION("IF(
  REGEXMATCH(E22, "":""),
  60*VALUE(INDEX(SPLIT(E22, "":""),1,1)) + VALUE(INDEX(SPLIT(E22, "":""),1,2)),
  VALUE(E22)
)"),0.0)</f>
        <v>0</v>
      </c>
      <c r="G22" s="8"/>
      <c r="H22" s="8"/>
      <c r="I22" s="6">
        <f>C2</f>
        <v>13</v>
      </c>
      <c r="J22" s="6">
        <f>C19</f>
        <v>21</v>
      </c>
      <c r="K22" s="6">
        <f t="array" ref="K22">INDEX('Podium Target Times'!$C:$C, MATCH(A22&amp;B22, 'Podium Target Times'!$A:$A&amp;'Podium Target Times'!$B:$B, 0))
</f>
        <v>63.71</v>
      </c>
      <c r="L22" s="8">
        <f>L23+G19</f>
        <v>63.91</v>
      </c>
      <c r="M22" s="6" t="str">
        <f t="shared" si="1"/>
        <v>1:03.91</v>
      </c>
      <c r="N22" s="9">
        <f>IFERROR(__xludf.DUMMYFUNCTION("LET(
  gen,$A22, ev,$B22, t,$M22,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)"),714.0)</f>
        <v>714</v>
      </c>
    </row>
    <row r="23">
      <c r="A23" s="10" t="s">
        <v>14</v>
      </c>
      <c r="B23" s="11" t="s">
        <v>15</v>
      </c>
      <c r="C23" s="11">
        <v>25.0</v>
      </c>
      <c r="D23" s="11"/>
      <c r="E23" s="12"/>
      <c r="F23" s="13">
        <f>IFERROR(__xludf.DUMMYFUNCTION("IF(
  REGEXMATCH(E23, "":""),
  60*VALUE(INDEX(SPLIT(E23, "":""),1,1)) + VALUE(INDEX(SPLIT(E23, "":""),1,2)),
  VALUE(E23)
)"),0.0)</f>
        <v>0</v>
      </c>
      <c r="G23" s="13"/>
      <c r="H23" s="13"/>
      <c r="I23" s="11">
        <f>C2</f>
        <v>13</v>
      </c>
      <c r="J23" s="11">
        <f>C19</f>
        <v>21</v>
      </c>
      <c r="K23" s="11">
        <f t="array" ref="K23">INDEX('Podium Target Times'!$C:$C, MATCH(A23&amp;B23, 'Podium Target Times'!$A:$A&amp;'Podium Target Times'!$B:$B, 0))
</f>
        <v>63.71</v>
      </c>
      <c r="L23" s="11">
        <f>K23</f>
        <v>63.71</v>
      </c>
      <c r="M23" s="11" t="str">
        <f t="shared" si="1"/>
        <v>1:03.71</v>
      </c>
      <c r="N23" s="14">
        <f>IFERROR(__xludf.DUMMYFUNCTION("LET(
  gen,$A23, ev,$B23, t,$M23,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)"),721.0)</f>
        <v>721</v>
      </c>
    </row>
    <row r="24">
      <c r="A24" s="5" t="s">
        <v>14</v>
      </c>
      <c r="B24" s="6" t="s">
        <v>32</v>
      </c>
      <c r="C24" s="6">
        <v>15.0</v>
      </c>
      <c r="D24" s="6">
        <v>1.0</v>
      </c>
      <c r="E24" s="7" t="s">
        <v>33</v>
      </c>
      <c r="F24" s="8">
        <f>IFERROR(__xludf.DUMMYFUNCTION("IF(
  REGEXMATCH(E24, "":""),
  60*VALUE(INDEX(SPLIT(E24, "":""),1,1)) + VALUE(INDEX(SPLIT(E24, "":""),1,2)),
  VALUE(E24)
)"),69.68)</f>
        <v>69.68</v>
      </c>
      <c r="G24" s="8">
        <v>0.0</v>
      </c>
      <c r="H24" s="8">
        <v>0.0</v>
      </c>
      <c r="I24" s="6">
        <f>C24</f>
        <v>15</v>
      </c>
      <c r="J24" s="6">
        <f>C41</f>
        <v>23</v>
      </c>
      <c r="K24" s="6">
        <f t="array" ref="K24">INDEX('Podium Target Times'!$C:$C, MATCH(A24&amp;B24, 'Podium Target Times'!$A:$A&amp;'Podium Target Times'!$B:$B, 0))
</f>
        <v>70.94</v>
      </c>
      <c r="L24" s="8">
        <f>L25+G25</f>
        <v>75.43</v>
      </c>
      <c r="M24" s="6" t="str">
        <f t="shared" si="1"/>
        <v>1:15.43</v>
      </c>
      <c r="N24" s="9">
        <f>IFERROR(__xludf.DUMMYFUNCTION("LET(
  gen,$A24, ev,$B24, t,$M24,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)"),614.0)</f>
        <v>614</v>
      </c>
    </row>
    <row r="25">
      <c r="A25" s="10" t="s">
        <v>14</v>
      </c>
      <c r="B25" s="11" t="s">
        <v>32</v>
      </c>
      <c r="C25" s="11">
        <v>16.0</v>
      </c>
      <c r="D25" s="11">
        <v>1.0</v>
      </c>
      <c r="E25" s="12" t="s">
        <v>34</v>
      </c>
      <c r="F25" s="13">
        <f>IFERROR(__xludf.DUMMYFUNCTION("IF(
  REGEXMATCH(E25, "":""),
  60*VALUE(INDEX(SPLIT(E25, "":""),1,1)) + VALUE(INDEX(SPLIT(E25, "":""),1,2)),
  VALUE(E25)
)"),68.45)</f>
        <v>68.45</v>
      </c>
      <c r="G25" s="13">
        <f>F24-F25</f>
        <v>1.23</v>
      </c>
      <c r="H25" s="13">
        <v>1.230000000000004</v>
      </c>
      <c r="I25" s="11">
        <f>C24</f>
        <v>15</v>
      </c>
      <c r="J25" s="11">
        <f>C41</f>
        <v>23</v>
      </c>
      <c r="K25" s="11">
        <f t="array" ref="K25">INDEX('Podium Target Times'!$C:$C, MATCH(A25&amp;B25, 'Podium Target Times'!$A:$A&amp;'Podium Target Times'!$B:$B, 0))
</f>
        <v>70.94</v>
      </c>
      <c r="L25" s="13">
        <f>L27+G27</f>
        <v>74.2</v>
      </c>
      <c r="M25" s="11" t="str">
        <f t="shared" si="1"/>
        <v>1:14.20</v>
      </c>
      <c r="N25" s="14">
        <f>IFERROR(__xludf.DUMMYFUNCTION("LET(
  gen,$A25, ev,$B25, t,$M25,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)"),645.0)</f>
        <v>645</v>
      </c>
    </row>
    <row r="26">
      <c r="A26" s="5" t="s">
        <v>14</v>
      </c>
      <c r="B26" s="6" t="s">
        <v>32</v>
      </c>
      <c r="C26" s="6">
        <v>16.0</v>
      </c>
      <c r="D26" s="6">
        <v>2.0</v>
      </c>
      <c r="E26" s="7" t="s">
        <v>35</v>
      </c>
      <c r="F26" s="8">
        <f>IFERROR(__xludf.DUMMYFUNCTION("IF(
  REGEXMATCH(E26, "":""),
  60*VALUE(INDEX(SPLIT(E26, "":""),1,1)) + VALUE(INDEX(SPLIT(E26, "":""),1,2)),
  VALUE(E26)
)"),69.15)</f>
        <v>69.15</v>
      </c>
      <c r="G26" s="8">
        <f>F24-F25</f>
        <v>1.23</v>
      </c>
      <c r="H26" s="8">
        <v>1.230000000000004</v>
      </c>
      <c r="I26" s="6">
        <f>C24</f>
        <v>15</v>
      </c>
      <c r="J26" s="6">
        <f>C41</f>
        <v>23</v>
      </c>
      <c r="K26" s="6">
        <f t="array" ref="K26">INDEX('Podium Target Times'!$C:$C, MATCH(A26&amp;B26, 'Podium Target Times'!$A:$A&amp;'Podium Target Times'!$B:$B, 0))
</f>
        <v>70.94</v>
      </c>
      <c r="L26" s="8">
        <f>L27+G27</f>
        <v>74.2</v>
      </c>
      <c r="M26" s="6" t="str">
        <f t="shared" si="1"/>
        <v>1:14.20</v>
      </c>
      <c r="N26" s="9">
        <f>IFERROR(__xludf.DUMMYFUNCTION("LET(
  gen,$A26, ev,$B26, t,$M26,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)"),645.0)</f>
        <v>645</v>
      </c>
    </row>
    <row r="27">
      <c r="A27" s="10" t="s">
        <v>14</v>
      </c>
      <c r="B27" s="11" t="s">
        <v>32</v>
      </c>
      <c r="C27" s="11">
        <v>17.0</v>
      </c>
      <c r="D27" s="11">
        <v>1.0</v>
      </c>
      <c r="E27" s="12" t="s">
        <v>36</v>
      </c>
      <c r="F27" s="13">
        <f>IFERROR(__xludf.DUMMYFUNCTION("IF(
  REGEXMATCH(E27, "":""),
  60*VALUE(INDEX(SPLIT(E27, "":""),1,1)) + VALUE(INDEX(SPLIT(E27, "":""),1,2)),
  VALUE(E27)
)"),67.71)</f>
        <v>67.71</v>
      </c>
      <c r="G27" s="13">
        <f>average(F25-F27,F26-F28)</f>
        <v>0.745</v>
      </c>
      <c r="H27" s="13">
        <v>0.7450000000000045</v>
      </c>
      <c r="I27" s="11">
        <f>C24</f>
        <v>15</v>
      </c>
      <c r="J27" s="11">
        <f>C41</f>
        <v>23</v>
      </c>
      <c r="K27" s="11">
        <f t="array" ref="K27">INDEX('Podium Target Times'!$C:$C, MATCH(A27&amp;B27, 'Podium Target Times'!$A:$A&amp;'Podium Target Times'!$B:$B, 0))
</f>
        <v>70.94</v>
      </c>
      <c r="L27" s="13">
        <f>L30+G30</f>
        <v>73.455</v>
      </c>
      <c r="M27" s="11" t="str">
        <f t="shared" si="1"/>
        <v>1:13.46</v>
      </c>
      <c r="N27" s="14">
        <f>IFERROR(__xludf.DUMMYFUNCTION("LET(
  gen,$A27, ev,$B27, t,$M27,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)"),665.0)</f>
        <v>665</v>
      </c>
    </row>
    <row r="28">
      <c r="A28" s="5" t="s">
        <v>14</v>
      </c>
      <c r="B28" s="6" t="s">
        <v>32</v>
      </c>
      <c r="C28" s="6">
        <v>17.0</v>
      </c>
      <c r="D28" s="6">
        <v>2.0</v>
      </c>
      <c r="E28" s="7" t="s">
        <v>37</v>
      </c>
      <c r="F28" s="8">
        <f>IFERROR(__xludf.DUMMYFUNCTION("IF(
  REGEXMATCH(E28, "":""),
  60*VALUE(INDEX(SPLIT(E28, "":""),1,1)) + VALUE(INDEX(SPLIT(E28, "":""),1,2)),
  VALUE(E28)
)"),68.4)</f>
        <v>68.4</v>
      </c>
      <c r="G28" s="8">
        <f>average(F25-F27,F26-F28)</f>
        <v>0.745</v>
      </c>
      <c r="H28" s="8">
        <v>0.7450000000000045</v>
      </c>
      <c r="I28" s="6">
        <f>C24</f>
        <v>15</v>
      </c>
      <c r="J28" s="6">
        <f>C41</f>
        <v>23</v>
      </c>
      <c r="K28" s="6">
        <f t="array" ref="K28">INDEX('Podium Target Times'!$C:$C, MATCH(A28&amp;B28, 'Podium Target Times'!$A:$A&amp;'Podium Target Times'!$B:$B, 0))
</f>
        <v>70.94</v>
      </c>
      <c r="L28" s="8">
        <f>L30+G30</f>
        <v>73.455</v>
      </c>
      <c r="M28" s="6" t="str">
        <f t="shared" si="1"/>
        <v>1:13.46</v>
      </c>
      <c r="N28" s="9">
        <f>IFERROR(__xludf.DUMMYFUNCTION("LET(
  gen,$A28, ev,$B28, t,$M28,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)"),665.0)</f>
        <v>665</v>
      </c>
    </row>
    <row r="29">
      <c r="A29" s="10" t="s">
        <v>14</v>
      </c>
      <c r="B29" s="11" t="s">
        <v>32</v>
      </c>
      <c r="C29" s="11">
        <v>17.0</v>
      </c>
      <c r="D29" s="11">
        <v>3.0</v>
      </c>
      <c r="E29" s="12" t="s">
        <v>38</v>
      </c>
      <c r="F29" s="13">
        <f>IFERROR(__xludf.DUMMYFUNCTION("IF(
  REGEXMATCH(E29, "":""),
  60*VALUE(INDEX(SPLIT(E29, "":""),1,1)) + VALUE(INDEX(SPLIT(E29, "":""),1,2)),
  VALUE(E29)
)"),68.94)</f>
        <v>68.94</v>
      </c>
      <c r="G29" s="13">
        <f>average(F25-F27,F26-F28)</f>
        <v>0.745</v>
      </c>
      <c r="H29" s="13">
        <v>0.7450000000000045</v>
      </c>
      <c r="I29" s="11">
        <f>C24</f>
        <v>15</v>
      </c>
      <c r="J29" s="11">
        <f>C41</f>
        <v>23</v>
      </c>
      <c r="K29" s="11">
        <f t="array" ref="K29">INDEX('Podium Target Times'!$C:$C, MATCH(A29&amp;B29, 'Podium Target Times'!$A:$A&amp;'Podium Target Times'!$B:$B, 0))
</f>
        <v>70.94</v>
      </c>
      <c r="L29" s="13">
        <f>L30+G30</f>
        <v>73.455</v>
      </c>
      <c r="M29" s="11" t="str">
        <f t="shared" si="1"/>
        <v>1:13.46</v>
      </c>
      <c r="N29" s="14">
        <f>IFERROR(__xludf.DUMMYFUNCTION("LET(
  gen,$A29, ev,$B29, t,$M29,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)"),665.0)</f>
        <v>665</v>
      </c>
    </row>
    <row r="30">
      <c r="A30" s="5" t="s">
        <v>14</v>
      </c>
      <c r="B30" s="6" t="s">
        <v>32</v>
      </c>
      <c r="C30" s="6">
        <v>18.0</v>
      </c>
      <c r="D30" s="6">
        <v>1.0</v>
      </c>
      <c r="E30" s="7" t="s">
        <v>39</v>
      </c>
      <c r="F30" s="8">
        <f>IFERROR(__xludf.DUMMYFUNCTION("IF(
  REGEXMATCH(E30, "":""),
  60*VALUE(INDEX(SPLIT(E30, "":""),1,1)) + VALUE(INDEX(SPLIT(E30, "":""),1,2)),
  VALUE(E30)
)"),67.24)</f>
        <v>67.24</v>
      </c>
      <c r="G30" s="8">
        <f>average(F27-F30,F28-F31,F29-F32)</f>
        <v>0.4766666667</v>
      </c>
      <c r="H30" s="8">
        <v>0.4766666666666642</v>
      </c>
      <c r="I30" s="6">
        <f>C24</f>
        <v>15</v>
      </c>
      <c r="J30" s="6">
        <f>C41</f>
        <v>23</v>
      </c>
      <c r="K30" s="6">
        <f t="array" ref="K30">INDEX('Podium Target Times'!$C:$C, MATCH(A30&amp;B30, 'Podium Target Times'!$A:$A&amp;'Podium Target Times'!$B:$B, 0))
</f>
        <v>70.94</v>
      </c>
      <c r="L30" s="8">
        <f>L33+G33</f>
        <v>72.97833333</v>
      </c>
      <c r="M30" s="6" t="str">
        <f t="shared" si="1"/>
        <v>1:12.98</v>
      </c>
      <c r="N30" s="9">
        <f>IFERROR(__xludf.DUMMYFUNCTION("LET(
  gen,$A30, ev,$B30, t,$M30,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)"),678.0)</f>
        <v>678</v>
      </c>
    </row>
    <row r="31">
      <c r="A31" s="10" t="s">
        <v>14</v>
      </c>
      <c r="B31" s="11" t="s">
        <v>32</v>
      </c>
      <c r="C31" s="11">
        <v>18.0</v>
      </c>
      <c r="D31" s="11">
        <v>2.0</v>
      </c>
      <c r="E31" s="12" t="s">
        <v>40</v>
      </c>
      <c r="F31" s="13">
        <f>IFERROR(__xludf.DUMMYFUNCTION("IF(
  REGEXMATCH(E31, "":""),
  60*VALUE(INDEX(SPLIT(E31, "":""),1,1)) + VALUE(INDEX(SPLIT(E31, "":""),1,2)),
  VALUE(E31)
)"),67.92)</f>
        <v>67.92</v>
      </c>
      <c r="G31" s="13">
        <f>average(F27-F30,F28-F31,F29-F32)</f>
        <v>0.4766666667</v>
      </c>
      <c r="H31" s="13">
        <v>0.4766666666666642</v>
      </c>
      <c r="I31" s="11">
        <f>C24</f>
        <v>15</v>
      </c>
      <c r="J31" s="11">
        <f>C41</f>
        <v>23</v>
      </c>
      <c r="K31" s="11">
        <f t="array" ref="K31">INDEX('Podium Target Times'!$C:$C, MATCH(A31&amp;B31, 'Podium Target Times'!$A:$A&amp;'Podium Target Times'!$B:$B, 0))
</f>
        <v>70.94</v>
      </c>
      <c r="L31" s="13">
        <f>L33+G33</f>
        <v>72.97833333</v>
      </c>
      <c r="M31" s="11" t="str">
        <f t="shared" si="1"/>
        <v>1:12.98</v>
      </c>
      <c r="N31" s="14">
        <f>IFERROR(__xludf.DUMMYFUNCTION("LET(
  gen,$A31, ev,$B31, t,$M31,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)"),678.0)</f>
        <v>678</v>
      </c>
    </row>
    <row r="32">
      <c r="A32" s="5" t="s">
        <v>14</v>
      </c>
      <c r="B32" s="6" t="s">
        <v>32</v>
      </c>
      <c r="C32" s="6">
        <v>18.0</v>
      </c>
      <c r="D32" s="6">
        <v>3.0</v>
      </c>
      <c r="E32" s="7" t="s">
        <v>41</v>
      </c>
      <c r="F32" s="8">
        <f>IFERROR(__xludf.DUMMYFUNCTION("IF(
  REGEXMATCH(E32, "":""),
  60*VALUE(INDEX(SPLIT(E32, "":""),1,1)) + VALUE(INDEX(SPLIT(E32, "":""),1,2)),
  VALUE(E32)
)"),68.46000000000001)</f>
        <v>68.46</v>
      </c>
      <c r="G32" s="8">
        <f>average(F27-F30,F28-F31,F29-F32)</f>
        <v>0.4766666667</v>
      </c>
      <c r="H32" s="8">
        <v>0.4766666666666642</v>
      </c>
      <c r="I32" s="6">
        <f>C24</f>
        <v>15</v>
      </c>
      <c r="J32" s="6">
        <f>C41</f>
        <v>23</v>
      </c>
      <c r="K32" s="6">
        <f t="array" ref="K32">INDEX('Podium Target Times'!$C:$C, MATCH(A32&amp;B32, 'Podium Target Times'!$A:$A&amp;'Podium Target Times'!$B:$B, 0))
</f>
        <v>70.94</v>
      </c>
      <c r="L32" s="8">
        <f>L33+G33</f>
        <v>72.97833333</v>
      </c>
      <c r="M32" s="6" t="str">
        <f t="shared" si="1"/>
        <v>1:12.98</v>
      </c>
      <c r="N32" s="9">
        <f>IFERROR(__xludf.DUMMYFUNCTION("LET(
  gen,$A32, ev,$B32, t,$M32,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)"),678.0)</f>
        <v>678</v>
      </c>
    </row>
    <row r="33">
      <c r="A33" s="10" t="s">
        <v>14</v>
      </c>
      <c r="B33" s="11" t="s">
        <v>32</v>
      </c>
      <c r="C33" s="11">
        <v>19.0</v>
      </c>
      <c r="D33" s="11">
        <v>1.0</v>
      </c>
      <c r="E33" s="12" t="s">
        <v>42</v>
      </c>
      <c r="F33" s="13">
        <f>IFERROR(__xludf.DUMMYFUNCTION("IF(
  REGEXMATCH(E33, "":""),
  60*VALUE(INDEX(SPLIT(E33, "":""),1,1)) + VALUE(INDEX(SPLIT(E33, "":""),1,2)),
  VALUE(E33)
)"),66.87)</f>
        <v>66.87</v>
      </c>
      <c r="G33" s="13">
        <f>average(F30-F33,F31-F34,F32-F35)</f>
        <v>0.3733333333</v>
      </c>
      <c r="H33" s="13">
        <v>0.37333333333333485</v>
      </c>
      <c r="I33" s="11">
        <f>C24</f>
        <v>15</v>
      </c>
      <c r="J33" s="11">
        <f>C41</f>
        <v>23</v>
      </c>
      <c r="K33" s="11">
        <f t="array" ref="K33">INDEX('Podium Target Times'!$C:$C, MATCH(A33&amp;B33, 'Podium Target Times'!$A:$A&amp;'Podium Target Times'!$B:$B, 0))
</f>
        <v>70.94</v>
      </c>
      <c r="L33" s="13">
        <f>L36+G36</f>
        <v>72.605</v>
      </c>
      <c r="M33" s="11" t="str">
        <f t="shared" si="1"/>
        <v>1:12.61</v>
      </c>
      <c r="N33" s="14">
        <f>IFERROR(__xludf.DUMMYFUNCTION("LET(
  gen,$A33, ev,$B33, t,$M33,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34">
      <c r="A34" s="5" t="s">
        <v>14</v>
      </c>
      <c r="B34" s="6" t="s">
        <v>32</v>
      </c>
      <c r="C34" s="6">
        <v>19.0</v>
      </c>
      <c r="D34" s="6">
        <v>2.0</v>
      </c>
      <c r="E34" s="7" t="s">
        <v>43</v>
      </c>
      <c r="F34" s="8">
        <f>IFERROR(__xludf.DUMMYFUNCTION("IF(
  REGEXMATCH(E34, "":""),
  60*VALUE(INDEX(SPLIT(E34, "":""),1,1)) + VALUE(INDEX(SPLIT(E34, "":""),1,2)),
  VALUE(E34)
)"),67.55)</f>
        <v>67.55</v>
      </c>
      <c r="G34" s="8">
        <f>average(F30-F33,F31-F34,F32-F35)</f>
        <v>0.3733333333</v>
      </c>
      <c r="H34" s="8">
        <v>0.37333333333333485</v>
      </c>
      <c r="I34" s="6">
        <f>C24</f>
        <v>15</v>
      </c>
      <c r="J34" s="6">
        <f>C41</f>
        <v>23</v>
      </c>
      <c r="K34" s="6">
        <f t="array" ref="K34">INDEX('Podium Target Times'!$C:$C, MATCH(A34&amp;B34, 'Podium Target Times'!$A:$A&amp;'Podium Target Times'!$B:$B, 0))
</f>
        <v>70.94</v>
      </c>
      <c r="L34" s="8">
        <f>L36+G36</f>
        <v>72.605</v>
      </c>
      <c r="M34" s="6" t="str">
        <f t="shared" si="1"/>
        <v>1:12.61</v>
      </c>
      <c r="N34" s="9">
        <f>IFERROR(__xludf.DUMMYFUNCTION("LET(
  gen,$A34, ev,$B34, t,$M34,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35">
      <c r="A35" s="10" t="s">
        <v>14</v>
      </c>
      <c r="B35" s="11" t="s">
        <v>32</v>
      </c>
      <c r="C35" s="11">
        <v>19.0</v>
      </c>
      <c r="D35" s="11">
        <v>3.0</v>
      </c>
      <c r="E35" s="12" t="s">
        <v>44</v>
      </c>
      <c r="F35" s="13">
        <f>IFERROR(__xludf.DUMMYFUNCTION("IF(
  REGEXMATCH(E35, "":""),
  60*VALUE(INDEX(SPLIT(E35, "":""),1,1)) + VALUE(INDEX(SPLIT(E35, "":""),1,2)),
  VALUE(E35)
)"),68.08)</f>
        <v>68.08</v>
      </c>
      <c r="G35" s="13">
        <f>average(F30-F33,F31-F34,F32-F35)</f>
        <v>0.3733333333</v>
      </c>
      <c r="H35" s="13">
        <v>0.37333333333333485</v>
      </c>
      <c r="I35" s="11">
        <f>C24</f>
        <v>15</v>
      </c>
      <c r="J35" s="11">
        <f>C41</f>
        <v>23</v>
      </c>
      <c r="K35" s="11">
        <f t="array" ref="K35">INDEX('Podium Target Times'!$C:$C, MATCH(A35&amp;B35, 'Podium Target Times'!$A:$A&amp;'Podium Target Times'!$B:$B, 0))
</f>
        <v>70.94</v>
      </c>
      <c r="L35" s="13">
        <f>L36+G36</f>
        <v>72.605</v>
      </c>
      <c r="M35" s="11" t="str">
        <f t="shared" si="1"/>
        <v>1:12.61</v>
      </c>
      <c r="N35" s="14">
        <f>IFERROR(__xludf.DUMMYFUNCTION("LET(
  gen,$A35, ev,$B35, t,$M35,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36">
      <c r="A36" s="5" t="s">
        <v>14</v>
      </c>
      <c r="B36" s="6" t="s">
        <v>32</v>
      </c>
      <c r="C36" s="6">
        <v>20.0</v>
      </c>
      <c r="D36" s="6">
        <v>2.0</v>
      </c>
      <c r="E36" s="7" t="s">
        <v>45</v>
      </c>
      <c r="F36" s="8">
        <f>IFERROR(__xludf.DUMMYFUNCTION("IF(
  REGEXMATCH(E36, "":""),
  60*VALUE(INDEX(SPLIT(E36, "":""),1,1)) + VALUE(INDEX(SPLIT(E36, "":""),1,2)),
  VALUE(E36)
)"),67.2)</f>
        <v>67.2</v>
      </c>
      <c r="G36" s="8">
        <f>average(F34-F36,F35-F37)</f>
        <v>0.35</v>
      </c>
      <c r="H36" s="8">
        <v>0.3499999999999943</v>
      </c>
      <c r="I36" s="6">
        <f>C24</f>
        <v>15</v>
      </c>
      <c r="J36" s="6">
        <f>C41</f>
        <v>23</v>
      </c>
      <c r="K36" s="6">
        <f t="array" ref="K36">INDEX('Podium Target Times'!$C:$C, MATCH(A36&amp;B36, 'Podium Target Times'!$A:$A&amp;'Podium Target Times'!$B:$B, 0))
</f>
        <v>70.94</v>
      </c>
      <c r="L36" s="8">
        <f>L38+G38</f>
        <v>72.255</v>
      </c>
      <c r="M36" s="6" t="str">
        <f t="shared" si="1"/>
        <v>1:12.26</v>
      </c>
      <c r="N36" s="9">
        <f>IFERROR(__xludf.DUMMYFUNCTION("LET(
  gen,$A36, ev,$B36, t,$M36,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)"),699.0)</f>
        <v>699</v>
      </c>
    </row>
    <row r="37">
      <c r="A37" s="10" t="s">
        <v>14</v>
      </c>
      <c r="B37" s="11" t="s">
        <v>32</v>
      </c>
      <c r="C37" s="11">
        <v>20.0</v>
      </c>
      <c r="D37" s="11">
        <v>3.0</v>
      </c>
      <c r="E37" s="12" t="s">
        <v>46</v>
      </c>
      <c r="F37" s="13">
        <f>IFERROR(__xludf.DUMMYFUNCTION("IF(
  REGEXMATCH(E37, "":""),
  60*VALUE(INDEX(SPLIT(E37, "":""),1,1)) + VALUE(INDEX(SPLIT(E37, "":""),1,2)),
  VALUE(E37)
)"),67.73)</f>
        <v>67.73</v>
      </c>
      <c r="G37" s="13">
        <f>average(F34-F36,F35-F37)</f>
        <v>0.35</v>
      </c>
      <c r="H37" s="13">
        <v>0.3499999999999943</v>
      </c>
      <c r="I37" s="11">
        <f>C24</f>
        <v>15</v>
      </c>
      <c r="J37" s="11">
        <f>C41</f>
        <v>23</v>
      </c>
      <c r="K37" s="11">
        <f t="array" ref="K37">INDEX('Podium Target Times'!$C:$C, MATCH(A37&amp;B37, 'Podium Target Times'!$A:$A&amp;'Podium Target Times'!$B:$B, 0))
</f>
        <v>70.94</v>
      </c>
      <c r="L37" s="13">
        <f>L38+G38</f>
        <v>72.255</v>
      </c>
      <c r="M37" s="11" t="str">
        <f t="shared" si="1"/>
        <v>1:12.26</v>
      </c>
      <c r="N37" s="14">
        <f>IFERROR(__xludf.DUMMYFUNCTION("LET(
  gen,$A37, ev,$B37, t,$M37,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)"),699.0)</f>
        <v>699</v>
      </c>
    </row>
    <row r="38">
      <c r="A38" s="5" t="s">
        <v>14</v>
      </c>
      <c r="B38" s="6" t="s">
        <v>32</v>
      </c>
      <c r="C38" s="6">
        <v>21.0</v>
      </c>
      <c r="D38" s="6">
        <v>2.0</v>
      </c>
      <c r="E38" s="7" t="s">
        <v>42</v>
      </c>
      <c r="F38" s="8">
        <f>IFERROR(__xludf.DUMMYFUNCTION("IF(
  REGEXMATCH(E38, "":""),
  60*VALUE(INDEX(SPLIT(E38, "":""),1,1)) + VALUE(INDEX(SPLIT(E38, "":""),1,2)),
  VALUE(E38)
)"),66.87)</f>
        <v>66.87</v>
      </c>
      <c r="G38" s="8">
        <f>average(F36-F38,F37-F39)</f>
        <v>0.335</v>
      </c>
      <c r="H38" s="8">
        <v>0.33500000000000085</v>
      </c>
      <c r="I38" s="6">
        <f>C24</f>
        <v>15</v>
      </c>
      <c r="J38" s="6">
        <f>C41</f>
        <v>23</v>
      </c>
      <c r="K38" s="6">
        <f t="array" ref="K38">INDEX('Podium Target Times'!$C:$C, MATCH(A38&amp;B38, 'Podium Target Times'!$A:$A&amp;'Podium Target Times'!$B:$B, 0))
</f>
        <v>70.94</v>
      </c>
      <c r="L38" s="8">
        <f>L40+G40</f>
        <v>71.92</v>
      </c>
      <c r="M38" s="6" t="str">
        <f t="shared" si="1"/>
        <v>1:11.92</v>
      </c>
      <c r="N38" s="9">
        <f>IFERROR(__xludf.DUMMYFUNCTION("LET(
  gen,$A38, ev,$B38, t,$M38,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)"),708.0)</f>
        <v>708</v>
      </c>
    </row>
    <row r="39">
      <c r="A39" s="10" t="s">
        <v>14</v>
      </c>
      <c r="B39" s="11" t="s">
        <v>32</v>
      </c>
      <c r="C39" s="11">
        <v>21.0</v>
      </c>
      <c r="D39" s="11">
        <v>3.0</v>
      </c>
      <c r="E39" s="12" t="s">
        <v>47</v>
      </c>
      <c r="F39" s="13">
        <f>IFERROR(__xludf.DUMMYFUNCTION("IF(
  REGEXMATCH(E39, "":""),
  60*VALUE(INDEX(SPLIT(E39, "":""),1,1)) + VALUE(INDEX(SPLIT(E39, "":""),1,2)),
  VALUE(E39)
)"),67.39)</f>
        <v>67.39</v>
      </c>
      <c r="G39" s="13">
        <f>average(F36-F38,F37-F39)</f>
        <v>0.335</v>
      </c>
      <c r="H39" s="13">
        <v>0.33500000000000085</v>
      </c>
      <c r="I39" s="11">
        <f>C24</f>
        <v>15</v>
      </c>
      <c r="J39" s="11">
        <f>C41</f>
        <v>23</v>
      </c>
      <c r="K39" s="11">
        <f t="array" ref="K39">INDEX('Podium Target Times'!$C:$C, MATCH(A39&amp;B39, 'Podium Target Times'!$A:$A&amp;'Podium Target Times'!$B:$B, 0))
</f>
        <v>70.94</v>
      </c>
      <c r="L39" s="13">
        <f t="shared" ref="L39:L40" si="4">L40+G40</f>
        <v>71.92</v>
      </c>
      <c r="M39" s="11" t="str">
        <f t="shared" si="1"/>
        <v>1:11.92</v>
      </c>
      <c r="N39" s="14">
        <f>IFERROR(__xludf.DUMMYFUNCTION("LET(
  gen,$A39, ev,$B39, t,$M39,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)"),708.0)</f>
        <v>708</v>
      </c>
    </row>
    <row r="40">
      <c r="A40" s="5" t="s">
        <v>14</v>
      </c>
      <c r="B40" s="6" t="s">
        <v>32</v>
      </c>
      <c r="C40" s="6">
        <v>22.0</v>
      </c>
      <c r="D40" s="6">
        <v>3.0</v>
      </c>
      <c r="E40" s="7" t="s">
        <v>48</v>
      </c>
      <c r="F40" s="8">
        <f>IFERROR(__xludf.DUMMYFUNCTION("IF(
  REGEXMATCH(E40, "":""),
  60*VALUE(INDEX(SPLIT(E40, "":""),1,1)) + VALUE(INDEX(SPLIT(E40, "":""),1,2)),
  VALUE(E40)
)"),67.1)</f>
        <v>67.1</v>
      </c>
      <c r="G40" s="8">
        <f t="shared" ref="G40:G41" si="5">F39-F40</f>
        <v>0.29</v>
      </c>
      <c r="H40" s="8">
        <v>0.29000000000000625</v>
      </c>
      <c r="I40" s="6">
        <f>C24</f>
        <v>15</v>
      </c>
      <c r="J40" s="6">
        <f>C41</f>
        <v>23</v>
      </c>
      <c r="K40" s="6">
        <f t="array" ref="K40">INDEX('Podium Target Times'!$C:$C, MATCH(A40&amp;B40, 'Podium Target Times'!$A:$A&amp;'Podium Target Times'!$B:$B, 0))
</f>
        <v>70.94</v>
      </c>
      <c r="L40" s="8">
        <f t="shared" si="4"/>
        <v>71.63</v>
      </c>
      <c r="M40" s="6" t="str">
        <f t="shared" si="1"/>
        <v>1:11.63</v>
      </c>
      <c r="N40" s="9">
        <f>IFERROR(__xludf.DUMMYFUNCTION("LET(
  gen,$A40, ev,$B40, t,$M40,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)"),717.0)</f>
        <v>717</v>
      </c>
    </row>
    <row r="41">
      <c r="A41" s="10" t="s">
        <v>14</v>
      </c>
      <c r="B41" s="11" t="s">
        <v>32</v>
      </c>
      <c r="C41" s="11">
        <v>23.0</v>
      </c>
      <c r="D41" s="11">
        <v>3.0</v>
      </c>
      <c r="E41" s="12" t="s">
        <v>42</v>
      </c>
      <c r="F41" s="13">
        <f>IFERROR(__xludf.DUMMYFUNCTION("IF(
  REGEXMATCH(E41, "":""),
  60*VALUE(INDEX(SPLIT(E41, "":""),1,1)) + VALUE(INDEX(SPLIT(E41, "":""),1,2)),
  VALUE(E41)
)"),66.87)</f>
        <v>66.87</v>
      </c>
      <c r="G41" s="13">
        <f t="shared" si="5"/>
        <v>0.23</v>
      </c>
      <c r="H41" s="13">
        <v>0.22999999999998977</v>
      </c>
      <c r="I41" s="11">
        <f>C24</f>
        <v>15</v>
      </c>
      <c r="J41" s="11">
        <f>C41</f>
        <v>23</v>
      </c>
      <c r="K41" s="11">
        <f t="array" ref="K41">INDEX('Podium Target Times'!$C:$C, MATCH(A41&amp;B41, 'Podium Target Times'!$A:$A&amp;'Podium Target Times'!$B:$B, 0))
</f>
        <v>70.94</v>
      </c>
      <c r="L41" s="13">
        <f>G41+L42</f>
        <v>71.4</v>
      </c>
      <c r="M41" s="11" t="str">
        <f t="shared" si="1"/>
        <v>1:11.40</v>
      </c>
      <c r="N41" s="14">
        <f>IFERROR(__xludf.DUMMYFUNCTION("LET(
  gen,$A41, ev,$B41, t,$M41,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)"),724.0)</f>
        <v>724</v>
      </c>
    </row>
    <row r="42">
      <c r="A42" s="5" t="s">
        <v>14</v>
      </c>
      <c r="B42" s="6" t="s">
        <v>32</v>
      </c>
      <c r="C42" s="6">
        <v>24.0</v>
      </c>
      <c r="D42" s="6"/>
      <c r="E42" s="7"/>
      <c r="F42" s="8">
        <f>IFERROR(__xludf.DUMMYFUNCTION("IF(
  REGEXMATCH(E42, "":""),
  60*VALUE(INDEX(SPLIT(E42, "":""),1,1)) + VALUE(INDEX(SPLIT(E42, "":""),1,2)),
  VALUE(E42)
)"),0.0)</f>
        <v>0</v>
      </c>
      <c r="G42" s="8"/>
      <c r="H42" s="8"/>
      <c r="I42" s="6">
        <f>C24</f>
        <v>15</v>
      </c>
      <c r="J42" s="6">
        <f>C41</f>
        <v>23</v>
      </c>
      <c r="K42" s="6">
        <f t="array" ref="K42">INDEX('Podium Target Times'!$C:$C, MATCH(A42&amp;B42, 'Podium Target Times'!$A:$A&amp;'Podium Target Times'!$B:$B, 0))
</f>
        <v>70.94</v>
      </c>
      <c r="L42" s="8">
        <f>G41+L43</f>
        <v>71.17</v>
      </c>
      <c r="M42" s="6" t="str">
        <f t="shared" si="1"/>
        <v>1:11.17</v>
      </c>
      <c r="N42" s="9">
        <f>IFERROR(__xludf.DUMMYFUNCTION("LET(
  gen,$A42, ev,$B42, t,$M42,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)"),731.0)</f>
        <v>731</v>
      </c>
    </row>
    <row r="43">
      <c r="A43" s="10" t="s">
        <v>14</v>
      </c>
      <c r="B43" s="11" t="s">
        <v>32</v>
      </c>
      <c r="C43" s="11">
        <v>25.0</v>
      </c>
      <c r="D43" s="11"/>
      <c r="E43" s="12"/>
      <c r="F43" s="13">
        <f>IFERROR(__xludf.DUMMYFUNCTION("IF(
  REGEXMATCH(E43, "":""),
  60*VALUE(INDEX(SPLIT(E43, "":""),1,1)) + VALUE(INDEX(SPLIT(E43, "":""),1,2)),
  VALUE(E43)
)"),0.0)</f>
        <v>0</v>
      </c>
      <c r="G43" s="13"/>
      <c r="H43" s="13"/>
      <c r="I43" s="11">
        <f>C24</f>
        <v>15</v>
      </c>
      <c r="J43" s="11">
        <f>C41</f>
        <v>23</v>
      </c>
      <c r="K43" s="11">
        <f t="array" ref="K43">INDEX('Podium Target Times'!$C:$C, MATCH(A43&amp;B43, 'Podium Target Times'!$A:$A&amp;'Podium Target Times'!$B:$B, 0))
</f>
        <v>70.94</v>
      </c>
      <c r="L43" s="11">
        <f>K43</f>
        <v>70.94</v>
      </c>
      <c r="M43" s="11" t="str">
        <f t="shared" si="1"/>
        <v>1:10.94</v>
      </c>
      <c r="N43" s="14">
        <f>IFERROR(__xludf.DUMMYFUNCTION("LET(
  gen,$A43, ev,$B43, t,$M43,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)"),738.0)</f>
        <v>738</v>
      </c>
    </row>
    <row r="44">
      <c r="A44" s="5" t="s">
        <v>14</v>
      </c>
      <c r="B44" s="6" t="s">
        <v>49</v>
      </c>
      <c r="C44" s="6">
        <v>15.0</v>
      </c>
      <c r="D44" s="6">
        <v>1.0</v>
      </c>
      <c r="E44" s="7" t="s">
        <v>50</v>
      </c>
      <c r="F44" s="8">
        <f>IFERROR(__xludf.DUMMYFUNCTION("IF(
  REGEXMATCH(E44, "":""),
  60*VALUE(INDEX(SPLIT(E44, "":""),1,1)) + VALUE(INDEX(SPLIT(E44, "":""),1,2)),
  VALUE(E44)
)"),61.67)</f>
        <v>61.67</v>
      </c>
      <c r="G44" s="8">
        <v>0.0</v>
      </c>
      <c r="H44" s="8">
        <v>0.0</v>
      </c>
      <c r="I44" s="6">
        <f>C44</f>
        <v>15</v>
      </c>
      <c r="J44" s="6">
        <f>C61</f>
        <v>23</v>
      </c>
      <c r="K44" s="6">
        <f t="array" ref="K44">INDEX('Podium Target Times'!$C:$C, MATCH(A44&amp;B44, 'Podium Target Times'!$A:$A&amp;'Podium Target Times'!$B:$B, 0))
</f>
        <v>60.45</v>
      </c>
      <c r="L44" s="8">
        <f>L45+G45</f>
        <v>64.795</v>
      </c>
      <c r="M44" s="6" t="str">
        <f t="shared" si="1"/>
        <v>1:04.80</v>
      </c>
      <c r="N44" s="9">
        <f>IFERROR(__xludf.DUMMYFUNCTION("LET(
  gen,$A44, ev,$B44, t,$M44,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)"),617.0)</f>
        <v>617</v>
      </c>
    </row>
    <row r="45">
      <c r="A45" s="10" t="s">
        <v>14</v>
      </c>
      <c r="B45" s="11" t="s">
        <v>49</v>
      </c>
      <c r="C45" s="11">
        <v>16.0</v>
      </c>
      <c r="D45" s="11">
        <v>1.0</v>
      </c>
      <c r="E45" s="12" t="s">
        <v>51</v>
      </c>
      <c r="F45" s="13">
        <f>IFERROR(__xludf.DUMMYFUNCTION("IF(
  REGEXMATCH(E45, "":""),
  60*VALUE(INDEX(SPLIT(E45, "":""),1,1)) + VALUE(INDEX(SPLIT(E45, "":""),1,2)),
  VALUE(E45)
)"),60.43)</f>
        <v>60.43</v>
      </c>
      <c r="G45" s="13">
        <f>F44-F45</f>
        <v>1.24</v>
      </c>
      <c r="H45" s="13">
        <v>1.240000000000002</v>
      </c>
      <c r="I45" s="11">
        <f>C44</f>
        <v>15</v>
      </c>
      <c r="J45" s="11">
        <f>C61</f>
        <v>23</v>
      </c>
      <c r="K45" s="11">
        <f t="array" ref="K45">INDEX('Podium Target Times'!$C:$C, MATCH(A45&amp;B45, 'Podium Target Times'!$A:$A&amp;'Podium Target Times'!$B:$B, 0))
</f>
        <v>60.45</v>
      </c>
      <c r="L45" s="13">
        <f>L47+G47</f>
        <v>63.555</v>
      </c>
      <c r="M45" s="11" t="str">
        <f t="shared" si="1"/>
        <v>1:03.56</v>
      </c>
      <c r="N45" s="14">
        <f>IFERROR(__xludf.DUMMYFUNCTION("LET(
  gen,$A45, ev,$B45, t,$M45,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46">
      <c r="A46" s="5" t="s">
        <v>14</v>
      </c>
      <c r="B46" s="6" t="s">
        <v>49</v>
      </c>
      <c r="C46" s="6">
        <v>16.0</v>
      </c>
      <c r="D46" s="6">
        <v>2.0</v>
      </c>
      <c r="E46" s="7" t="s">
        <v>52</v>
      </c>
      <c r="F46" s="8">
        <f>IFERROR(__xludf.DUMMYFUNCTION("IF(
  REGEXMATCH(E46, "":""),
  60*VALUE(INDEX(SPLIT(E46, "":""),1,1)) + VALUE(INDEX(SPLIT(E46, "":""),1,2)),
  VALUE(E46)
)"),61.15)</f>
        <v>61.15</v>
      </c>
      <c r="G46" s="8">
        <f>F44-F45</f>
        <v>1.24</v>
      </c>
      <c r="H46" s="8">
        <v>1.240000000000002</v>
      </c>
      <c r="I46" s="6">
        <f>C44</f>
        <v>15</v>
      </c>
      <c r="J46" s="6">
        <f>C61</f>
        <v>23</v>
      </c>
      <c r="K46" s="6">
        <f t="array" ref="K46">INDEX('Podium Target Times'!$C:$C, MATCH(A46&amp;B46, 'Podium Target Times'!$A:$A&amp;'Podium Target Times'!$B:$B, 0))
</f>
        <v>60.45</v>
      </c>
      <c r="L46" s="8">
        <f>L47+G47</f>
        <v>63.555</v>
      </c>
      <c r="M46" s="6" t="str">
        <f t="shared" si="1"/>
        <v>1:03.56</v>
      </c>
      <c r="N46" s="9">
        <f>IFERROR(__xludf.DUMMYFUNCTION("LET(
  gen,$A46, ev,$B46, t,$M46,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)"),654.0)</f>
        <v>654</v>
      </c>
    </row>
    <row r="47">
      <c r="A47" s="10" t="s">
        <v>14</v>
      </c>
      <c r="B47" s="11" t="s">
        <v>49</v>
      </c>
      <c r="C47" s="11">
        <v>17.0</v>
      </c>
      <c r="D47" s="11">
        <v>1.0</v>
      </c>
      <c r="E47" s="12" t="s">
        <v>53</v>
      </c>
      <c r="F47" s="13">
        <f>IFERROR(__xludf.DUMMYFUNCTION("IF(
  REGEXMATCH(E47, "":""),
  60*VALUE(INDEX(SPLIT(E47, "":""),1,1)) + VALUE(INDEX(SPLIT(E47, "":""),1,2)),
  VALUE(E47)
)"),59.56)</f>
        <v>59.56</v>
      </c>
      <c r="G47" s="13">
        <f>average(F45-F47,F46-F48)</f>
        <v>0.875</v>
      </c>
      <c r="H47" s="13">
        <v>0.8749999999999964</v>
      </c>
      <c r="I47" s="11">
        <f>C44</f>
        <v>15</v>
      </c>
      <c r="J47" s="11">
        <f>C61</f>
        <v>23</v>
      </c>
      <c r="K47" s="11">
        <f t="array" ref="K47">INDEX('Podium Target Times'!$C:$C, MATCH(A47&amp;B47, 'Podium Target Times'!$A:$A&amp;'Podium Target Times'!$B:$B, 0))
</f>
        <v>60.45</v>
      </c>
      <c r="L47" s="13">
        <f>L50+G50</f>
        <v>62.68</v>
      </c>
      <c r="M47" s="11" t="str">
        <f t="shared" si="1"/>
        <v>1:02.68</v>
      </c>
      <c r="N47" s="14">
        <f>IFERROR(__xludf.DUMMYFUNCTION("LET(
  gen,$A47, ev,$B47, t,$M47,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)"),682.0)</f>
        <v>682</v>
      </c>
    </row>
    <row r="48">
      <c r="A48" s="5" t="s">
        <v>14</v>
      </c>
      <c r="B48" s="6" t="s">
        <v>49</v>
      </c>
      <c r="C48" s="6">
        <v>17.0</v>
      </c>
      <c r="D48" s="6">
        <v>2.0</v>
      </c>
      <c r="E48" s="7" t="s">
        <v>54</v>
      </c>
      <c r="F48" s="8">
        <f>IFERROR(__xludf.DUMMYFUNCTION("IF(
  REGEXMATCH(E48, "":""),
  60*VALUE(INDEX(SPLIT(E48, "":""),1,1)) + VALUE(INDEX(SPLIT(E48, "":""),1,2)),
  VALUE(E48)
)"),60.27)</f>
        <v>60.27</v>
      </c>
      <c r="G48" s="8">
        <f>average(F45-F47,F46-F48)</f>
        <v>0.875</v>
      </c>
      <c r="H48" s="8">
        <v>0.8749999999999964</v>
      </c>
      <c r="I48" s="6">
        <f>C44</f>
        <v>15</v>
      </c>
      <c r="J48" s="6">
        <f>C61</f>
        <v>23</v>
      </c>
      <c r="K48" s="6">
        <f t="array" ref="K48">INDEX('Podium Target Times'!$C:$C, MATCH(A48&amp;B48, 'Podium Target Times'!$A:$A&amp;'Podium Target Times'!$B:$B, 0))
</f>
        <v>60.45</v>
      </c>
      <c r="L48" s="8">
        <f>L50+G50</f>
        <v>62.68</v>
      </c>
      <c r="M48" s="6" t="str">
        <f t="shared" si="1"/>
        <v>1:02.68</v>
      </c>
      <c r="N48" s="9">
        <f>IFERROR(__xludf.DUMMYFUNCTION("LET(
  gen,$A48, ev,$B48, t,$M48,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)"),682.0)</f>
        <v>682</v>
      </c>
    </row>
    <row r="49">
      <c r="A49" s="10" t="s">
        <v>14</v>
      </c>
      <c r="B49" s="11" t="s">
        <v>49</v>
      </c>
      <c r="C49" s="11">
        <v>17.0</v>
      </c>
      <c r="D49" s="11">
        <v>3.0</v>
      </c>
      <c r="E49" s="12" t="s">
        <v>55</v>
      </c>
      <c r="F49" s="13">
        <f>IFERROR(__xludf.DUMMYFUNCTION("IF(
  REGEXMATCH(E49, "":""),
  60*VALUE(INDEX(SPLIT(E49, "":""),1,1)) + VALUE(INDEX(SPLIT(E49, "":""),1,2)),
  VALUE(E49)
)"),60.47)</f>
        <v>60.47</v>
      </c>
      <c r="G49" s="13">
        <f>average(F45-F47,F46-F48)</f>
        <v>0.875</v>
      </c>
      <c r="H49" s="13">
        <v>0.8749999999999964</v>
      </c>
      <c r="I49" s="11">
        <f>C44</f>
        <v>15</v>
      </c>
      <c r="J49" s="11">
        <f>C61</f>
        <v>23</v>
      </c>
      <c r="K49" s="11">
        <f t="array" ref="K49">INDEX('Podium Target Times'!$C:$C, MATCH(A49&amp;B49, 'Podium Target Times'!$A:$A&amp;'Podium Target Times'!$B:$B, 0))
</f>
        <v>60.45</v>
      </c>
      <c r="L49" s="13">
        <f>L50+G50</f>
        <v>62.68</v>
      </c>
      <c r="M49" s="11" t="str">
        <f t="shared" si="1"/>
        <v>1:02.68</v>
      </c>
      <c r="N49" s="14">
        <f>IFERROR(__xludf.DUMMYFUNCTION("LET(
  gen,$A49, ev,$B49, t,$M49,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)"),682.0)</f>
        <v>682</v>
      </c>
    </row>
    <row r="50">
      <c r="A50" s="5" t="s">
        <v>14</v>
      </c>
      <c r="B50" s="6" t="s">
        <v>49</v>
      </c>
      <c r="C50" s="6">
        <v>18.0</v>
      </c>
      <c r="D50" s="6">
        <v>1.0</v>
      </c>
      <c r="E50" s="7" t="s">
        <v>56</v>
      </c>
      <c r="F50" s="8">
        <f>IFERROR(__xludf.DUMMYFUNCTION("IF(
  REGEXMATCH(E50, "":""),
  60*VALUE(INDEX(SPLIT(E50, "":""),1,1)) + VALUE(INDEX(SPLIT(E50, "":""),1,2)),
  VALUE(E50)
)"),59.57)</f>
        <v>59.57</v>
      </c>
      <c r="G50" s="8">
        <f>average(F47-F50,F48-F51,F49-F52)</f>
        <v>0.3966666667</v>
      </c>
      <c r="H50" s="8">
        <v>0.3966666666666659</v>
      </c>
      <c r="I50" s="6">
        <f>C44</f>
        <v>15</v>
      </c>
      <c r="J50" s="6">
        <f>C61</f>
        <v>23</v>
      </c>
      <c r="K50" s="6">
        <f t="array" ref="K50">INDEX('Podium Target Times'!$C:$C, MATCH(A50&amp;B50, 'Podium Target Times'!$A:$A&amp;'Podium Target Times'!$B:$B, 0))
</f>
        <v>60.45</v>
      </c>
      <c r="L50" s="8">
        <f>L53+G53</f>
        <v>62.28333333</v>
      </c>
      <c r="M50" s="6" t="str">
        <f t="shared" si="1"/>
        <v>1:02.28</v>
      </c>
      <c r="N50" s="9">
        <f>IFERROR(__xludf.DUMMYFUNCTION("LET(
  gen,$A50, ev,$B50, t,$M50,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51">
      <c r="A51" s="10" t="s">
        <v>14</v>
      </c>
      <c r="B51" s="11" t="s">
        <v>49</v>
      </c>
      <c r="C51" s="11">
        <v>18.0</v>
      </c>
      <c r="D51" s="11">
        <v>2.0</v>
      </c>
      <c r="E51" s="12" t="s">
        <v>57</v>
      </c>
      <c r="F51" s="13">
        <f>IFERROR(__xludf.DUMMYFUNCTION("IF(
  REGEXMATCH(E51, "":""),
  60*VALUE(INDEX(SPLIT(E51, "":""),1,1)) + VALUE(INDEX(SPLIT(E51, "":""),1,2)),
  VALUE(E51)
)"),59.77)</f>
        <v>59.77</v>
      </c>
      <c r="G51" s="13">
        <f>average(F47-F50,F48-F51,F49-F52)</f>
        <v>0.3966666667</v>
      </c>
      <c r="H51" s="13">
        <v>0.3966666666666659</v>
      </c>
      <c r="I51" s="11">
        <f>C44</f>
        <v>15</v>
      </c>
      <c r="J51" s="11">
        <f>C61</f>
        <v>23</v>
      </c>
      <c r="K51" s="11">
        <f t="array" ref="K51">INDEX('Podium Target Times'!$C:$C, MATCH(A51&amp;B51, 'Podium Target Times'!$A:$A&amp;'Podium Target Times'!$B:$B, 0))
</f>
        <v>60.45</v>
      </c>
      <c r="L51" s="13">
        <f>L53+G53</f>
        <v>62.28333333</v>
      </c>
      <c r="M51" s="11" t="str">
        <f t="shared" si="1"/>
        <v>1:02.28</v>
      </c>
      <c r="N51" s="14">
        <f>IFERROR(__xludf.DUMMYFUNCTION("LET(
  gen,$A51, ev,$B51, t,$M51,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52">
      <c r="A52" s="5" t="s">
        <v>14</v>
      </c>
      <c r="B52" s="6" t="s">
        <v>49</v>
      </c>
      <c r="C52" s="6">
        <v>18.0</v>
      </c>
      <c r="D52" s="6">
        <v>3.0</v>
      </c>
      <c r="E52" s="7" t="s">
        <v>57</v>
      </c>
      <c r="F52" s="8">
        <f>IFERROR(__xludf.DUMMYFUNCTION("IF(
  REGEXMATCH(E52, "":""),
  60*VALUE(INDEX(SPLIT(E52, "":""),1,1)) + VALUE(INDEX(SPLIT(E52, "":""),1,2)),
  VALUE(E52)
)"),59.77)</f>
        <v>59.77</v>
      </c>
      <c r="G52" s="8">
        <f>average(F47-F50,F48-F51,F49-F52)</f>
        <v>0.3966666667</v>
      </c>
      <c r="H52" s="8">
        <v>0.3966666666666659</v>
      </c>
      <c r="I52" s="6">
        <f>C44</f>
        <v>15</v>
      </c>
      <c r="J52" s="6">
        <f>C61</f>
        <v>23</v>
      </c>
      <c r="K52" s="6">
        <f t="array" ref="K52">INDEX('Podium Target Times'!$C:$C, MATCH(A52&amp;B52, 'Podium Target Times'!$A:$A&amp;'Podium Target Times'!$B:$B, 0))
</f>
        <v>60.45</v>
      </c>
      <c r="L52" s="8">
        <f>L53+G53</f>
        <v>62.28333333</v>
      </c>
      <c r="M52" s="6" t="str">
        <f t="shared" si="1"/>
        <v>1:02.28</v>
      </c>
      <c r="N52" s="9">
        <f>IFERROR(__xludf.DUMMYFUNCTION("LET(
  gen,$A52, ev,$B52, t,$M52,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53">
      <c r="A53" s="10" t="s">
        <v>14</v>
      </c>
      <c r="B53" s="11" t="s">
        <v>49</v>
      </c>
      <c r="C53" s="11">
        <v>19.0</v>
      </c>
      <c r="D53" s="11">
        <v>1.0</v>
      </c>
      <c r="E53" s="12" t="s">
        <v>58</v>
      </c>
      <c r="F53" s="13">
        <f>IFERROR(__xludf.DUMMYFUNCTION("IF(
  REGEXMATCH(E53, "":""),
  60*VALUE(INDEX(SPLIT(E53, "":""),1,1)) + VALUE(INDEX(SPLIT(E53, "":""),1,2)),
  VALUE(E53)
)"),58.33)</f>
        <v>58.33</v>
      </c>
      <c r="G53" s="13">
        <f>average(F50-F53,F51-F54,F52-F55)</f>
        <v>0.8433333333</v>
      </c>
      <c r="H53" s="13">
        <v>0.843333333333336</v>
      </c>
      <c r="I53" s="11">
        <f>C44</f>
        <v>15</v>
      </c>
      <c r="J53" s="11">
        <f>C61</f>
        <v>23</v>
      </c>
      <c r="K53" s="11">
        <f t="array" ref="K53">INDEX('Podium Target Times'!$C:$C, MATCH(A53&amp;B53, 'Podium Target Times'!$A:$A&amp;'Podium Target Times'!$B:$B, 0))
</f>
        <v>60.45</v>
      </c>
      <c r="L53" s="13">
        <f>L56+G56</f>
        <v>61.44</v>
      </c>
      <c r="M53" s="11" t="str">
        <f t="shared" si="1"/>
        <v>1:01.44</v>
      </c>
      <c r="N53" s="14">
        <f>IFERROR(__xludf.DUMMYFUNCTION("LET(
  gen,$A53, ev,$B53, t,$M53,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)"),724.0)</f>
        <v>724</v>
      </c>
    </row>
    <row r="54">
      <c r="A54" s="5" t="s">
        <v>14</v>
      </c>
      <c r="B54" s="6" t="s">
        <v>49</v>
      </c>
      <c r="C54" s="6">
        <v>19.0</v>
      </c>
      <c r="D54" s="6">
        <v>2.0</v>
      </c>
      <c r="E54" s="7" t="s">
        <v>59</v>
      </c>
      <c r="F54" s="8">
        <f>IFERROR(__xludf.DUMMYFUNCTION("IF(
  REGEXMATCH(E54, "":""),
  60*VALUE(INDEX(SPLIT(E54, "":""),1,1)) + VALUE(INDEX(SPLIT(E54, "":""),1,2)),
  VALUE(E54)
)"),59.03)</f>
        <v>59.03</v>
      </c>
      <c r="G54" s="8">
        <f>average(F50-F53,F51-F54,F52-F55)</f>
        <v>0.8433333333</v>
      </c>
      <c r="H54" s="8">
        <v>0.843333333333336</v>
      </c>
      <c r="I54" s="6">
        <f>C44</f>
        <v>15</v>
      </c>
      <c r="J54" s="6">
        <f>C61</f>
        <v>23</v>
      </c>
      <c r="K54" s="6">
        <f t="array" ref="K54">INDEX('Podium Target Times'!$C:$C, MATCH(A54&amp;B54, 'Podium Target Times'!$A:$A&amp;'Podium Target Times'!$B:$B, 0))
</f>
        <v>60.45</v>
      </c>
      <c r="L54" s="8">
        <f>L56+G56</f>
        <v>61.44</v>
      </c>
      <c r="M54" s="6" t="str">
        <f t="shared" si="1"/>
        <v>1:01.44</v>
      </c>
      <c r="N54" s="9">
        <f>IFERROR(__xludf.DUMMYFUNCTION("LET(
  gen,$A54, ev,$B54, t,$M54,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)"),724.0)</f>
        <v>724</v>
      </c>
    </row>
    <row r="55">
      <c r="A55" s="10" t="s">
        <v>14</v>
      </c>
      <c r="B55" s="11" t="s">
        <v>49</v>
      </c>
      <c r="C55" s="11">
        <v>19.0</v>
      </c>
      <c r="D55" s="11">
        <v>3.0</v>
      </c>
      <c r="E55" s="12" t="s">
        <v>60</v>
      </c>
      <c r="F55" s="13">
        <f>IFERROR(__xludf.DUMMYFUNCTION("IF(
  REGEXMATCH(E55, "":""),
  60*VALUE(INDEX(SPLIT(E55, "":""),1,1)) + VALUE(INDEX(SPLIT(E55, "":""),1,2)),
  VALUE(E55)
)"),59.22)</f>
        <v>59.22</v>
      </c>
      <c r="G55" s="13">
        <f>average(F50-F53,F51-F54,F52-F55)</f>
        <v>0.8433333333</v>
      </c>
      <c r="H55" s="13">
        <v>0.843333333333336</v>
      </c>
      <c r="I55" s="11">
        <f>C44</f>
        <v>15</v>
      </c>
      <c r="J55" s="11">
        <f>C61</f>
        <v>23</v>
      </c>
      <c r="K55" s="11">
        <f t="array" ref="K55">INDEX('Podium Target Times'!$C:$C, MATCH(A55&amp;B55, 'Podium Target Times'!$A:$A&amp;'Podium Target Times'!$B:$B, 0))
</f>
        <v>60.45</v>
      </c>
      <c r="L55" s="13">
        <f>L56+G56</f>
        <v>61.44</v>
      </c>
      <c r="M55" s="11" t="str">
        <f t="shared" si="1"/>
        <v>1:01.44</v>
      </c>
      <c r="N55" s="14">
        <f>IFERROR(__xludf.DUMMYFUNCTION("LET(
  gen,$A55, ev,$B55, t,$M55,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)"),724.0)</f>
        <v>724</v>
      </c>
    </row>
    <row r="56">
      <c r="A56" s="5" t="s">
        <v>14</v>
      </c>
      <c r="B56" s="6" t="s">
        <v>49</v>
      </c>
      <c r="C56" s="6">
        <v>20.0</v>
      </c>
      <c r="D56" s="6">
        <v>2.0</v>
      </c>
      <c r="E56" s="7" t="s">
        <v>61</v>
      </c>
      <c r="F56" s="8">
        <f>IFERROR(__xludf.DUMMYFUNCTION("IF(
  REGEXMATCH(E56, "":""),
  60*VALUE(INDEX(SPLIT(E56, "":""),1,1)) + VALUE(INDEX(SPLIT(E56, "":""),1,2)),
  VALUE(E56)
)"),58.6)</f>
        <v>58.6</v>
      </c>
      <c r="G56" s="8">
        <f>average(F54-F56,F55-F57)</f>
        <v>0.425</v>
      </c>
      <c r="H56" s="8">
        <v>0.4250000000000007</v>
      </c>
      <c r="I56" s="6">
        <f>C44</f>
        <v>15</v>
      </c>
      <c r="J56" s="6">
        <f>C61</f>
        <v>23</v>
      </c>
      <c r="K56" s="6">
        <f t="array" ref="K56">INDEX('Podium Target Times'!$C:$C, MATCH(A56&amp;B56, 'Podium Target Times'!$A:$A&amp;'Podium Target Times'!$B:$B, 0))
</f>
        <v>60.45</v>
      </c>
      <c r="L56" s="8">
        <f>L58+G58</f>
        <v>61.015</v>
      </c>
      <c r="M56" s="6" t="str">
        <f t="shared" si="1"/>
        <v>1:01.02</v>
      </c>
      <c r="N56" s="9">
        <f>IFERROR(__xludf.DUMMYFUNCTION("LET(
  gen,$A56, ev,$B56, t,$M56,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)"),739.0)</f>
        <v>739</v>
      </c>
    </row>
    <row r="57">
      <c r="A57" s="10" t="s">
        <v>14</v>
      </c>
      <c r="B57" s="11" t="s">
        <v>49</v>
      </c>
      <c r="C57" s="11">
        <v>20.0</v>
      </c>
      <c r="D57" s="11">
        <v>3.0</v>
      </c>
      <c r="E57" s="12" t="s">
        <v>62</v>
      </c>
      <c r="F57" s="13">
        <f>IFERROR(__xludf.DUMMYFUNCTION("IF(
  REGEXMATCH(E57, "":""),
  60*VALUE(INDEX(SPLIT(E57, "":""),1,1)) + VALUE(INDEX(SPLIT(E57, "":""),1,2)),
  VALUE(E57)
)"),58.8)</f>
        <v>58.8</v>
      </c>
      <c r="G57" s="13">
        <f>average(F54-F56,F55-F57)</f>
        <v>0.425</v>
      </c>
      <c r="H57" s="13">
        <v>0.4250000000000007</v>
      </c>
      <c r="I57" s="11">
        <f>C44</f>
        <v>15</v>
      </c>
      <c r="J57" s="11">
        <f>C61</f>
        <v>23</v>
      </c>
      <c r="K57" s="11">
        <f t="array" ref="K57">INDEX('Podium Target Times'!$C:$C, MATCH(A57&amp;B57, 'Podium Target Times'!$A:$A&amp;'Podium Target Times'!$B:$B, 0))
</f>
        <v>60.45</v>
      </c>
      <c r="L57" s="13">
        <f>L58+G58</f>
        <v>61.015</v>
      </c>
      <c r="M57" s="11" t="str">
        <f t="shared" si="1"/>
        <v>1:01.02</v>
      </c>
      <c r="N57" s="14">
        <f>IFERROR(__xludf.DUMMYFUNCTION("LET(
  gen,$A57, ev,$B57, t,$M57,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)"),739.0)</f>
        <v>739</v>
      </c>
    </row>
    <row r="58">
      <c r="A58" s="5" t="s">
        <v>14</v>
      </c>
      <c r="B58" s="6" t="s">
        <v>49</v>
      </c>
      <c r="C58" s="6">
        <v>21.0</v>
      </c>
      <c r="D58" s="6">
        <v>2.0</v>
      </c>
      <c r="E58" s="7" t="s">
        <v>58</v>
      </c>
      <c r="F58" s="8">
        <f>IFERROR(__xludf.DUMMYFUNCTION("IF(
  REGEXMATCH(E58, "":""),
  60*VALUE(INDEX(SPLIT(E58, "":""),1,1)) + VALUE(INDEX(SPLIT(E58, "":""),1,2)),
  VALUE(E58)
)"),58.33)</f>
        <v>58.33</v>
      </c>
      <c r="G58" s="8">
        <f>average(F56-F58,F57-F59)</f>
        <v>0.275</v>
      </c>
      <c r="H58" s="8">
        <v>0.2749999999999986</v>
      </c>
      <c r="I58" s="6">
        <f>C44</f>
        <v>15</v>
      </c>
      <c r="J58" s="6">
        <f>C61</f>
        <v>23</v>
      </c>
      <c r="K58" s="6">
        <f t="array" ref="K58">INDEX('Podium Target Times'!$C:$C, MATCH(A58&amp;B58, 'Podium Target Times'!$A:$A&amp;'Podium Target Times'!$B:$B, 0))
</f>
        <v>60.45</v>
      </c>
      <c r="L58" s="8">
        <f>L60+G60</f>
        <v>60.74</v>
      </c>
      <c r="M58" s="6" t="str">
        <f t="shared" si="1"/>
        <v>1:00.74</v>
      </c>
      <c r="N58" s="9">
        <f>IFERROR(__xludf.DUMMYFUNCTION("LET(
  gen,$A58, ev,$B58, t,$M58,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)"),749.0)</f>
        <v>749</v>
      </c>
    </row>
    <row r="59">
      <c r="A59" s="10" t="s">
        <v>14</v>
      </c>
      <c r="B59" s="11" t="s">
        <v>49</v>
      </c>
      <c r="C59" s="11">
        <v>21.0</v>
      </c>
      <c r="D59" s="11">
        <v>3.0</v>
      </c>
      <c r="E59" s="12" t="s">
        <v>63</v>
      </c>
      <c r="F59" s="13">
        <f>IFERROR(__xludf.DUMMYFUNCTION("IF(
  REGEXMATCH(E59, "":""),
  60*VALUE(INDEX(SPLIT(E59, "":""),1,1)) + VALUE(INDEX(SPLIT(E59, "":""),1,2)),
  VALUE(E59)
)"),58.52)</f>
        <v>58.52</v>
      </c>
      <c r="G59" s="13">
        <f>average(F56-F58,F57-F59)</f>
        <v>0.275</v>
      </c>
      <c r="H59" s="13">
        <v>0.2749999999999986</v>
      </c>
      <c r="I59" s="11">
        <f>C44</f>
        <v>15</v>
      </c>
      <c r="J59" s="11">
        <f>C61</f>
        <v>23</v>
      </c>
      <c r="K59" s="11">
        <f t="array" ref="K59">INDEX('Podium Target Times'!$C:$C, MATCH(A59&amp;B59, 'Podium Target Times'!$A:$A&amp;'Podium Target Times'!$B:$B, 0))
</f>
        <v>60.45</v>
      </c>
      <c r="L59" s="13">
        <f t="shared" ref="L59:L60" si="6">L60+G60</f>
        <v>60.74</v>
      </c>
      <c r="M59" s="11" t="str">
        <f t="shared" si="1"/>
        <v>1:00.74</v>
      </c>
      <c r="N59" s="14">
        <f>IFERROR(__xludf.DUMMYFUNCTION("LET(
  gen,$A59, ev,$B59, t,$M59,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)"),749.0)</f>
        <v>749</v>
      </c>
    </row>
    <row r="60">
      <c r="A60" s="5" t="s">
        <v>14</v>
      </c>
      <c r="B60" s="6" t="s">
        <v>49</v>
      </c>
      <c r="C60" s="6">
        <v>22.0</v>
      </c>
      <c r="D60" s="6">
        <v>3.0</v>
      </c>
      <c r="E60" s="7" t="s">
        <v>64</v>
      </c>
      <c r="F60" s="8">
        <f>IFERROR(__xludf.DUMMYFUNCTION("IF(
  REGEXMATCH(E60, "":""),
  60*VALUE(INDEX(SPLIT(E60, "":""),1,1)) + VALUE(INDEX(SPLIT(E60, "":""),1,2)),
  VALUE(E60)
)"),58.38)</f>
        <v>58.38</v>
      </c>
      <c r="G60" s="8">
        <f t="shared" ref="G60:G61" si="7">F59-F60</f>
        <v>0.14</v>
      </c>
      <c r="H60" s="8">
        <v>0.14000000000000057</v>
      </c>
      <c r="I60" s="6">
        <f>C44</f>
        <v>15</v>
      </c>
      <c r="J60" s="6">
        <f>C61</f>
        <v>23</v>
      </c>
      <c r="K60" s="6">
        <f t="array" ref="K60">INDEX('Podium Target Times'!$C:$C, MATCH(A60&amp;B60, 'Podium Target Times'!$A:$A&amp;'Podium Target Times'!$B:$B, 0))
</f>
        <v>60.45</v>
      </c>
      <c r="L60" s="8">
        <f t="shared" si="6"/>
        <v>60.6</v>
      </c>
      <c r="M60" s="6" t="str">
        <f t="shared" si="1"/>
        <v>1:00.60</v>
      </c>
      <c r="N60" s="9">
        <f>IFERROR(__xludf.DUMMYFUNCTION("LET(
  gen,$A60, ev,$B60, t,$M60,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)"),754.0)</f>
        <v>754</v>
      </c>
    </row>
    <row r="61">
      <c r="A61" s="10" t="s">
        <v>14</v>
      </c>
      <c r="B61" s="11" t="s">
        <v>49</v>
      </c>
      <c r="C61" s="11">
        <v>23.0</v>
      </c>
      <c r="D61" s="11">
        <v>3.0</v>
      </c>
      <c r="E61" s="12" t="s">
        <v>58</v>
      </c>
      <c r="F61" s="13">
        <f>IFERROR(__xludf.DUMMYFUNCTION("IF(
  REGEXMATCH(E61, "":""),
  60*VALUE(INDEX(SPLIT(E61, "":""),1,1)) + VALUE(INDEX(SPLIT(E61, "":""),1,2)),
  VALUE(E61)
)"),58.33)</f>
        <v>58.33</v>
      </c>
      <c r="G61" s="13">
        <f t="shared" si="7"/>
        <v>0.05</v>
      </c>
      <c r="H61" s="13">
        <v>0.05000000000000426</v>
      </c>
      <c r="I61" s="11">
        <f>C44</f>
        <v>15</v>
      </c>
      <c r="J61" s="11">
        <f>C61</f>
        <v>23</v>
      </c>
      <c r="K61" s="11">
        <f t="array" ref="K61">INDEX('Podium Target Times'!$C:$C, MATCH(A61&amp;B61, 'Podium Target Times'!$A:$A&amp;'Podium Target Times'!$B:$B, 0))
</f>
        <v>60.45</v>
      </c>
      <c r="L61" s="13">
        <f>G61+L62</f>
        <v>60.55</v>
      </c>
      <c r="M61" s="11" t="str">
        <f t="shared" si="1"/>
        <v>1:00.55</v>
      </c>
      <c r="N61" s="14">
        <f>IFERROR(__xludf.DUMMYFUNCTION("LET(
  gen,$A61, ev,$B61, t,$M61,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)"),756.0)</f>
        <v>756</v>
      </c>
    </row>
    <row r="62">
      <c r="A62" s="5" t="s">
        <v>14</v>
      </c>
      <c r="B62" s="6" t="s">
        <v>49</v>
      </c>
      <c r="C62" s="6">
        <v>24.0</v>
      </c>
      <c r="D62" s="6"/>
      <c r="E62" s="7"/>
      <c r="F62" s="8">
        <f>IFERROR(__xludf.DUMMYFUNCTION("IF(
  REGEXMATCH(E62, "":""),
  60*VALUE(INDEX(SPLIT(E62, "":""),1,1)) + VALUE(INDEX(SPLIT(E62, "":""),1,2)),
  VALUE(E62)
)"),0.0)</f>
        <v>0</v>
      </c>
      <c r="G62" s="8"/>
      <c r="H62" s="8"/>
      <c r="I62" s="6">
        <f>C44</f>
        <v>15</v>
      </c>
      <c r="J62" s="6">
        <f>C61</f>
        <v>23</v>
      </c>
      <c r="K62" s="6">
        <f t="array" ref="K62">INDEX('Podium Target Times'!$C:$C, MATCH(A62&amp;B62, 'Podium Target Times'!$A:$A&amp;'Podium Target Times'!$B:$B, 0))
</f>
        <v>60.45</v>
      </c>
      <c r="L62" s="8">
        <f>G61+L63</f>
        <v>60.5</v>
      </c>
      <c r="M62" s="6" t="str">
        <f t="shared" si="1"/>
        <v>1:00.50</v>
      </c>
      <c r="N62" s="9">
        <f>IFERROR(__xludf.DUMMYFUNCTION("LET(
  gen,$A62, ev,$B62, t,$M62,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)"),758.0)</f>
        <v>758</v>
      </c>
    </row>
    <row r="63">
      <c r="A63" s="10" t="s">
        <v>14</v>
      </c>
      <c r="B63" s="11" t="s">
        <v>49</v>
      </c>
      <c r="C63" s="11">
        <v>25.0</v>
      </c>
      <c r="D63" s="11"/>
      <c r="E63" s="12"/>
      <c r="F63" s="13">
        <f>IFERROR(__xludf.DUMMYFUNCTION("IF(
  REGEXMATCH(E63, "":""),
  60*VALUE(INDEX(SPLIT(E63, "":""),1,1)) + VALUE(INDEX(SPLIT(E63, "":""),1,2)),
  VALUE(E63)
)"),0.0)</f>
        <v>0</v>
      </c>
      <c r="G63" s="13"/>
      <c r="H63" s="13"/>
      <c r="I63" s="11">
        <f>C44</f>
        <v>15</v>
      </c>
      <c r="J63" s="11">
        <f>C61</f>
        <v>23</v>
      </c>
      <c r="K63" s="11">
        <f t="array" ref="K63">INDEX('Podium Target Times'!$C:$C, MATCH(A63&amp;B63, 'Podium Target Times'!$A:$A&amp;'Podium Target Times'!$B:$B, 0))
</f>
        <v>60.45</v>
      </c>
      <c r="L63" s="11">
        <f>K63</f>
        <v>60.45</v>
      </c>
      <c r="M63" s="11" t="str">
        <f t="shared" si="1"/>
        <v>1:00.45</v>
      </c>
      <c r="N63" s="14">
        <f>IFERROR(__xludf.DUMMYFUNCTION("LET(
  gen,$A63, ev,$B63, t,$M63,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64">
      <c r="A64" s="5" t="s">
        <v>14</v>
      </c>
      <c r="B64" s="6" t="s">
        <v>65</v>
      </c>
      <c r="C64" s="6">
        <v>15.0</v>
      </c>
      <c r="D64" s="6">
        <v>1.0</v>
      </c>
      <c r="E64" s="7" t="s">
        <v>66</v>
      </c>
      <c r="F64" s="8">
        <f>IFERROR(__xludf.DUMMYFUNCTION("IF(
  REGEXMATCH(E64, "":""),
  60*VALUE(INDEX(SPLIT(E64, "":""),1,1)) + VALUE(INDEX(SPLIT(E64, "":""),1,2)),
  VALUE(E64)
)"),56.85)</f>
        <v>56.85</v>
      </c>
      <c r="G64" s="8">
        <v>0.0</v>
      </c>
      <c r="H64" s="8">
        <v>0.0</v>
      </c>
      <c r="I64" s="6">
        <f>C64</f>
        <v>15</v>
      </c>
      <c r="J64" s="6">
        <f>C81</f>
        <v>23</v>
      </c>
      <c r="K64" s="6">
        <f t="array" ref="K64">INDEX('Podium Target Times'!$C:$C, MATCH(A64&amp;B64, 'Podium Target Times'!$A:$A&amp;'Podium Target Times'!$B:$B, 0))
</f>
        <v>56.42</v>
      </c>
      <c r="L64" s="8">
        <f>L65+G65</f>
        <v>60.15666667</v>
      </c>
      <c r="M64" s="6" t="str">
        <f t="shared" si="1"/>
        <v>1:00.16</v>
      </c>
      <c r="N64" s="9">
        <f>IFERROR(__xludf.DUMMYFUNCTION("LET(
  gen,$A64, ev,$B64, t,$M64,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)"),635.0)</f>
        <v>635</v>
      </c>
    </row>
    <row r="65">
      <c r="A65" s="10" t="s">
        <v>14</v>
      </c>
      <c r="B65" s="11" t="s">
        <v>65</v>
      </c>
      <c r="C65" s="11">
        <v>16.0</v>
      </c>
      <c r="D65" s="11">
        <v>1.0</v>
      </c>
      <c r="E65" s="12" t="s">
        <v>67</v>
      </c>
      <c r="F65" s="13">
        <f>IFERROR(__xludf.DUMMYFUNCTION("IF(
  REGEXMATCH(E65, "":""),
  60*VALUE(INDEX(SPLIT(E65, "":""),1,1)) + VALUE(INDEX(SPLIT(E65, "":""),1,2)),
  VALUE(E65)
)"),55.76)</f>
        <v>55.76</v>
      </c>
      <c r="G65" s="13">
        <f>F64-F65</f>
        <v>1.09</v>
      </c>
      <c r="H65" s="13">
        <v>1.0900000000000034</v>
      </c>
      <c r="I65" s="11">
        <f>C64</f>
        <v>15</v>
      </c>
      <c r="J65" s="11">
        <f>C81</f>
        <v>23</v>
      </c>
      <c r="K65" s="11">
        <f t="array" ref="K65">INDEX('Podium Target Times'!$C:$C, MATCH(A65&amp;B65, 'Podium Target Times'!$A:$A&amp;'Podium Target Times'!$B:$B, 0))
</f>
        <v>56.42</v>
      </c>
      <c r="L65" s="13">
        <f>L67+G67</f>
        <v>59.06666667</v>
      </c>
      <c r="M65" s="11" t="str">
        <f t="shared" si="1"/>
        <v>59.07</v>
      </c>
      <c r="N65" s="14">
        <f>IFERROR(__xludf.DUMMYFUNCTION("LET(
  gen,$A65, ev,$B65, t,$M65,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)"),670.0)</f>
        <v>670</v>
      </c>
    </row>
    <row r="66">
      <c r="A66" s="5" t="s">
        <v>14</v>
      </c>
      <c r="B66" s="6" t="s">
        <v>65</v>
      </c>
      <c r="C66" s="6">
        <v>16.0</v>
      </c>
      <c r="D66" s="6">
        <v>2.0</v>
      </c>
      <c r="E66" s="7" t="s">
        <v>68</v>
      </c>
      <c r="F66" s="8">
        <f>IFERROR(__xludf.DUMMYFUNCTION("IF(
  REGEXMATCH(E66, "":""),
  60*VALUE(INDEX(SPLIT(E66, "":""),1,1)) + VALUE(INDEX(SPLIT(E66, "":""),1,2)),
  VALUE(E66)
)"),56.38)</f>
        <v>56.38</v>
      </c>
      <c r="G66" s="8">
        <f>F64-F65</f>
        <v>1.09</v>
      </c>
      <c r="H66" s="8">
        <v>1.0900000000000034</v>
      </c>
      <c r="I66" s="6">
        <f>C64</f>
        <v>15</v>
      </c>
      <c r="J66" s="6">
        <f>C81</f>
        <v>23</v>
      </c>
      <c r="K66" s="6">
        <f t="array" ref="K66">INDEX('Podium Target Times'!$C:$C, MATCH(A66&amp;B66, 'Podium Target Times'!$A:$A&amp;'Podium Target Times'!$B:$B, 0))
</f>
        <v>56.42</v>
      </c>
      <c r="L66" s="8">
        <f>L67+G67</f>
        <v>59.06666667</v>
      </c>
      <c r="M66" s="6" t="str">
        <f t="shared" si="1"/>
        <v>59.07</v>
      </c>
      <c r="N66" s="9">
        <f>IFERROR(__xludf.DUMMYFUNCTION("LET(
  gen,$A66, ev,$B66, t,$M66,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)"),670.0)</f>
        <v>670</v>
      </c>
    </row>
    <row r="67">
      <c r="A67" s="10" t="s">
        <v>14</v>
      </c>
      <c r="B67" s="11" t="s">
        <v>65</v>
      </c>
      <c r="C67" s="11">
        <v>17.0</v>
      </c>
      <c r="D67" s="11">
        <v>1.0</v>
      </c>
      <c r="E67" s="12" t="s">
        <v>69</v>
      </c>
      <c r="F67" s="13">
        <f>IFERROR(__xludf.DUMMYFUNCTION("IF(
  REGEXMATCH(E67, "":""),
  60*VALUE(INDEX(SPLIT(E67, "":""),1,1)) + VALUE(INDEX(SPLIT(E67, "":""),1,2)),
  VALUE(E67)
)"),55.07)</f>
        <v>55.07</v>
      </c>
      <c r="G67" s="13">
        <f>average(F65-F67,F66-F68)</f>
        <v>0.695</v>
      </c>
      <c r="H67" s="13">
        <v>0.6950000000000003</v>
      </c>
      <c r="I67" s="11">
        <f>C64</f>
        <v>15</v>
      </c>
      <c r="J67" s="11">
        <f>C81</f>
        <v>23</v>
      </c>
      <c r="K67" s="11">
        <f t="array" ref="K67">INDEX('Podium Target Times'!$C:$C, MATCH(A67&amp;B67, 'Podium Target Times'!$A:$A&amp;'Podium Target Times'!$B:$B, 0))
</f>
        <v>56.42</v>
      </c>
      <c r="L67" s="13">
        <f>L70+G70</f>
        <v>58.37166667</v>
      </c>
      <c r="M67" s="11" t="str">
        <f t="shared" si="1"/>
        <v>58.37</v>
      </c>
      <c r="N67" s="14">
        <f>IFERROR(__xludf.DUMMYFUNCTION("LET(
  gen,$A67, ev,$B67, t,$M67,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68">
      <c r="A68" s="5" t="s">
        <v>14</v>
      </c>
      <c r="B68" s="6" t="s">
        <v>65</v>
      </c>
      <c r="C68" s="6">
        <v>17.0</v>
      </c>
      <c r="D68" s="6">
        <v>2.0</v>
      </c>
      <c r="E68" s="7" t="s">
        <v>70</v>
      </c>
      <c r="F68" s="8">
        <f>IFERROR(__xludf.DUMMYFUNCTION("IF(
  REGEXMATCH(E68, "":""),
  60*VALUE(INDEX(SPLIT(E68, "":""),1,1)) + VALUE(INDEX(SPLIT(E68, "":""),1,2)),
  VALUE(E68)
)"),55.68)</f>
        <v>55.68</v>
      </c>
      <c r="G68" s="8">
        <f>average(F65-F67,F66-F68)</f>
        <v>0.695</v>
      </c>
      <c r="H68" s="8">
        <v>0.6950000000000003</v>
      </c>
      <c r="I68" s="6">
        <f>C64</f>
        <v>15</v>
      </c>
      <c r="J68" s="6">
        <f>C81</f>
        <v>23</v>
      </c>
      <c r="K68" s="6">
        <f t="array" ref="K68">INDEX('Podium Target Times'!$C:$C, MATCH(A68&amp;B68, 'Podium Target Times'!$A:$A&amp;'Podium Target Times'!$B:$B, 0))
</f>
        <v>56.42</v>
      </c>
      <c r="L68" s="8">
        <f>L70+G70</f>
        <v>58.37166667</v>
      </c>
      <c r="M68" s="6" t="str">
        <f t="shared" si="1"/>
        <v>58.37</v>
      </c>
      <c r="N68" s="9">
        <f>IFERROR(__xludf.DUMMYFUNCTION("LET(
  gen,$A68, ev,$B68, t,$M68,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69">
      <c r="A69" s="10" t="s">
        <v>14</v>
      </c>
      <c r="B69" s="11" t="s">
        <v>65</v>
      </c>
      <c r="C69" s="11">
        <v>17.0</v>
      </c>
      <c r="D69" s="11">
        <v>3.0</v>
      </c>
      <c r="E69" s="12" t="s">
        <v>71</v>
      </c>
      <c r="F69" s="13">
        <f>IFERROR(__xludf.DUMMYFUNCTION("IF(
  REGEXMATCH(E69, "":""),
  60*VALUE(INDEX(SPLIT(E69, "":""),1,1)) + VALUE(INDEX(SPLIT(E69, "":""),1,2)),
  VALUE(E69)
)"),55.99)</f>
        <v>55.99</v>
      </c>
      <c r="G69" s="13">
        <f>average(F65-F67,F66-F68)</f>
        <v>0.695</v>
      </c>
      <c r="H69" s="13">
        <v>0.6950000000000003</v>
      </c>
      <c r="I69" s="11">
        <f>C64</f>
        <v>15</v>
      </c>
      <c r="J69" s="11">
        <f>C81</f>
        <v>23</v>
      </c>
      <c r="K69" s="11">
        <f t="array" ref="K69">INDEX('Podium Target Times'!$C:$C, MATCH(A69&amp;B69, 'Podium Target Times'!$A:$A&amp;'Podium Target Times'!$B:$B, 0))
</f>
        <v>56.42</v>
      </c>
      <c r="L69" s="13">
        <f>L70+G70</f>
        <v>58.37166667</v>
      </c>
      <c r="M69" s="11" t="str">
        <f t="shared" si="1"/>
        <v>58.37</v>
      </c>
      <c r="N69" s="14">
        <f>IFERROR(__xludf.DUMMYFUNCTION("LET(
  gen,$A69, ev,$B69, t,$M69,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)"),695.0)</f>
        <v>695</v>
      </c>
    </row>
    <row r="70">
      <c r="A70" s="5" t="s">
        <v>14</v>
      </c>
      <c r="B70" s="6" t="s">
        <v>65</v>
      </c>
      <c r="C70" s="6">
        <v>18.0</v>
      </c>
      <c r="D70" s="6">
        <v>1.0</v>
      </c>
      <c r="E70" s="15" t="s">
        <v>72</v>
      </c>
      <c r="F70" s="8">
        <f>IFERROR(__xludf.DUMMYFUNCTION("IF(
  REGEXMATCH(E70, "":""),
  60*VALUE(INDEX(SPLIT(E70, "":""),1,1)) + VALUE(INDEX(SPLIT(E70, "":""),1,2)),
  VALUE(E70)
)"),54.62)</f>
        <v>54.62</v>
      </c>
      <c r="G70" s="8">
        <f>average(F67-F70,F68-F71,F69-F72)</f>
        <v>0.4566666667</v>
      </c>
      <c r="H70" s="8">
        <v>0.45666666666666816</v>
      </c>
      <c r="I70" s="6">
        <f>C64</f>
        <v>15</v>
      </c>
      <c r="J70" s="6">
        <f>C81</f>
        <v>23</v>
      </c>
      <c r="K70" s="6">
        <f t="array" ref="K70">INDEX('Podium Target Times'!$C:$C, MATCH(A70&amp;B70, 'Podium Target Times'!$A:$A&amp;'Podium Target Times'!$B:$B, 0))
</f>
        <v>56.42</v>
      </c>
      <c r="L70" s="8">
        <f>L73+G73</f>
        <v>57.915</v>
      </c>
      <c r="M70" s="6" t="str">
        <f t="shared" si="1"/>
        <v>57.92</v>
      </c>
      <c r="N70" s="9">
        <f>IFERROR(__xludf.DUMMYFUNCTION("LET(
  gen,$A70, ev,$B70, t,$M70,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)"),711.0)</f>
        <v>711</v>
      </c>
    </row>
    <row r="71">
      <c r="A71" s="10" t="s">
        <v>14</v>
      </c>
      <c r="B71" s="11" t="s">
        <v>65</v>
      </c>
      <c r="C71" s="11">
        <v>18.0</v>
      </c>
      <c r="D71" s="11">
        <v>2.0</v>
      </c>
      <c r="E71" s="16" t="s">
        <v>73</v>
      </c>
      <c r="F71" s="13">
        <f>IFERROR(__xludf.DUMMYFUNCTION("IF(
  REGEXMATCH(E71, "":""),
  60*VALUE(INDEX(SPLIT(E71, "":""),1,1)) + VALUE(INDEX(SPLIT(E71, "":""),1,2)),
  VALUE(E71)
)"),55.22)</f>
        <v>55.22</v>
      </c>
      <c r="G71" s="13">
        <f>average(F67-F70,F68-F71,F69-F72)</f>
        <v>0.4566666667</v>
      </c>
      <c r="H71" s="13">
        <v>0.45666666666666816</v>
      </c>
      <c r="I71" s="11">
        <f>C64</f>
        <v>15</v>
      </c>
      <c r="J71" s="11">
        <f>C81</f>
        <v>23</v>
      </c>
      <c r="K71" s="11">
        <f t="array" ref="K71">INDEX('Podium Target Times'!$C:$C, MATCH(A71&amp;B71, 'Podium Target Times'!$A:$A&amp;'Podium Target Times'!$B:$B, 0))
</f>
        <v>56.42</v>
      </c>
      <c r="L71" s="13">
        <f>L73+G73</f>
        <v>57.915</v>
      </c>
      <c r="M71" s="11" t="str">
        <f t="shared" si="1"/>
        <v>57.92</v>
      </c>
      <c r="N71" s="14">
        <f>IFERROR(__xludf.DUMMYFUNCTION("LET(
  gen,$A71, ev,$B71, t,$M71,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)"),711.0)</f>
        <v>711</v>
      </c>
    </row>
    <row r="72">
      <c r="A72" s="5" t="s">
        <v>14</v>
      </c>
      <c r="B72" s="6" t="s">
        <v>65</v>
      </c>
      <c r="C72" s="6">
        <v>18.0</v>
      </c>
      <c r="D72" s="6">
        <v>3.0</v>
      </c>
      <c r="E72" s="15" t="s">
        <v>74</v>
      </c>
      <c r="F72" s="8">
        <f>IFERROR(__xludf.DUMMYFUNCTION("IF(
  REGEXMATCH(E72, "":""),
  60*VALUE(INDEX(SPLIT(E72, "":""),1,1)) + VALUE(INDEX(SPLIT(E72, "":""),1,2)),
  VALUE(E72)
)"),55.53)</f>
        <v>55.53</v>
      </c>
      <c r="G72" s="8">
        <f>average(F67-F70,F68-F71,F69-F72)</f>
        <v>0.4566666667</v>
      </c>
      <c r="H72" s="8">
        <v>0.45666666666666816</v>
      </c>
      <c r="I72" s="6">
        <f>C64</f>
        <v>15</v>
      </c>
      <c r="J72" s="6">
        <f>C81</f>
        <v>23</v>
      </c>
      <c r="K72" s="6">
        <f t="array" ref="K72">INDEX('Podium Target Times'!$C:$C, MATCH(A72&amp;B72, 'Podium Target Times'!$A:$A&amp;'Podium Target Times'!$B:$B, 0))
</f>
        <v>56.42</v>
      </c>
      <c r="L72" s="8">
        <f>L73+G73</f>
        <v>57.915</v>
      </c>
      <c r="M72" s="6" t="str">
        <f t="shared" si="1"/>
        <v>57.92</v>
      </c>
      <c r="N72" s="9">
        <f>IFERROR(__xludf.DUMMYFUNCTION("LET(
  gen,$A72, ev,$B72, t,$M72,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)"),711.0)</f>
        <v>711</v>
      </c>
    </row>
    <row r="73">
      <c r="A73" s="10" t="s">
        <v>14</v>
      </c>
      <c r="B73" s="11" t="s">
        <v>65</v>
      </c>
      <c r="C73" s="11">
        <v>19.0</v>
      </c>
      <c r="D73" s="11">
        <v>1.0</v>
      </c>
      <c r="E73" s="12" t="s">
        <v>75</v>
      </c>
      <c r="F73" s="13">
        <f>IFERROR(__xludf.DUMMYFUNCTION("IF(
  REGEXMATCH(E73, "":""),
  60*VALUE(INDEX(SPLIT(E73, "":""),1,1)) + VALUE(INDEX(SPLIT(E73, "":""),1,2)),
  VALUE(E73)
)"),54.25)</f>
        <v>54.25</v>
      </c>
      <c r="G73" s="13">
        <f>average(F70-F73,F71-F74,F72-F75)</f>
        <v>0.37</v>
      </c>
      <c r="H73" s="13">
        <v>0.36999999999999983</v>
      </c>
      <c r="I73" s="11">
        <f>C64</f>
        <v>15</v>
      </c>
      <c r="J73" s="11">
        <f>C81</f>
        <v>23</v>
      </c>
      <c r="K73" s="11">
        <f t="array" ref="K73">INDEX('Podium Target Times'!$C:$C, MATCH(A73&amp;B73, 'Podium Target Times'!$A:$A&amp;'Podium Target Times'!$B:$B, 0))
</f>
        <v>56.42</v>
      </c>
      <c r="L73" s="13">
        <f>L76+G76</f>
        <v>57.545</v>
      </c>
      <c r="M73" s="11" t="str">
        <f t="shared" si="1"/>
        <v>57.55</v>
      </c>
      <c r="N73" s="14">
        <f>IFERROR(__xludf.DUMMYFUNCTION("LET(
  gen,$A73, ev,$B73, t,$M73,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)"),725.0)</f>
        <v>725</v>
      </c>
    </row>
    <row r="74">
      <c r="A74" s="5" t="s">
        <v>14</v>
      </c>
      <c r="B74" s="6" t="s">
        <v>65</v>
      </c>
      <c r="C74" s="6">
        <v>19.0</v>
      </c>
      <c r="D74" s="6">
        <v>2.0</v>
      </c>
      <c r="E74" s="7" t="s">
        <v>76</v>
      </c>
      <c r="F74" s="8">
        <f>IFERROR(__xludf.DUMMYFUNCTION("IF(
  REGEXMATCH(E74, "":""),
  60*VALUE(INDEX(SPLIT(E74, "":""),1,1)) + VALUE(INDEX(SPLIT(E74, "":""),1,2)),
  VALUE(E74)
)"),54.85)</f>
        <v>54.85</v>
      </c>
      <c r="G74" s="8">
        <f>average(F70-F73,F71-F74,F72-F75)</f>
        <v>0.37</v>
      </c>
      <c r="H74" s="8">
        <v>0.36999999999999983</v>
      </c>
      <c r="I74" s="6">
        <f>C64</f>
        <v>15</v>
      </c>
      <c r="J74" s="6">
        <f>C81</f>
        <v>23</v>
      </c>
      <c r="K74" s="6">
        <f t="array" ref="K74">INDEX('Podium Target Times'!$C:$C, MATCH(A74&amp;B74, 'Podium Target Times'!$A:$A&amp;'Podium Target Times'!$B:$B, 0))
</f>
        <v>56.42</v>
      </c>
      <c r="L74" s="8">
        <f>L76+G76</f>
        <v>57.545</v>
      </c>
      <c r="M74" s="6" t="str">
        <f t="shared" si="1"/>
        <v>57.55</v>
      </c>
      <c r="N74" s="9">
        <f>IFERROR(__xludf.DUMMYFUNCTION("LET(
  gen,$A74, ev,$B74, t,$M74,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)"),725.0)</f>
        <v>725</v>
      </c>
    </row>
    <row r="75">
      <c r="A75" s="10" t="s">
        <v>14</v>
      </c>
      <c r="B75" s="11" t="s">
        <v>65</v>
      </c>
      <c r="C75" s="11">
        <v>19.0</v>
      </c>
      <c r="D75" s="11">
        <v>3.0</v>
      </c>
      <c r="E75" s="12" t="s">
        <v>77</v>
      </c>
      <c r="F75" s="13">
        <f>IFERROR(__xludf.DUMMYFUNCTION("IF(
  REGEXMATCH(E75, "":""),
  60*VALUE(INDEX(SPLIT(E75, "":""),1,1)) + VALUE(INDEX(SPLIT(E75, "":""),1,2)),
  VALUE(E75)
)"),55.16)</f>
        <v>55.16</v>
      </c>
      <c r="G75" s="13">
        <f>average(F70-F73,F71-F74,F72-F75)</f>
        <v>0.37</v>
      </c>
      <c r="H75" s="13">
        <v>0.36999999999999983</v>
      </c>
      <c r="I75" s="11">
        <f>C64</f>
        <v>15</v>
      </c>
      <c r="J75" s="11">
        <f>C81</f>
        <v>23</v>
      </c>
      <c r="K75" s="11">
        <f t="array" ref="K75">INDEX('Podium Target Times'!$C:$C, MATCH(A75&amp;B75, 'Podium Target Times'!$A:$A&amp;'Podium Target Times'!$B:$B, 0))
</f>
        <v>56.42</v>
      </c>
      <c r="L75" s="13">
        <f>L76+G76</f>
        <v>57.545</v>
      </c>
      <c r="M75" s="11" t="str">
        <f t="shared" si="1"/>
        <v>57.55</v>
      </c>
      <c r="N75" s="14">
        <f>IFERROR(__xludf.DUMMYFUNCTION("LET(
  gen,$A75, ev,$B75, t,$M75,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)"),725.0)</f>
        <v>725</v>
      </c>
    </row>
    <row r="76">
      <c r="A76" s="5" t="s">
        <v>14</v>
      </c>
      <c r="B76" s="6" t="s">
        <v>65</v>
      </c>
      <c r="C76" s="6">
        <v>20.0</v>
      </c>
      <c r="D76" s="6">
        <v>2.0</v>
      </c>
      <c r="E76" s="7" t="s">
        <v>78</v>
      </c>
      <c r="F76" s="8">
        <f>IFERROR(__xludf.DUMMYFUNCTION("IF(
  REGEXMATCH(E76, "":""),
  60*VALUE(INDEX(SPLIT(E76, "":""),1,1)) + VALUE(INDEX(SPLIT(E76, "":""),1,2)),
  VALUE(E76)
)"),54.53)</f>
        <v>54.53</v>
      </c>
      <c r="G76" s="8">
        <f>average(F74-F76,F75-F77)</f>
        <v>0.325</v>
      </c>
      <c r="H76" s="8">
        <v>0.3249999999999993</v>
      </c>
      <c r="I76" s="6">
        <f>C64</f>
        <v>15</v>
      </c>
      <c r="J76" s="6">
        <f>C81</f>
        <v>23</v>
      </c>
      <c r="K76" s="6">
        <f t="array" ref="K76">INDEX('Podium Target Times'!$C:$C, MATCH(A76&amp;B76, 'Podium Target Times'!$A:$A&amp;'Podium Target Times'!$B:$B, 0))
</f>
        <v>56.42</v>
      </c>
      <c r="L76" s="8">
        <f>L78+G78</f>
        <v>57.22</v>
      </c>
      <c r="M76" s="6" t="str">
        <f t="shared" si="1"/>
        <v>57.22</v>
      </c>
      <c r="N76" s="9">
        <f>IFERROR(__xludf.DUMMYFUNCTION("LET(
  gen,$A76, ev,$B76, t,$M76,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)"),738.0)</f>
        <v>738</v>
      </c>
    </row>
    <row r="77">
      <c r="A77" s="10" t="s">
        <v>14</v>
      </c>
      <c r="B77" s="11" t="s">
        <v>65</v>
      </c>
      <c r="C77" s="11">
        <v>20.0</v>
      </c>
      <c r="D77" s="11">
        <v>3.0</v>
      </c>
      <c r="E77" s="12" t="s">
        <v>79</v>
      </c>
      <c r="F77" s="13">
        <f>IFERROR(__xludf.DUMMYFUNCTION("IF(
  REGEXMATCH(E77, "":""),
  60*VALUE(INDEX(SPLIT(E77, "":""),1,1)) + VALUE(INDEX(SPLIT(E77, "":""),1,2)),
  VALUE(E77)
)"),54.83)</f>
        <v>54.83</v>
      </c>
      <c r="G77" s="13">
        <f>average(F74-F76,F75-F77)</f>
        <v>0.325</v>
      </c>
      <c r="H77" s="13">
        <v>0.3249999999999993</v>
      </c>
      <c r="I77" s="11">
        <f>C64</f>
        <v>15</v>
      </c>
      <c r="J77" s="11">
        <f>C81</f>
        <v>23</v>
      </c>
      <c r="K77" s="11">
        <f t="array" ref="K77">INDEX('Podium Target Times'!$C:$C, MATCH(A77&amp;B77, 'Podium Target Times'!$A:$A&amp;'Podium Target Times'!$B:$B, 0))
</f>
        <v>56.42</v>
      </c>
      <c r="L77" s="13">
        <f>L78+G78</f>
        <v>57.22</v>
      </c>
      <c r="M77" s="11" t="str">
        <f t="shared" si="1"/>
        <v>57.22</v>
      </c>
      <c r="N77" s="14">
        <f>IFERROR(__xludf.DUMMYFUNCTION("LET(
  gen,$A77, ev,$B77, t,$M77,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)"),738.0)</f>
        <v>738</v>
      </c>
    </row>
    <row r="78">
      <c r="A78" s="5" t="s">
        <v>14</v>
      </c>
      <c r="B78" s="6" t="s">
        <v>65</v>
      </c>
      <c r="C78" s="6">
        <v>21.0</v>
      </c>
      <c r="D78" s="6">
        <v>2.0</v>
      </c>
      <c r="E78" s="7" t="s">
        <v>75</v>
      </c>
      <c r="F78" s="8">
        <f>IFERROR(__xludf.DUMMYFUNCTION("IF(
  REGEXMATCH(E78, "":""),
  60*VALUE(INDEX(SPLIT(E78, "":""),1,1)) + VALUE(INDEX(SPLIT(E78, "":""),1,2)),
  VALUE(E78)
)"),54.25)</f>
        <v>54.25</v>
      </c>
      <c r="G78" s="8">
        <f>average(F76-F78,F77-F79)</f>
        <v>0.28</v>
      </c>
      <c r="H78" s="8">
        <v>0.28000000000000114</v>
      </c>
      <c r="I78" s="6">
        <f>C64</f>
        <v>15</v>
      </c>
      <c r="J78" s="6">
        <f>C81</f>
        <v>23</v>
      </c>
      <c r="K78" s="6">
        <f t="array" ref="K78">INDEX('Podium Target Times'!$C:$C, MATCH(A78&amp;B78, 'Podium Target Times'!$A:$A&amp;'Podium Target Times'!$B:$B, 0))
</f>
        <v>56.42</v>
      </c>
      <c r="L78" s="8">
        <f>L80+G80</f>
        <v>56.94</v>
      </c>
      <c r="M78" s="6" t="str">
        <f t="shared" si="1"/>
        <v>56.94</v>
      </c>
      <c r="N78" s="9">
        <f>IFERROR(__xludf.DUMMYFUNCTION("LET(
  gen,$A78, ev,$B78, t,$M78,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)"),748.0)</f>
        <v>748</v>
      </c>
    </row>
    <row r="79">
      <c r="A79" s="10" t="s">
        <v>14</v>
      </c>
      <c r="B79" s="11" t="s">
        <v>65</v>
      </c>
      <c r="C79" s="11">
        <v>21.0</v>
      </c>
      <c r="D79" s="11">
        <v>3.0</v>
      </c>
      <c r="E79" s="12" t="s">
        <v>80</v>
      </c>
      <c r="F79" s="13">
        <f>IFERROR(__xludf.DUMMYFUNCTION("IF(
  REGEXMATCH(E79, "":""),
  60*VALUE(INDEX(SPLIT(E79, "":""),1,1)) + VALUE(INDEX(SPLIT(E79, "":""),1,2)),
  VALUE(E79)
)"),54.55)</f>
        <v>54.55</v>
      </c>
      <c r="G79" s="13">
        <f>average(F76-F78,F77-F79)</f>
        <v>0.28</v>
      </c>
      <c r="H79" s="13">
        <v>0.28000000000000114</v>
      </c>
      <c r="I79" s="11">
        <f>C64</f>
        <v>15</v>
      </c>
      <c r="J79" s="11">
        <f>C81</f>
        <v>23</v>
      </c>
      <c r="K79" s="11">
        <f t="array" ref="K79">INDEX('Podium Target Times'!$C:$C, MATCH(A79&amp;B79, 'Podium Target Times'!$A:$A&amp;'Podium Target Times'!$B:$B, 0))
</f>
        <v>56.42</v>
      </c>
      <c r="L79" s="13">
        <f t="shared" ref="L79:L80" si="8">L80+G80</f>
        <v>56.94</v>
      </c>
      <c r="M79" s="11" t="str">
        <f t="shared" si="1"/>
        <v>56.94</v>
      </c>
      <c r="N79" s="14">
        <f>IFERROR(__xludf.DUMMYFUNCTION("LET(
  gen,$A79, ev,$B79, t,$M79,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)"),748.0)</f>
        <v>748</v>
      </c>
    </row>
    <row r="80">
      <c r="A80" s="5" t="s">
        <v>14</v>
      </c>
      <c r="B80" s="6" t="s">
        <v>65</v>
      </c>
      <c r="C80" s="6">
        <v>22.0</v>
      </c>
      <c r="D80" s="6">
        <v>3.0</v>
      </c>
      <c r="E80" s="7" t="s">
        <v>81</v>
      </c>
      <c r="F80" s="8">
        <f>IFERROR(__xludf.DUMMYFUNCTION("IF(
  REGEXMATCH(E80, "":""),
  60*VALUE(INDEX(SPLIT(E80, "":""),1,1)) + VALUE(INDEX(SPLIT(E80, "":""),1,2)),
  VALUE(E80)
)"),54.36)</f>
        <v>54.36</v>
      </c>
      <c r="G80" s="8">
        <f t="shared" ref="G80:G81" si="9">F79-F80</f>
        <v>0.19</v>
      </c>
      <c r="H80" s="8">
        <v>0.18999999999999773</v>
      </c>
      <c r="I80" s="6">
        <f>C64</f>
        <v>15</v>
      </c>
      <c r="J80" s="6">
        <f>C81</f>
        <v>23</v>
      </c>
      <c r="K80" s="6">
        <f t="array" ref="K80">INDEX('Podium Target Times'!$C:$C, MATCH(A80&amp;B80, 'Podium Target Times'!$A:$A&amp;'Podium Target Times'!$B:$B, 0))
</f>
        <v>56.42</v>
      </c>
      <c r="L80" s="8">
        <f t="shared" si="8"/>
        <v>56.75</v>
      </c>
      <c r="M80" s="6" t="str">
        <f t="shared" si="1"/>
        <v>56.75</v>
      </c>
      <c r="N80" s="9">
        <f>IFERROR(__xludf.DUMMYFUNCTION("LET(
  gen,$A80, ev,$B80, t,$M80,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)"),756.0)</f>
        <v>756</v>
      </c>
    </row>
    <row r="81">
      <c r="A81" s="10" t="s">
        <v>14</v>
      </c>
      <c r="B81" s="11" t="s">
        <v>65</v>
      </c>
      <c r="C81" s="11">
        <v>23.0</v>
      </c>
      <c r="D81" s="11">
        <v>3.0</v>
      </c>
      <c r="E81" s="12" t="s">
        <v>75</v>
      </c>
      <c r="F81" s="13">
        <f>IFERROR(__xludf.DUMMYFUNCTION("IF(
  REGEXMATCH(E81, "":""),
  60*VALUE(INDEX(SPLIT(E81, "":""),1,1)) + VALUE(INDEX(SPLIT(E81, "":""),1,2)),
  VALUE(E81)
)"),54.25)</f>
        <v>54.25</v>
      </c>
      <c r="G81" s="13">
        <f t="shared" si="9"/>
        <v>0.11</v>
      </c>
      <c r="H81" s="13">
        <v>0.10999999999999943</v>
      </c>
      <c r="I81" s="11">
        <f>C64</f>
        <v>15</v>
      </c>
      <c r="J81" s="11">
        <f>C81</f>
        <v>23</v>
      </c>
      <c r="K81" s="11">
        <f t="array" ref="K81">INDEX('Podium Target Times'!$C:$C, MATCH(A81&amp;B81, 'Podium Target Times'!$A:$A&amp;'Podium Target Times'!$B:$B, 0))
</f>
        <v>56.42</v>
      </c>
      <c r="L81" s="13">
        <f>G81+L82</f>
        <v>56.64</v>
      </c>
      <c r="M81" s="11" t="str">
        <f t="shared" si="1"/>
        <v>56.64</v>
      </c>
      <c r="N81" s="14">
        <f>IFERROR(__xludf.DUMMYFUNCTION("LET(
  gen,$A81, ev,$B81, t,$M81,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82">
      <c r="A82" s="5" t="s">
        <v>14</v>
      </c>
      <c r="B82" s="6" t="s">
        <v>65</v>
      </c>
      <c r="C82" s="6">
        <v>24.0</v>
      </c>
      <c r="D82" s="6"/>
      <c r="E82" s="7"/>
      <c r="F82" s="8">
        <f>IFERROR(__xludf.DUMMYFUNCTION("IF(
  REGEXMATCH(E82, "":""),
  60*VALUE(INDEX(SPLIT(E82, "":""),1,1)) + VALUE(INDEX(SPLIT(E82, "":""),1,2)),
  VALUE(E82)
)"),0.0)</f>
        <v>0</v>
      </c>
      <c r="G82" s="8"/>
      <c r="H82" s="8"/>
      <c r="I82" s="6">
        <f>C64</f>
        <v>15</v>
      </c>
      <c r="J82" s="6">
        <f>C81</f>
        <v>23</v>
      </c>
      <c r="K82" s="6">
        <f t="array" ref="K82">INDEX('Podium Target Times'!$C:$C, MATCH(A82&amp;B82, 'Podium Target Times'!$A:$A&amp;'Podium Target Times'!$B:$B, 0))
</f>
        <v>56.42</v>
      </c>
      <c r="L82" s="8">
        <f>G81+L83</f>
        <v>56.53</v>
      </c>
      <c r="M82" s="6" t="str">
        <f t="shared" si="1"/>
        <v>56.53</v>
      </c>
      <c r="N82" s="9">
        <f>IFERROR(__xludf.DUMMYFUNCTION("LET(
  gen,$A82, ev,$B82, t,$M82,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)"),765.0)</f>
        <v>765</v>
      </c>
    </row>
    <row r="83">
      <c r="A83" s="10" t="s">
        <v>14</v>
      </c>
      <c r="B83" s="11" t="s">
        <v>65</v>
      </c>
      <c r="C83" s="11">
        <v>25.0</v>
      </c>
      <c r="D83" s="11"/>
      <c r="E83" s="12"/>
      <c r="F83" s="13">
        <f>IFERROR(__xludf.DUMMYFUNCTION("IF(
  REGEXMATCH(E83, "":""),
  60*VALUE(INDEX(SPLIT(E83, "":""),1,1)) + VALUE(INDEX(SPLIT(E83, "":""),1,2)),
  VALUE(E83)
)"),0.0)</f>
        <v>0</v>
      </c>
      <c r="G83" s="13"/>
      <c r="H83" s="13"/>
      <c r="I83" s="11">
        <f>C64</f>
        <v>15</v>
      </c>
      <c r="J83" s="11">
        <f>C81</f>
        <v>23</v>
      </c>
      <c r="K83" s="11">
        <f t="array" ref="K83">INDEX('Podium Target Times'!$C:$C, MATCH(A83&amp;B83, 'Podium Target Times'!$A:$A&amp;'Podium Target Times'!$B:$B, 0))
</f>
        <v>56.42</v>
      </c>
      <c r="L83" s="11">
        <f>K83</f>
        <v>56.42</v>
      </c>
      <c r="M83" s="11" t="str">
        <f t="shared" si="1"/>
        <v>56.42</v>
      </c>
      <c r="N83" s="14">
        <f>IFERROR(__xludf.DUMMYFUNCTION("LET(
  gen,$A83, ev,$B83, t,$M83,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)"),769.0)</f>
        <v>769</v>
      </c>
    </row>
    <row r="84">
      <c r="A84" s="5" t="s">
        <v>14</v>
      </c>
      <c r="B84" s="6" t="s">
        <v>82</v>
      </c>
      <c r="C84" s="6">
        <v>14.0</v>
      </c>
      <c r="D84" s="6">
        <v>1.0</v>
      </c>
      <c r="E84" s="7" t="s">
        <v>83</v>
      </c>
      <c r="F84" s="8">
        <f>IFERROR(__xludf.DUMMYFUNCTION("IF(
  REGEXMATCH(E84, "":""),
  60*VALUE(INDEX(SPLIT(E84, "":""),1,1)) + VALUE(INDEX(SPLIT(E84, "":""),1,2)),
  VALUE(E84)
)"),1032.17)</f>
        <v>1032.17</v>
      </c>
      <c r="G84" s="8">
        <v>0.0</v>
      </c>
      <c r="H84" s="8">
        <v>0.0</v>
      </c>
      <c r="I84" s="6">
        <f>C84</f>
        <v>14</v>
      </c>
      <c r="J84" s="6">
        <f>C101</f>
        <v>22</v>
      </c>
      <c r="K84" s="6">
        <f t="array" ref="K84">INDEX('Podium Target Times'!$C:$C, MATCH(A84&amp;B84, 'Podium Target Times'!$A:$A&amp;'Podium Target Times'!$B:$B, 0))
</f>
        <v>1027.45</v>
      </c>
      <c r="L84" s="8">
        <f>L85+G85</f>
        <v>1084.961667</v>
      </c>
      <c r="M84" s="6" t="str">
        <f t="shared" si="1"/>
        <v>18:04.96</v>
      </c>
      <c r="N84" s="9">
        <f>IFERROR(__xludf.DUMMYFUNCTION("LET(
  gen,$A84, ev,$B84, t,$M84,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)"),610.0)</f>
        <v>610</v>
      </c>
    </row>
    <row r="85">
      <c r="A85" s="10" t="s">
        <v>14</v>
      </c>
      <c r="B85" s="11" t="s">
        <v>82</v>
      </c>
      <c r="C85" s="11">
        <v>15.0</v>
      </c>
      <c r="D85" s="11">
        <v>1.0</v>
      </c>
      <c r="E85" s="12" t="s">
        <v>84</v>
      </c>
      <c r="F85" s="13">
        <f>IFERROR(__xludf.DUMMYFUNCTION("IF(
  REGEXMATCH(E85, "":""),
  60*VALUE(INDEX(SPLIT(E85, "":""),1,1)) + VALUE(INDEX(SPLIT(E85, "":""),1,2)),
  VALUE(E85)
)"),1012.17)</f>
        <v>1012.17</v>
      </c>
      <c r="G85" s="13">
        <f>F84-F85</f>
        <v>20</v>
      </c>
      <c r="H85" s="13">
        <v>20.000000000000114</v>
      </c>
      <c r="I85" s="11">
        <f>C84</f>
        <v>14</v>
      </c>
      <c r="J85" s="11">
        <f>C101</f>
        <v>22</v>
      </c>
      <c r="K85" s="11">
        <f t="array" ref="K85">INDEX('Podium Target Times'!$C:$C, MATCH(A85&amp;B85, 'Podium Target Times'!$A:$A&amp;'Podium Target Times'!$B:$B, 0))
</f>
        <v>1027.45</v>
      </c>
      <c r="L85" s="13">
        <f>L87+G87</f>
        <v>1064.961667</v>
      </c>
      <c r="M85" s="11" t="str">
        <f t="shared" si="1"/>
        <v>17:44.96</v>
      </c>
      <c r="N85" s="14">
        <f>IFERROR(__xludf.DUMMYFUNCTION("LET(
  gen,$A85, ev,$B85, t,$M85,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)"),645.0)</f>
        <v>645</v>
      </c>
    </row>
    <row r="86">
      <c r="A86" s="5" t="s">
        <v>14</v>
      </c>
      <c r="B86" s="6" t="s">
        <v>82</v>
      </c>
      <c r="C86" s="6">
        <v>15.0</v>
      </c>
      <c r="D86" s="6">
        <v>2.0</v>
      </c>
      <c r="E86" s="7" t="s">
        <v>85</v>
      </c>
      <c r="F86" s="8">
        <f>IFERROR(__xludf.DUMMYFUNCTION("IF(
  REGEXMATCH(E86, "":""),
  60*VALUE(INDEX(SPLIT(E86, "":""),1,1)) + VALUE(INDEX(SPLIT(E86, "":""),1,2)),
  VALUE(E86)
)"),1016.98)</f>
        <v>1016.98</v>
      </c>
      <c r="G86" s="8">
        <f>F84-F85</f>
        <v>20</v>
      </c>
      <c r="H86" s="8">
        <v>20.000000000000114</v>
      </c>
      <c r="I86" s="6">
        <f>C84</f>
        <v>14</v>
      </c>
      <c r="J86" s="6">
        <f>C101</f>
        <v>22</v>
      </c>
      <c r="K86" s="6">
        <f t="array" ref="K86">INDEX('Podium Target Times'!$C:$C, MATCH(A86&amp;B86, 'Podium Target Times'!$A:$A&amp;'Podium Target Times'!$B:$B, 0))
</f>
        <v>1027.45</v>
      </c>
      <c r="L86" s="8">
        <f>L87+G87</f>
        <v>1064.961667</v>
      </c>
      <c r="M86" s="6" t="str">
        <f t="shared" si="1"/>
        <v>17:44.96</v>
      </c>
      <c r="N86" s="9">
        <f>IFERROR(__xludf.DUMMYFUNCTION("LET(
  gen,$A86, ev,$B86, t,$M86,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)"),645.0)</f>
        <v>645</v>
      </c>
    </row>
    <row r="87">
      <c r="A87" s="10" t="s">
        <v>14</v>
      </c>
      <c r="B87" s="11" t="s">
        <v>82</v>
      </c>
      <c r="C87" s="11">
        <v>16.0</v>
      </c>
      <c r="D87" s="11">
        <v>1.0</v>
      </c>
      <c r="E87" s="16" t="s">
        <v>86</v>
      </c>
      <c r="F87" s="13">
        <f>IFERROR(__xludf.DUMMYFUNCTION("IF(
  REGEXMATCH(E87, "":""),
  60*VALUE(INDEX(SPLIT(E87, "":""),1,1)) + VALUE(INDEX(SPLIT(E87, "":""),1,2)),
  VALUE(E87)
)"),998.19)</f>
        <v>998.19</v>
      </c>
      <c r="G87" s="13">
        <f>average(F85-F87,F86-F88)</f>
        <v>14.01</v>
      </c>
      <c r="H87" s="13">
        <v>14.009999999999934</v>
      </c>
      <c r="I87" s="11">
        <f>C84</f>
        <v>14</v>
      </c>
      <c r="J87" s="11">
        <f>C101</f>
        <v>22</v>
      </c>
      <c r="K87" s="11">
        <f t="array" ref="K87">INDEX('Podium Target Times'!$C:$C, MATCH(A87&amp;B87, 'Podium Target Times'!$A:$A&amp;'Podium Target Times'!$B:$B, 0))
</f>
        <v>1027.45</v>
      </c>
      <c r="L87" s="13">
        <f>L90+G90</f>
        <v>1050.951667</v>
      </c>
      <c r="M87" s="11" t="str">
        <f t="shared" si="1"/>
        <v>17:30.95</v>
      </c>
      <c r="N87" s="14">
        <f>IFERROR(__xludf.DUMMYFUNCTION("LET(
  gen,$A87, ev,$B87, t,$M87,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)"),671.0)</f>
        <v>671</v>
      </c>
    </row>
    <row r="88">
      <c r="A88" s="5" t="s">
        <v>14</v>
      </c>
      <c r="B88" s="6" t="s">
        <v>82</v>
      </c>
      <c r="C88" s="6">
        <v>16.0</v>
      </c>
      <c r="D88" s="6">
        <v>2.0</v>
      </c>
      <c r="E88" s="15" t="s">
        <v>87</v>
      </c>
      <c r="F88" s="8">
        <f>IFERROR(__xludf.DUMMYFUNCTION("IF(
  REGEXMATCH(E88, "":""),
  60*VALUE(INDEX(SPLIT(E88, "":""),1,1)) + VALUE(INDEX(SPLIT(E88, "":""),1,2)),
  VALUE(E88)
)"),1002.94)</f>
        <v>1002.94</v>
      </c>
      <c r="G88" s="8">
        <f>average(F85-F87,F86-F88)</f>
        <v>14.01</v>
      </c>
      <c r="H88" s="8">
        <v>14.009999999999934</v>
      </c>
      <c r="I88" s="6">
        <f>C84</f>
        <v>14</v>
      </c>
      <c r="J88" s="6">
        <f>C101</f>
        <v>22</v>
      </c>
      <c r="K88" s="6">
        <f t="array" ref="K88">INDEX('Podium Target Times'!$C:$C, MATCH(A88&amp;B88, 'Podium Target Times'!$A:$A&amp;'Podium Target Times'!$B:$B, 0))
</f>
        <v>1027.45</v>
      </c>
      <c r="L88" s="8">
        <f>L90+G90</f>
        <v>1050.951667</v>
      </c>
      <c r="M88" s="6" t="str">
        <f t="shared" si="1"/>
        <v>17:30.95</v>
      </c>
      <c r="N88" s="9">
        <f>IFERROR(__xludf.DUMMYFUNCTION("LET(
  gen,$A88, ev,$B88, t,$M88,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)"),671.0)</f>
        <v>671</v>
      </c>
    </row>
    <row r="89">
      <c r="A89" s="10" t="s">
        <v>14</v>
      </c>
      <c r="B89" s="11" t="s">
        <v>82</v>
      </c>
      <c r="C89" s="11">
        <v>16.0</v>
      </c>
      <c r="D89" s="11">
        <v>3.0</v>
      </c>
      <c r="E89" s="16" t="s">
        <v>88</v>
      </c>
      <c r="F89" s="13">
        <f>IFERROR(__xludf.DUMMYFUNCTION("IF(
  REGEXMATCH(E89, "":""),
  60*VALUE(INDEX(SPLIT(E89, "":""),1,1)) + VALUE(INDEX(SPLIT(E89, "":""),1,2)),
  VALUE(E89)
)"),1005.2)</f>
        <v>1005.2</v>
      </c>
      <c r="G89" s="13">
        <f>average(F85-F87,F86-F88)</f>
        <v>14.01</v>
      </c>
      <c r="H89" s="13">
        <v>14.009999999999934</v>
      </c>
      <c r="I89" s="11">
        <f>C84</f>
        <v>14</v>
      </c>
      <c r="J89" s="11">
        <f>C101</f>
        <v>22</v>
      </c>
      <c r="K89" s="11">
        <f t="array" ref="K89">INDEX('Podium Target Times'!$C:$C, MATCH(A89&amp;B89, 'Podium Target Times'!$A:$A&amp;'Podium Target Times'!$B:$B, 0))
</f>
        <v>1027.45</v>
      </c>
      <c r="L89" s="13">
        <f>L90+G90</f>
        <v>1050.951667</v>
      </c>
      <c r="M89" s="11" t="str">
        <f t="shared" si="1"/>
        <v>17:30.95</v>
      </c>
      <c r="N89" s="14">
        <f>IFERROR(__xludf.DUMMYFUNCTION("LET(
  gen,$A89, ev,$B89, t,$M89,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)"),671.0)</f>
        <v>671</v>
      </c>
    </row>
    <row r="90">
      <c r="A90" s="5" t="s">
        <v>14</v>
      </c>
      <c r="B90" s="6" t="s">
        <v>82</v>
      </c>
      <c r="C90" s="6">
        <v>17.0</v>
      </c>
      <c r="D90" s="6">
        <v>1.0</v>
      </c>
      <c r="E90" s="7" t="s">
        <v>89</v>
      </c>
      <c r="F90" s="8">
        <f>IFERROR(__xludf.DUMMYFUNCTION("IF(
  REGEXMATCH(E90, "":""),
  60*VALUE(INDEX(SPLIT(E90, "":""),1,1)) + VALUE(INDEX(SPLIT(E90, "":""),1,2)),
  VALUE(E90)
)"),989.65)</f>
        <v>989.65</v>
      </c>
      <c r="G90" s="8">
        <f>average(F87-F90,F88-F91,F89-F92)</f>
        <v>8.573333333</v>
      </c>
      <c r="H90" s="8">
        <v>8.57333333333338</v>
      </c>
      <c r="I90" s="6">
        <f>C84</f>
        <v>14</v>
      </c>
      <c r="J90" s="6">
        <f>C101</f>
        <v>22</v>
      </c>
      <c r="K90" s="6">
        <f t="array" ref="K90">INDEX('Podium Target Times'!$C:$C, MATCH(A90&amp;B90, 'Podium Target Times'!$A:$A&amp;'Podium Target Times'!$B:$B, 0))
</f>
        <v>1027.45</v>
      </c>
      <c r="L90" s="8">
        <f>L93+G93</f>
        <v>1042.378333</v>
      </c>
      <c r="M90" s="6" t="str">
        <f t="shared" si="1"/>
        <v>17:22.38</v>
      </c>
      <c r="N90" s="9">
        <f>IFERROR(__xludf.DUMMYFUNCTION("LET(
  gen,$A90, ev,$B90, t,$M90,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91">
      <c r="A91" s="10" t="s">
        <v>14</v>
      </c>
      <c r="B91" s="11" t="s">
        <v>82</v>
      </c>
      <c r="C91" s="11">
        <v>17.0</v>
      </c>
      <c r="D91" s="11">
        <v>2.0</v>
      </c>
      <c r="E91" s="16" t="s">
        <v>90</v>
      </c>
      <c r="F91" s="13">
        <f>IFERROR(__xludf.DUMMYFUNCTION("IF(
  REGEXMATCH(E91, "":""),
  60*VALUE(INDEX(SPLIT(E91, "":""),1,1)) + VALUE(INDEX(SPLIT(E91, "":""),1,2)),
  VALUE(E91)
)"),994.36)</f>
        <v>994.36</v>
      </c>
      <c r="G91" s="13">
        <f>average(F87-F90,F88-F91,F89-F92)</f>
        <v>8.573333333</v>
      </c>
      <c r="H91" s="13">
        <v>8.57333333333338</v>
      </c>
      <c r="I91" s="11">
        <f>C84</f>
        <v>14</v>
      </c>
      <c r="J91" s="11">
        <f>C101</f>
        <v>22</v>
      </c>
      <c r="K91" s="11">
        <f t="array" ref="K91">INDEX('Podium Target Times'!$C:$C, MATCH(A91&amp;B91, 'Podium Target Times'!$A:$A&amp;'Podium Target Times'!$B:$B, 0))
</f>
        <v>1027.45</v>
      </c>
      <c r="L91" s="13">
        <f>L93+G93</f>
        <v>1042.378333</v>
      </c>
      <c r="M91" s="11" t="str">
        <f t="shared" si="1"/>
        <v>17:22.38</v>
      </c>
      <c r="N91" s="14">
        <f>IFERROR(__xludf.DUMMYFUNCTION("LET(
  gen,$A91, ev,$B91, t,$M91,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92">
      <c r="A92" s="5" t="s">
        <v>14</v>
      </c>
      <c r="B92" s="6" t="s">
        <v>82</v>
      </c>
      <c r="C92" s="6">
        <v>17.0</v>
      </c>
      <c r="D92" s="6">
        <v>3.0</v>
      </c>
      <c r="E92" s="15" t="s">
        <v>91</v>
      </c>
      <c r="F92" s="8">
        <f>IFERROR(__xludf.DUMMYFUNCTION("IF(
  REGEXMATCH(E92, "":""),
  60*VALUE(INDEX(SPLIT(E92, "":""),1,1)) + VALUE(INDEX(SPLIT(E92, "":""),1,2)),
  VALUE(E92)
)"),996.6)</f>
        <v>996.6</v>
      </c>
      <c r="G92" s="8">
        <f>average(F87-F90,F88-F91,F89-F92)</f>
        <v>8.573333333</v>
      </c>
      <c r="H92" s="8">
        <v>8.57333333333338</v>
      </c>
      <c r="I92" s="6">
        <f>C84</f>
        <v>14</v>
      </c>
      <c r="J92" s="6">
        <f>C101</f>
        <v>22</v>
      </c>
      <c r="K92" s="6">
        <f t="array" ref="K92">INDEX('Podium Target Times'!$C:$C, MATCH(A92&amp;B92, 'Podium Target Times'!$A:$A&amp;'Podium Target Times'!$B:$B, 0))
</f>
        <v>1027.45</v>
      </c>
      <c r="L92" s="8">
        <f>L93+G93</f>
        <v>1042.378333</v>
      </c>
      <c r="M92" s="6" t="str">
        <f t="shared" si="1"/>
        <v>17:22.38</v>
      </c>
      <c r="N92" s="9">
        <f>IFERROR(__xludf.DUMMYFUNCTION("LET(
  gen,$A92, ev,$B92, t,$M92,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)"),688.0)</f>
        <v>688</v>
      </c>
    </row>
    <row r="93">
      <c r="A93" s="10" t="s">
        <v>14</v>
      </c>
      <c r="B93" s="11" t="s">
        <v>82</v>
      </c>
      <c r="C93" s="11">
        <v>18.0</v>
      </c>
      <c r="D93" s="11">
        <v>1.0</v>
      </c>
      <c r="E93" s="12" t="s">
        <v>92</v>
      </c>
      <c r="F93" s="13">
        <f>IFERROR(__xludf.DUMMYFUNCTION("IF(
  REGEXMATCH(E93, "":""),
  60*VALUE(INDEX(SPLIT(E93, "":""),1,1)) + VALUE(INDEX(SPLIT(E93, "":""),1,2)),
  VALUE(E93)
)"),984.56)</f>
        <v>984.56</v>
      </c>
      <c r="G93" s="13">
        <f>average(F90-F93,F91-F94,F92-F95)</f>
        <v>5.113333333</v>
      </c>
      <c r="H93" s="13">
        <v>5.113333333333344</v>
      </c>
      <c r="I93" s="11">
        <f>C84</f>
        <v>14</v>
      </c>
      <c r="J93" s="11">
        <f>C101</f>
        <v>22</v>
      </c>
      <c r="K93" s="11">
        <f t="array" ref="K93">INDEX('Podium Target Times'!$C:$C, MATCH(A93&amp;B93, 'Podium Target Times'!$A:$A&amp;'Podium Target Times'!$B:$B, 0))
</f>
        <v>1027.45</v>
      </c>
      <c r="L93" s="13">
        <f>L96+G96</f>
        <v>1037.265</v>
      </c>
      <c r="M93" s="11" t="str">
        <f t="shared" si="1"/>
        <v>17:17.27</v>
      </c>
      <c r="N93" s="14">
        <f>IFERROR(__xludf.DUMMYFUNCTION("LET(
  gen,$A93, ev,$B93, t,$M93,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)"),698.0)</f>
        <v>698</v>
      </c>
    </row>
    <row r="94">
      <c r="A94" s="5" t="s">
        <v>14</v>
      </c>
      <c r="B94" s="6" t="s">
        <v>82</v>
      </c>
      <c r="C94" s="6">
        <v>18.0</v>
      </c>
      <c r="D94" s="6">
        <v>2.0</v>
      </c>
      <c r="E94" s="7" t="s">
        <v>93</v>
      </c>
      <c r="F94" s="8">
        <f>IFERROR(__xludf.DUMMYFUNCTION("IF(
  REGEXMATCH(E94, "":""),
  60*VALUE(INDEX(SPLIT(E94, "":""),1,1)) + VALUE(INDEX(SPLIT(E94, "":""),1,2)),
  VALUE(E94)
)"),989.24)</f>
        <v>989.24</v>
      </c>
      <c r="G94" s="8">
        <f>average(F90-F93,F91-F94,F92-F95)</f>
        <v>5.113333333</v>
      </c>
      <c r="H94" s="8">
        <v>5.113333333333344</v>
      </c>
      <c r="I94" s="6">
        <f>C84</f>
        <v>14</v>
      </c>
      <c r="J94" s="6">
        <f>C101</f>
        <v>22</v>
      </c>
      <c r="K94" s="6">
        <f t="array" ref="K94">INDEX('Podium Target Times'!$C:$C, MATCH(A94&amp;B94, 'Podium Target Times'!$A:$A&amp;'Podium Target Times'!$B:$B, 0))
</f>
        <v>1027.45</v>
      </c>
      <c r="L94" s="8">
        <f>L96+G96</f>
        <v>1037.265</v>
      </c>
      <c r="M94" s="6" t="str">
        <f t="shared" si="1"/>
        <v>17:17.27</v>
      </c>
      <c r="N94" s="9">
        <f>IFERROR(__xludf.DUMMYFUNCTION("LET(
  gen,$A94, ev,$B94, t,$M94,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)"),698.0)</f>
        <v>698</v>
      </c>
    </row>
    <row r="95">
      <c r="A95" s="10" t="s">
        <v>14</v>
      </c>
      <c r="B95" s="11" t="s">
        <v>82</v>
      </c>
      <c r="C95" s="11">
        <v>18.0</v>
      </c>
      <c r="D95" s="11">
        <v>3.0</v>
      </c>
      <c r="E95" s="12" t="s">
        <v>94</v>
      </c>
      <c r="F95" s="13">
        <f>IFERROR(__xludf.DUMMYFUNCTION("IF(
  REGEXMATCH(E95, "":""),
  60*VALUE(INDEX(SPLIT(E95, "":""),1,1)) + VALUE(INDEX(SPLIT(E95, "":""),1,2)),
  VALUE(E95)
)"),991.47)</f>
        <v>991.47</v>
      </c>
      <c r="G95" s="13">
        <f>average(F90-F93,F91-F94,F92-F95)</f>
        <v>5.113333333</v>
      </c>
      <c r="H95" s="13">
        <v>5.113333333333344</v>
      </c>
      <c r="I95" s="11">
        <f>C84</f>
        <v>14</v>
      </c>
      <c r="J95" s="11">
        <f>C101</f>
        <v>22</v>
      </c>
      <c r="K95" s="11">
        <f t="array" ref="K95">INDEX('Podium Target Times'!$C:$C, MATCH(A95&amp;B95, 'Podium Target Times'!$A:$A&amp;'Podium Target Times'!$B:$B, 0))
</f>
        <v>1027.45</v>
      </c>
      <c r="L95" s="13">
        <f>L96+G96</f>
        <v>1037.265</v>
      </c>
      <c r="M95" s="11" t="str">
        <f t="shared" si="1"/>
        <v>17:17.27</v>
      </c>
      <c r="N95" s="14">
        <f>IFERROR(__xludf.DUMMYFUNCTION("LET(
  gen,$A95, ev,$B95, t,$M95,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)"),698.0)</f>
        <v>698</v>
      </c>
    </row>
    <row r="96">
      <c r="A96" s="5" t="s">
        <v>14</v>
      </c>
      <c r="B96" s="6" t="s">
        <v>82</v>
      </c>
      <c r="C96" s="6">
        <v>19.0</v>
      </c>
      <c r="D96" s="6">
        <v>2.0</v>
      </c>
      <c r="E96" s="7" t="s">
        <v>95</v>
      </c>
      <c r="F96" s="8">
        <f>IFERROR(__xludf.DUMMYFUNCTION("IF(
  REGEXMATCH(E96, "":""),
  60*VALUE(INDEX(SPLIT(E96, "":""),1,1)) + VALUE(INDEX(SPLIT(E96, "":""),1,2)),
  VALUE(E96)
)"),986.24)</f>
        <v>986.24</v>
      </c>
      <c r="G96" s="8">
        <f>average(F94-F96,F95-F97)</f>
        <v>3.005</v>
      </c>
      <c r="H96" s="8">
        <v>3.0049999999999955</v>
      </c>
      <c r="I96" s="6">
        <f>C84</f>
        <v>14</v>
      </c>
      <c r="J96" s="6">
        <f>C101</f>
        <v>22</v>
      </c>
      <c r="K96" s="6">
        <f t="array" ref="K96">INDEX('Podium Target Times'!$C:$C, MATCH(A96&amp;B96, 'Podium Target Times'!$A:$A&amp;'Podium Target Times'!$B:$B, 0))
</f>
        <v>1027.45</v>
      </c>
      <c r="L96" s="8">
        <f>L98+G98</f>
        <v>1034.26</v>
      </c>
      <c r="M96" s="6" t="str">
        <f t="shared" si="1"/>
        <v>17:14.26</v>
      </c>
      <c r="N96" s="9">
        <f>IFERROR(__xludf.DUMMYFUNCTION("LET(
  gen,$A96, ev,$B96, t,$M96,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)"),704.0)</f>
        <v>704</v>
      </c>
    </row>
    <row r="97">
      <c r="A97" s="10" t="s">
        <v>14</v>
      </c>
      <c r="B97" s="11" t="s">
        <v>82</v>
      </c>
      <c r="C97" s="11">
        <v>19.0</v>
      </c>
      <c r="D97" s="11">
        <v>3.0</v>
      </c>
      <c r="E97" s="12" t="s">
        <v>96</v>
      </c>
      <c r="F97" s="13">
        <f>IFERROR(__xludf.DUMMYFUNCTION("IF(
  REGEXMATCH(E97, "":""),
  60*VALUE(INDEX(SPLIT(E97, "":""),1,1)) + VALUE(INDEX(SPLIT(E97, "":""),1,2)),
  VALUE(E97)
)"),988.46)</f>
        <v>988.46</v>
      </c>
      <c r="G97" s="13">
        <f>average(F94-F96,F95-F97)</f>
        <v>3.005</v>
      </c>
      <c r="H97" s="13">
        <v>3.0049999999999955</v>
      </c>
      <c r="I97" s="11">
        <f>C84</f>
        <v>14</v>
      </c>
      <c r="J97" s="11">
        <f>C101</f>
        <v>22</v>
      </c>
      <c r="K97" s="11">
        <f t="array" ref="K97">INDEX('Podium Target Times'!$C:$C, MATCH(A97&amp;B97, 'Podium Target Times'!$A:$A&amp;'Podium Target Times'!$B:$B, 0))
</f>
        <v>1027.45</v>
      </c>
      <c r="L97" s="13">
        <f>L98+G98</f>
        <v>1034.26</v>
      </c>
      <c r="M97" s="11" t="str">
        <f t="shared" si="1"/>
        <v>17:14.26</v>
      </c>
      <c r="N97" s="14">
        <f>IFERROR(__xludf.DUMMYFUNCTION("LET(
  gen,$A97, ev,$B97, t,$M97,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)"),704.0)</f>
        <v>704</v>
      </c>
    </row>
    <row r="98">
      <c r="A98" s="5" t="s">
        <v>14</v>
      </c>
      <c r="B98" s="6" t="s">
        <v>82</v>
      </c>
      <c r="C98" s="6">
        <v>20.0</v>
      </c>
      <c r="D98" s="6">
        <v>2.0</v>
      </c>
      <c r="E98" s="7" t="s">
        <v>92</v>
      </c>
      <c r="F98" s="8">
        <f>IFERROR(__xludf.DUMMYFUNCTION("IF(
  REGEXMATCH(E98, "":""),
  60*VALUE(INDEX(SPLIT(E98, "":""),1,1)) + VALUE(INDEX(SPLIT(E98, "":""),1,2)),
  VALUE(E98)
)"),984.56)</f>
        <v>984.56</v>
      </c>
      <c r="G98" s="8">
        <f>average(F96-F98,F97-F99)</f>
        <v>1.68</v>
      </c>
      <c r="H98" s="8">
        <v>1.6800000000000637</v>
      </c>
      <c r="I98" s="6">
        <f>C84</f>
        <v>14</v>
      </c>
      <c r="J98" s="6">
        <f>C101</f>
        <v>22</v>
      </c>
      <c r="K98" s="6">
        <f t="array" ref="K98">INDEX('Podium Target Times'!$C:$C, MATCH(A98&amp;B98, 'Podium Target Times'!$A:$A&amp;'Podium Target Times'!$B:$B, 0))
</f>
        <v>1027.45</v>
      </c>
      <c r="L98" s="8">
        <f>L100+G100</f>
        <v>1032.58</v>
      </c>
      <c r="M98" s="6" t="str">
        <f t="shared" si="1"/>
        <v>17:12.58</v>
      </c>
      <c r="N98" s="9">
        <f>IFERROR(__xludf.DUMMYFUNCTION("LET(
  gen,$A98, ev,$B98, t,$M98,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)"),708.0)</f>
        <v>708</v>
      </c>
    </row>
    <row r="99">
      <c r="A99" s="10" t="s">
        <v>14</v>
      </c>
      <c r="B99" s="11" t="s">
        <v>82</v>
      </c>
      <c r="C99" s="11">
        <v>20.0</v>
      </c>
      <c r="D99" s="11">
        <v>3.0</v>
      </c>
      <c r="E99" s="12" t="s">
        <v>97</v>
      </c>
      <c r="F99" s="13">
        <f>IFERROR(__xludf.DUMMYFUNCTION("IF(
  REGEXMATCH(E99, "":""),
  60*VALUE(INDEX(SPLIT(E99, "":""),1,1)) + VALUE(INDEX(SPLIT(E99, "":""),1,2)),
  VALUE(E99)
)"),986.78)</f>
        <v>986.78</v>
      </c>
      <c r="G99" s="13">
        <f>average(F96-F98,F97-F99)</f>
        <v>1.68</v>
      </c>
      <c r="H99" s="13">
        <v>1.6800000000000637</v>
      </c>
      <c r="I99" s="11">
        <f>C84</f>
        <v>14</v>
      </c>
      <c r="J99" s="11">
        <f>C101</f>
        <v>22</v>
      </c>
      <c r="K99" s="11">
        <f t="array" ref="K99">INDEX('Podium Target Times'!$C:$C, MATCH(A99&amp;B99, 'Podium Target Times'!$A:$A&amp;'Podium Target Times'!$B:$B, 0))
</f>
        <v>1027.45</v>
      </c>
      <c r="L99" s="13">
        <f t="shared" ref="L99:L100" si="10">L100+G100</f>
        <v>1032.58</v>
      </c>
      <c r="M99" s="11" t="str">
        <f t="shared" si="1"/>
        <v>17:12.58</v>
      </c>
      <c r="N99" s="14">
        <f>IFERROR(__xludf.DUMMYFUNCTION("LET(
  gen,$A99, ev,$B99, t,$M99,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)"),708.0)</f>
        <v>708</v>
      </c>
    </row>
    <row r="100">
      <c r="A100" s="5" t="s">
        <v>14</v>
      </c>
      <c r="B100" s="6" t="s">
        <v>82</v>
      </c>
      <c r="C100" s="6">
        <v>21.0</v>
      </c>
      <c r="D100" s="6">
        <v>3.0</v>
      </c>
      <c r="E100" s="7" t="s">
        <v>98</v>
      </c>
      <c r="F100" s="8">
        <f>IFERROR(__xludf.DUMMYFUNCTION("IF(
  REGEXMATCH(E100, "":""),
  60*VALUE(INDEX(SPLIT(E100, "":""),1,1)) + VALUE(INDEX(SPLIT(E100, "":""),1,2)),
  VALUE(E100)
)"),985.53)</f>
        <v>985.53</v>
      </c>
      <c r="G100" s="8">
        <f t="shared" ref="G100:G101" si="11">F99-F100</f>
        <v>1.25</v>
      </c>
      <c r="H100" s="8">
        <v>1.25</v>
      </c>
      <c r="I100" s="6">
        <f>C84</f>
        <v>14</v>
      </c>
      <c r="J100" s="6">
        <f>C101</f>
        <v>22</v>
      </c>
      <c r="K100" s="6">
        <f t="array" ref="K100">INDEX('Podium Target Times'!$C:$C, MATCH(A100&amp;B100, 'Podium Target Times'!$A:$A&amp;'Podium Target Times'!$B:$B, 0))
</f>
        <v>1027.45</v>
      </c>
      <c r="L100" s="8">
        <f t="shared" si="10"/>
        <v>1031.33</v>
      </c>
      <c r="M100" s="6" t="str">
        <f t="shared" si="1"/>
        <v>17:11.33</v>
      </c>
      <c r="N100" s="9">
        <f>IFERROR(__xludf.DUMMYFUNCTION("LET(
  gen,$A100, ev,$B100, t,$M100,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101">
      <c r="A101" s="10" t="s">
        <v>14</v>
      </c>
      <c r="B101" s="11" t="s">
        <v>82</v>
      </c>
      <c r="C101" s="11">
        <v>22.0</v>
      </c>
      <c r="D101" s="11">
        <v>3.0</v>
      </c>
      <c r="E101" s="12" t="s">
        <v>92</v>
      </c>
      <c r="F101" s="13">
        <f>IFERROR(__xludf.DUMMYFUNCTION("IF(
  REGEXMATCH(E101, "":""),
  60*VALUE(INDEX(SPLIT(E101, "":""),1,1)) + VALUE(INDEX(SPLIT(E101, "":""),1,2)),
  VALUE(E101)
)"),984.56)</f>
        <v>984.56</v>
      </c>
      <c r="G101" s="13">
        <f t="shared" si="11"/>
        <v>0.97</v>
      </c>
      <c r="H101" s="13">
        <v>0.9700000000000273</v>
      </c>
      <c r="I101" s="11">
        <f>C84</f>
        <v>14</v>
      </c>
      <c r="J101" s="11">
        <f>C101</f>
        <v>22</v>
      </c>
      <c r="K101" s="11">
        <f t="array" ref="K101">INDEX('Podium Target Times'!$C:$C, MATCH(A101&amp;B101, 'Podium Target Times'!$A:$A&amp;'Podium Target Times'!$B:$B, 0))
</f>
        <v>1027.45</v>
      </c>
      <c r="L101" s="13">
        <f>G101+L102</f>
        <v>1030.36</v>
      </c>
      <c r="M101" s="11" t="str">
        <f t="shared" si="1"/>
        <v>17:10.36</v>
      </c>
      <c r="N101" s="14">
        <f>IFERROR(__xludf.DUMMYFUNCTION("LET(
  gen,$A101, ev,$B101, t,$M101,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)"),712.0)</f>
        <v>712</v>
      </c>
    </row>
    <row r="102">
      <c r="A102" s="5" t="s">
        <v>14</v>
      </c>
      <c r="B102" s="6" t="s">
        <v>82</v>
      </c>
      <c r="C102" s="6">
        <v>23.0</v>
      </c>
      <c r="D102" s="6"/>
      <c r="E102" s="7"/>
      <c r="F102" s="8">
        <f>IFERROR(__xludf.DUMMYFUNCTION("IF(
  REGEXMATCH(E102, "":""),
  60*VALUE(INDEX(SPLIT(E102, "":""),1,1)) + VALUE(INDEX(SPLIT(E102, "":""),1,2)),
  VALUE(E102)
)"),0.0)</f>
        <v>0</v>
      </c>
      <c r="G102" s="8"/>
      <c r="H102" s="8"/>
      <c r="I102" s="6">
        <f t="shared" ref="I102:I105" si="12">C102</f>
        <v>23</v>
      </c>
      <c r="J102" s="6">
        <f t="shared" ref="J102:J105" si="13">C119</f>
        <v>19</v>
      </c>
      <c r="K102" s="6">
        <f t="array" ref="K102">INDEX('Podium Target Times'!$C:$C, MATCH(A102&amp;B102, 'Podium Target Times'!$A:$A&amp;'Podium Target Times'!$B:$B, 0))
</f>
        <v>1027.45</v>
      </c>
      <c r="L102" s="8">
        <f>G101+L103</f>
        <v>1029.39</v>
      </c>
      <c r="M102" s="6" t="str">
        <f t="shared" si="1"/>
        <v>17:09.39</v>
      </c>
      <c r="N102" s="9">
        <f>IFERROR(__xludf.DUMMYFUNCTION("LET(
  gen,$A102, ev,$B102, t,$M102,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103">
      <c r="A103" s="10" t="s">
        <v>14</v>
      </c>
      <c r="B103" s="11" t="s">
        <v>82</v>
      </c>
      <c r="C103" s="11">
        <v>24.0</v>
      </c>
      <c r="D103" s="11"/>
      <c r="E103" s="12"/>
      <c r="F103" s="13">
        <f>IFERROR(__xludf.DUMMYFUNCTION("IF(
  REGEXMATCH(E103, "":""),
  60*VALUE(INDEX(SPLIT(E103, "":""),1,1)) + VALUE(INDEX(SPLIT(E103, "":""),1,2)),
  VALUE(E103)
)"),0.0)</f>
        <v>0</v>
      </c>
      <c r="G103" s="13"/>
      <c r="H103" s="13"/>
      <c r="I103" s="11">
        <f t="shared" si="12"/>
        <v>24</v>
      </c>
      <c r="J103" s="11">
        <f t="shared" si="13"/>
        <v>19</v>
      </c>
      <c r="K103" s="11">
        <f t="array" ref="K103">INDEX('Podium Target Times'!$C:$C, MATCH(A103&amp;B103, 'Podium Target Times'!$A:$A&amp;'Podium Target Times'!$B:$B, 0))
</f>
        <v>1027.45</v>
      </c>
      <c r="L103" s="13">
        <f>G101+L104</f>
        <v>1028.42</v>
      </c>
      <c r="M103" s="11" t="str">
        <f t="shared" si="1"/>
        <v>17:08.42</v>
      </c>
      <c r="N103" s="14">
        <f>IFERROR(__xludf.DUMMYFUNCTION("LET(
  gen,$A103, ev,$B103, t,$M103,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104">
      <c r="A104" s="5" t="s">
        <v>14</v>
      </c>
      <c r="B104" s="6" t="s">
        <v>82</v>
      </c>
      <c r="C104" s="6">
        <v>25.0</v>
      </c>
      <c r="D104" s="6"/>
      <c r="E104" s="7"/>
      <c r="F104" s="8">
        <f>IFERROR(__xludf.DUMMYFUNCTION("IF(
  REGEXMATCH(E104, "":""),
  60*VALUE(INDEX(SPLIT(E104, "":""),1,1)) + VALUE(INDEX(SPLIT(E104, "":""),1,2)),
  VALUE(E104)
)"),0.0)</f>
        <v>0</v>
      </c>
      <c r="G104" s="8"/>
      <c r="H104" s="8"/>
      <c r="I104" s="6">
        <f t="shared" si="12"/>
        <v>25</v>
      </c>
      <c r="J104" s="6">
        <f t="shared" si="13"/>
        <v>20</v>
      </c>
      <c r="K104" s="6">
        <f t="array" ref="K104">INDEX('Podium Target Times'!$C:$C, MATCH(A104&amp;B104, 'Podium Target Times'!$A:$A&amp;'Podium Target Times'!$B:$B, 0))
</f>
        <v>1027.45</v>
      </c>
      <c r="L104" s="6">
        <f>K104</f>
        <v>1027.45</v>
      </c>
      <c r="M104" s="6" t="str">
        <f t="shared" si="1"/>
        <v>17:07.45</v>
      </c>
      <c r="N104" s="9">
        <f>IFERROR(__xludf.DUMMYFUNCTION("LET(
  gen,$A104, ev,$B104, t,$M104,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)"),719.0)</f>
        <v>719</v>
      </c>
    </row>
    <row r="105">
      <c r="A105" s="10" t="s">
        <v>14</v>
      </c>
      <c r="B105" s="11" t="s">
        <v>99</v>
      </c>
      <c r="C105" s="11">
        <v>13.0</v>
      </c>
      <c r="D105" s="11">
        <v>1.0</v>
      </c>
      <c r="E105" s="12" t="s">
        <v>100</v>
      </c>
      <c r="F105" s="13">
        <f>IFERROR(__xludf.DUMMYFUNCTION("IF(
  REGEXMATCH(E105, "":""),
  60*VALUE(INDEX(SPLIT(E105, "":""),1,1)) + VALUE(INDEX(SPLIT(E105, "":""),1,2)),
  VALUE(E105)
)"),143.84)</f>
        <v>143.84</v>
      </c>
      <c r="G105" s="13">
        <v>0.0</v>
      </c>
      <c r="H105" s="13">
        <v>0.0</v>
      </c>
      <c r="I105" s="11">
        <f t="shared" si="12"/>
        <v>13</v>
      </c>
      <c r="J105" s="11">
        <f t="shared" si="13"/>
        <v>21</v>
      </c>
      <c r="K105" s="11">
        <f t="array" ref="K105">INDEX('Podium Target Times'!$C:$C, MATCH(A105&amp;B105, 'Podium Target Times'!$A:$A&amp;'Podium Target Times'!$B:$B, 0))
</f>
        <v>137.95</v>
      </c>
      <c r="L105" s="13">
        <f>L106+G106</f>
        <v>154.6733333</v>
      </c>
      <c r="M105" s="11" t="str">
        <f t="shared" si="1"/>
        <v>2:34.67</v>
      </c>
      <c r="N105" s="14">
        <f>IFERROR(__xludf.DUMMYFUNCTION("LET(
  gen,$A105, ev,$B105, t,$M105,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)"),504.0)</f>
        <v>504</v>
      </c>
    </row>
    <row r="106">
      <c r="A106" s="5" t="s">
        <v>14</v>
      </c>
      <c r="B106" s="6" t="s">
        <v>99</v>
      </c>
      <c r="C106" s="6">
        <v>14.0</v>
      </c>
      <c r="D106" s="6">
        <v>1.0</v>
      </c>
      <c r="E106" s="7" t="s">
        <v>101</v>
      </c>
      <c r="F106" s="8">
        <f>IFERROR(__xludf.DUMMYFUNCTION("IF(
  REGEXMATCH(E106, "":""),
  60*VALUE(INDEX(SPLIT(E106, "":""),1,1)) + VALUE(INDEX(SPLIT(E106, "":""),1,2)),
  VALUE(E106)
)"),138.64)</f>
        <v>138.64</v>
      </c>
      <c r="G106" s="8">
        <f>F105-F106</f>
        <v>5.2</v>
      </c>
      <c r="H106" s="8">
        <v>5.200000000000017</v>
      </c>
      <c r="I106" s="6">
        <f>C105</f>
        <v>13</v>
      </c>
      <c r="J106" s="6">
        <f>C122</f>
        <v>21</v>
      </c>
      <c r="K106" s="6">
        <f t="array" ref="K106">INDEX('Podium Target Times'!$C:$C, MATCH(A106&amp;B106, 'Podium Target Times'!$A:$A&amp;'Podium Target Times'!$B:$B, 0))
</f>
        <v>137.95</v>
      </c>
      <c r="L106" s="8">
        <f>L108+G108</f>
        <v>149.4733333</v>
      </c>
      <c r="M106" s="6" t="str">
        <f t="shared" si="1"/>
        <v>2:29.47</v>
      </c>
      <c r="N106" s="9">
        <f>IFERROR(__xludf.DUMMYFUNCTION("LET(
  gen,$A106, ev,$B106, t,$M106,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)"),559.0)</f>
        <v>559</v>
      </c>
    </row>
    <row r="107">
      <c r="A107" s="10" t="s">
        <v>14</v>
      </c>
      <c r="B107" s="11" t="s">
        <v>99</v>
      </c>
      <c r="C107" s="11">
        <v>14.0</v>
      </c>
      <c r="D107" s="11">
        <v>2.0</v>
      </c>
      <c r="E107" s="12" t="s">
        <v>102</v>
      </c>
      <c r="F107" s="13">
        <f>IFERROR(__xludf.DUMMYFUNCTION("IF(
  REGEXMATCH(E107, "":""),
  60*VALUE(INDEX(SPLIT(E107, "":""),1,1)) + VALUE(INDEX(SPLIT(E107, "":""),1,2)),
  VALUE(E107)
)"),140.52)</f>
        <v>140.52</v>
      </c>
      <c r="G107" s="13">
        <f>F105-F106</f>
        <v>5.2</v>
      </c>
      <c r="H107" s="13">
        <v>5.200000000000017</v>
      </c>
      <c r="I107" s="11">
        <f>C105</f>
        <v>13</v>
      </c>
      <c r="J107" s="11">
        <f>C122</f>
        <v>21</v>
      </c>
      <c r="K107" s="11">
        <f t="array" ref="K107">INDEX('Podium Target Times'!$C:$C, MATCH(A107&amp;B107, 'Podium Target Times'!$A:$A&amp;'Podium Target Times'!$B:$B, 0))
</f>
        <v>137.95</v>
      </c>
      <c r="L107" s="13">
        <f>L108+G108</f>
        <v>149.4733333</v>
      </c>
      <c r="M107" s="11" t="str">
        <f t="shared" si="1"/>
        <v>2:29.47</v>
      </c>
      <c r="N107" s="14">
        <f>IFERROR(__xludf.DUMMYFUNCTION("LET(
  gen,$A107, ev,$B107, t,$M107,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)"),559.0)</f>
        <v>559</v>
      </c>
    </row>
    <row r="108">
      <c r="A108" s="5" t="s">
        <v>14</v>
      </c>
      <c r="B108" s="6" t="s">
        <v>99</v>
      </c>
      <c r="C108" s="6">
        <v>15.0</v>
      </c>
      <c r="D108" s="6">
        <v>1.0</v>
      </c>
      <c r="E108" s="7" t="s">
        <v>103</v>
      </c>
      <c r="F108" s="8">
        <f>IFERROR(__xludf.DUMMYFUNCTION("IF(
  REGEXMATCH(E108, "":""),
  60*VALUE(INDEX(SPLIT(E108, "":""),1,1)) + VALUE(INDEX(SPLIT(E108, "":""),1,2)),
  VALUE(E108)
)"),134.97)</f>
        <v>134.97</v>
      </c>
      <c r="G108" s="8">
        <f>average(F106-F108,F107-F109)</f>
        <v>3.695</v>
      </c>
      <c r="H108" s="8">
        <v>3.694999999999993</v>
      </c>
      <c r="I108" s="6">
        <f>C105</f>
        <v>13</v>
      </c>
      <c r="J108" s="6">
        <f>C122</f>
        <v>21</v>
      </c>
      <c r="K108" s="6">
        <f t="array" ref="K108">INDEX('Podium Target Times'!$C:$C, MATCH(A108&amp;B108, 'Podium Target Times'!$A:$A&amp;'Podium Target Times'!$B:$B, 0))
</f>
        <v>137.95</v>
      </c>
      <c r="L108" s="8">
        <f>L111+G111</f>
        <v>145.7783333</v>
      </c>
      <c r="M108" s="6" t="str">
        <f t="shared" si="1"/>
        <v>2:25.78</v>
      </c>
      <c r="N108" s="9">
        <f>IFERROR(__xludf.DUMMYFUNCTION("LET(
  gen,$A108, ev,$B108, t,$M108,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)"),602.0)</f>
        <v>602</v>
      </c>
    </row>
    <row r="109">
      <c r="A109" s="10" t="s">
        <v>14</v>
      </c>
      <c r="B109" s="11" t="s">
        <v>99</v>
      </c>
      <c r="C109" s="11">
        <v>15.0</v>
      </c>
      <c r="D109" s="11">
        <v>2.0</v>
      </c>
      <c r="E109" s="12" t="s">
        <v>104</v>
      </c>
      <c r="F109" s="13">
        <f>IFERROR(__xludf.DUMMYFUNCTION("IF(
  REGEXMATCH(E109, "":""),
  60*VALUE(INDEX(SPLIT(E109, "":""),1,1)) + VALUE(INDEX(SPLIT(E109, "":""),1,2)),
  VALUE(E109)
)"),136.8)</f>
        <v>136.8</v>
      </c>
      <c r="G109" s="13">
        <f>average(F106-F108,F107-F109)</f>
        <v>3.695</v>
      </c>
      <c r="H109" s="13">
        <v>3.694999999999993</v>
      </c>
      <c r="I109" s="11">
        <f>C105</f>
        <v>13</v>
      </c>
      <c r="J109" s="11">
        <f>C122</f>
        <v>21</v>
      </c>
      <c r="K109" s="11">
        <f t="array" ref="K109">INDEX('Podium Target Times'!$C:$C, MATCH(A109&amp;B109, 'Podium Target Times'!$A:$A&amp;'Podium Target Times'!$B:$B, 0))
</f>
        <v>137.95</v>
      </c>
      <c r="L109" s="13">
        <f>L111+G111</f>
        <v>145.7783333</v>
      </c>
      <c r="M109" s="11" t="str">
        <f t="shared" si="1"/>
        <v>2:25.78</v>
      </c>
      <c r="N109" s="14">
        <f>IFERROR(__xludf.DUMMYFUNCTION("LET(
  gen,$A109, ev,$B109, t,$M109,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)"),602.0)</f>
        <v>602</v>
      </c>
    </row>
    <row r="110">
      <c r="A110" s="5" t="s">
        <v>14</v>
      </c>
      <c r="B110" s="6" t="s">
        <v>99</v>
      </c>
      <c r="C110" s="6">
        <v>15.0</v>
      </c>
      <c r="D110" s="6">
        <v>3.0</v>
      </c>
      <c r="E110" s="7" t="s">
        <v>105</v>
      </c>
      <c r="F110" s="8">
        <f>IFERROR(__xludf.DUMMYFUNCTION("IF(
  REGEXMATCH(E110, "":""),
  60*VALUE(INDEX(SPLIT(E110, "":""),1,1)) + VALUE(INDEX(SPLIT(E110, "":""),1,2)),
  VALUE(E110)
)"),137.67000000000002)</f>
        <v>137.67</v>
      </c>
      <c r="G110" s="8">
        <f>average(F106-F108,F107-F109)</f>
        <v>3.695</v>
      </c>
      <c r="H110" s="8">
        <v>3.694999999999993</v>
      </c>
      <c r="I110" s="6">
        <f>C105</f>
        <v>13</v>
      </c>
      <c r="J110" s="6">
        <f>C122</f>
        <v>21</v>
      </c>
      <c r="K110" s="6">
        <f t="array" ref="K110">INDEX('Podium Target Times'!$C:$C, MATCH(A110&amp;B110, 'Podium Target Times'!$A:$A&amp;'Podium Target Times'!$B:$B, 0))
</f>
        <v>137.95</v>
      </c>
      <c r="L110" s="8">
        <f>L111+G111</f>
        <v>145.7783333</v>
      </c>
      <c r="M110" s="6" t="str">
        <f t="shared" si="1"/>
        <v>2:25.78</v>
      </c>
      <c r="N110" s="9">
        <f>IFERROR(__xludf.DUMMYFUNCTION("LET(
  gen,$A110, ev,$B110, t,$M110,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)"),602.0)</f>
        <v>602</v>
      </c>
    </row>
    <row r="111">
      <c r="A111" s="10" t="s">
        <v>14</v>
      </c>
      <c r="B111" s="11" t="s">
        <v>99</v>
      </c>
      <c r="C111" s="11">
        <v>16.0</v>
      </c>
      <c r="D111" s="11">
        <v>1.0</v>
      </c>
      <c r="E111" s="12" t="s">
        <v>106</v>
      </c>
      <c r="F111" s="13">
        <f>IFERROR(__xludf.DUMMYFUNCTION("IF(
  REGEXMATCH(E111, "":""),
  60*VALUE(INDEX(SPLIT(E111, "":""),1,1)) + VALUE(INDEX(SPLIT(E111, "":""),1,2)),
  VALUE(E111)
)"),132.63)</f>
        <v>132.63</v>
      </c>
      <c r="G111" s="13">
        <f>average(F108-F111,F109-F112,F110-F113)</f>
        <v>2.366666667</v>
      </c>
      <c r="H111" s="13">
        <v>2.3666666666666742</v>
      </c>
      <c r="I111" s="11">
        <f>C105</f>
        <v>13</v>
      </c>
      <c r="J111" s="11">
        <f>C122</f>
        <v>21</v>
      </c>
      <c r="K111" s="11">
        <f t="array" ref="K111">INDEX('Podium Target Times'!$C:$C, MATCH(A111&amp;B111, 'Podium Target Times'!$A:$A&amp;'Podium Target Times'!$B:$B, 0))
</f>
        <v>137.95</v>
      </c>
      <c r="L111" s="13">
        <f>L114+G114</f>
        <v>143.4116667</v>
      </c>
      <c r="M111" s="11" t="str">
        <f t="shared" si="1"/>
        <v>2:23.41</v>
      </c>
      <c r="N111" s="14">
        <f>IFERROR(__xludf.DUMMYFUNCTION("LET(
  gen,$A111, ev,$B111, t,$M111,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)"),633.0)</f>
        <v>633</v>
      </c>
    </row>
    <row r="112">
      <c r="A112" s="5" t="s">
        <v>14</v>
      </c>
      <c r="B112" s="6" t="s">
        <v>99</v>
      </c>
      <c r="C112" s="6">
        <v>16.0</v>
      </c>
      <c r="D112" s="6">
        <v>2.0</v>
      </c>
      <c r="E112" s="7" t="s">
        <v>107</v>
      </c>
      <c r="F112" s="8">
        <f>IFERROR(__xludf.DUMMYFUNCTION("IF(
  REGEXMATCH(E112, "":""),
  60*VALUE(INDEX(SPLIT(E112, "":""),1,1)) + VALUE(INDEX(SPLIT(E112, "":""),1,2)),
  VALUE(E112)
)"),134.43)</f>
        <v>134.43</v>
      </c>
      <c r="G112" s="8">
        <f>average(F108-F111,F109-F112,F110-F113)</f>
        <v>2.366666667</v>
      </c>
      <c r="H112" s="8">
        <v>2.3666666666666742</v>
      </c>
      <c r="I112" s="6">
        <f>C105</f>
        <v>13</v>
      </c>
      <c r="J112" s="6">
        <f>C122</f>
        <v>21</v>
      </c>
      <c r="K112" s="6">
        <f t="array" ref="K112">INDEX('Podium Target Times'!$C:$C, MATCH(A112&amp;B112, 'Podium Target Times'!$A:$A&amp;'Podium Target Times'!$B:$B, 0))
</f>
        <v>137.95</v>
      </c>
      <c r="L112" s="8">
        <f>L114+G114</f>
        <v>143.4116667</v>
      </c>
      <c r="M112" s="6" t="str">
        <f t="shared" si="1"/>
        <v>2:23.41</v>
      </c>
      <c r="N112" s="9">
        <f>IFERROR(__xludf.DUMMYFUNCTION("LET(
  gen,$A112, ev,$B112, t,$M112,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)"),633.0)</f>
        <v>633</v>
      </c>
    </row>
    <row r="113">
      <c r="A113" s="10" t="s">
        <v>14</v>
      </c>
      <c r="B113" s="11" t="s">
        <v>99</v>
      </c>
      <c r="C113" s="11">
        <v>16.0</v>
      </c>
      <c r="D113" s="11">
        <v>3.0</v>
      </c>
      <c r="E113" s="12" t="s">
        <v>108</v>
      </c>
      <c r="F113" s="13">
        <f>IFERROR(__xludf.DUMMYFUNCTION("IF(
  REGEXMATCH(E113, "":""),
  60*VALUE(INDEX(SPLIT(E113, "":""),1,1)) + VALUE(INDEX(SPLIT(E113, "":""),1,2)),
  VALUE(E113)
)"),135.28)</f>
        <v>135.28</v>
      </c>
      <c r="G113" s="13">
        <f>average(F108-F111,F109-F112,F110-F113)</f>
        <v>2.366666667</v>
      </c>
      <c r="H113" s="13">
        <v>2.3666666666666742</v>
      </c>
      <c r="I113" s="11">
        <f>C105</f>
        <v>13</v>
      </c>
      <c r="J113" s="11">
        <f>C122</f>
        <v>21</v>
      </c>
      <c r="K113" s="11">
        <f t="array" ref="K113">INDEX('Podium Target Times'!$C:$C, MATCH(A113&amp;B113, 'Podium Target Times'!$A:$A&amp;'Podium Target Times'!$B:$B, 0))
</f>
        <v>137.95</v>
      </c>
      <c r="L113" s="13">
        <f>L114+G114</f>
        <v>143.4116667</v>
      </c>
      <c r="M113" s="11" t="str">
        <f t="shared" si="1"/>
        <v>2:23.41</v>
      </c>
      <c r="N113" s="14">
        <f>IFERROR(__xludf.DUMMYFUNCTION("LET(
  gen,$A113, ev,$B113, t,$M113,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)"),633.0)</f>
        <v>633</v>
      </c>
    </row>
    <row r="114">
      <c r="A114" s="5" t="s">
        <v>14</v>
      </c>
      <c r="B114" s="6" t="s">
        <v>99</v>
      </c>
      <c r="C114" s="6">
        <v>17.0</v>
      </c>
      <c r="D114" s="6">
        <v>1.0</v>
      </c>
      <c r="E114" s="7" t="s">
        <v>109</v>
      </c>
      <c r="F114" s="8">
        <f>IFERROR(__xludf.DUMMYFUNCTION("IF(
  REGEXMATCH(E114, "":""),
  60*VALUE(INDEX(SPLIT(E114, "":""),1,1)) + VALUE(INDEX(SPLIT(E114, "":""),1,2)),
  VALUE(E114)
)"),131.08)</f>
        <v>131.08</v>
      </c>
      <c r="G114" s="8">
        <f>average(F111-F114,F112-F115,F113-F116)</f>
        <v>1.566666667</v>
      </c>
      <c r="H114" s="8">
        <v>1.5666666666666629</v>
      </c>
      <c r="I114" s="6">
        <f>C105</f>
        <v>13</v>
      </c>
      <c r="J114" s="6">
        <f>C122</f>
        <v>21</v>
      </c>
      <c r="K114" s="6">
        <f t="array" ref="K114">INDEX('Podium Target Times'!$C:$C, MATCH(A114&amp;B114, 'Podium Target Times'!$A:$A&amp;'Podium Target Times'!$B:$B, 0))
</f>
        <v>137.95</v>
      </c>
      <c r="L114" s="8">
        <f>L117+G117</f>
        <v>141.845</v>
      </c>
      <c r="M114" s="6" t="str">
        <f t="shared" si="1"/>
        <v>2:21.85</v>
      </c>
      <c r="N114" s="9">
        <f>IFERROR(__xludf.DUMMYFUNCTION("LET(
  gen,$A114, ev,$B114, t,$M114,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115">
      <c r="A115" s="10" t="s">
        <v>14</v>
      </c>
      <c r="B115" s="11" t="s">
        <v>99</v>
      </c>
      <c r="C115" s="11">
        <v>17.0</v>
      </c>
      <c r="D115" s="11">
        <v>2.0</v>
      </c>
      <c r="E115" s="12" t="s">
        <v>110</v>
      </c>
      <c r="F115" s="13">
        <f>IFERROR(__xludf.DUMMYFUNCTION("IF(
  REGEXMATCH(E115, "":""),
  60*VALUE(INDEX(SPLIT(E115, "":""),1,1)) + VALUE(INDEX(SPLIT(E115, "":""),1,2)),
  VALUE(E115)
)"),132.86)</f>
        <v>132.86</v>
      </c>
      <c r="G115" s="13">
        <f>average(F111-F114,F112-F115,F113-F116)</f>
        <v>1.566666667</v>
      </c>
      <c r="H115" s="13">
        <v>1.5666666666666629</v>
      </c>
      <c r="I115" s="11">
        <f>C105</f>
        <v>13</v>
      </c>
      <c r="J115" s="11">
        <f>C122</f>
        <v>21</v>
      </c>
      <c r="K115" s="11">
        <f t="array" ref="K115">INDEX('Podium Target Times'!$C:$C, MATCH(A115&amp;B115, 'Podium Target Times'!$A:$A&amp;'Podium Target Times'!$B:$B, 0))
</f>
        <v>137.95</v>
      </c>
      <c r="L115" s="13">
        <f>L117+G117</f>
        <v>141.845</v>
      </c>
      <c r="M115" s="11" t="str">
        <f t="shared" si="1"/>
        <v>2:21.85</v>
      </c>
      <c r="N115" s="14">
        <f>IFERROR(__xludf.DUMMYFUNCTION("LET(
  gen,$A115, ev,$B115, t,$M115,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116">
      <c r="A116" s="5" t="s">
        <v>14</v>
      </c>
      <c r="B116" s="6" t="s">
        <v>99</v>
      </c>
      <c r="C116" s="6">
        <v>17.0</v>
      </c>
      <c r="D116" s="6">
        <v>3.0</v>
      </c>
      <c r="E116" s="7" t="s">
        <v>111</v>
      </c>
      <c r="F116" s="8">
        <f>IFERROR(__xludf.DUMMYFUNCTION("IF(
  REGEXMATCH(E116, "":""),
  60*VALUE(INDEX(SPLIT(E116, "":""),1,1)) + VALUE(INDEX(SPLIT(E116, "":""),1,2)),
  VALUE(E116)
)"),133.7)</f>
        <v>133.7</v>
      </c>
      <c r="G116" s="8">
        <f>average(F111-F114,F112-F115,F113-F116)</f>
        <v>1.566666667</v>
      </c>
      <c r="H116" s="8">
        <v>1.5666666666666629</v>
      </c>
      <c r="I116" s="6">
        <f>C105</f>
        <v>13</v>
      </c>
      <c r="J116" s="6">
        <f>C122</f>
        <v>21</v>
      </c>
      <c r="K116" s="6">
        <f t="array" ref="K116">INDEX('Podium Target Times'!$C:$C, MATCH(A116&amp;B116, 'Podium Target Times'!$A:$A&amp;'Podium Target Times'!$B:$B, 0))
</f>
        <v>137.95</v>
      </c>
      <c r="L116" s="8">
        <f>L117+G117</f>
        <v>141.845</v>
      </c>
      <c r="M116" s="6" t="str">
        <f t="shared" si="1"/>
        <v>2:21.85</v>
      </c>
      <c r="N116" s="9">
        <f>IFERROR(__xludf.DUMMYFUNCTION("LET(
  gen,$A116, ev,$B116, t,$M116,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117">
      <c r="A117" s="10" t="s">
        <v>14</v>
      </c>
      <c r="B117" s="11" t="s">
        <v>99</v>
      </c>
      <c r="C117" s="11">
        <v>18.0</v>
      </c>
      <c r="D117" s="11">
        <v>2.0</v>
      </c>
      <c r="E117" s="12" t="s">
        <v>112</v>
      </c>
      <c r="F117" s="13">
        <f>IFERROR(__xludf.DUMMYFUNCTION("IF(
  REGEXMATCH(E117, "":""),
  60*VALUE(INDEX(SPLIT(E117, "":""),1,1)) + VALUE(INDEX(SPLIT(E117, "":""),1,2)),
  VALUE(E117)
)"),131.79)</f>
        <v>131.79</v>
      </c>
      <c r="G117" s="13">
        <f>average(F115-F117,F116-F118)</f>
        <v>1.07</v>
      </c>
      <c r="H117" s="13">
        <v>1.0700000000000074</v>
      </c>
      <c r="I117" s="11">
        <f>C105</f>
        <v>13</v>
      </c>
      <c r="J117" s="11">
        <f>C122</f>
        <v>21</v>
      </c>
      <c r="K117" s="11">
        <f t="array" ref="K117">INDEX('Podium Target Times'!$C:$C, MATCH(A117&amp;B117, 'Podium Target Times'!$A:$A&amp;'Podium Target Times'!$B:$B, 0))
</f>
        <v>137.95</v>
      </c>
      <c r="L117" s="13">
        <f>L119+G119</f>
        <v>140.775</v>
      </c>
      <c r="M117" s="11" t="str">
        <f t="shared" si="1"/>
        <v>2:20.78</v>
      </c>
      <c r="N117" s="14">
        <f>IFERROR(__xludf.DUMMYFUNCTION("LET(
  gen,$A117, ev,$B117, t,$M117,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)"),669.0)</f>
        <v>669</v>
      </c>
    </row>
    <row r="118">
      <c r="A118" s="5" t="s">
        <v>14</v>
      </c>
      <c r="B118" s="6" t="s">
        <v>99</v>
      </c>
      <c r="C118" s="6">
        <v>18.0</v>
      </c>
      <c r="D118" s="6">
        <v>3.0</v>
      </c>
      <c r="E118" s="7" t="s">
        <v>106</v>
      </c>
      <c r="F118" s="8">
        <f>IFERROR(__xludf.DUMMYFUNCTION("IF(
  REGEXMATCH(E118, "":""),
  60*VALUE(INDEX(SPLIT(E118, "":""),1,1)) + VALUE(INDEX(SPLIT(E118, "":""),1,2)),
  VALUE(E118)
)"),132.63)</f>
        <v>132.63</v>
      </c>
      <c r="G118" s="8">
        <f>average(F115-F117,F116-F118)</f>
        <v>1.07</v>
      </c>
      <c r="H118" s="8">
        <v>1.0700000000000074</v>
      </c>
      <c r="I118" s="6">
        <f>C105</f>
        <v>13</v>
      </c>
      <c r="J118" s="6">
        <f>C122</f>
        <v>21</v>
      </c>
      <c r="K118" s="6">
        <f t="array" ref="K118">INDEX('Podium Target Times'!$C:$C, MATCH(A118&amp;B118, 'Podium Target Times'!$A:$A&amp;'Podium Target Times'!$B:$B, 0))
</f>
        <v>137.95</v>
      </c>
      <c r="L118" s="8">
        <f>L119+G119</f>
        <v>140.775</v>
      </c>
      <c r="M118" s="6" t="str">
        <f t="shared" si="1"/>
        <v>2:20.78</v>
      </c>
      <c r="N118" s="9">
        <f>IFERROR(__xludf.DUMMYFUNCTION("LET(
  gen,$A118, ev,$B118, t,$M118,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)"),669.0)</f>
        <v>669</v>
      </c>
    </row>
    <row r="119">
      <c r="A119" s="10" t="s">
        <v>14</v>
      </c>
      <c r="B119" s="11" t="s">
        <v>99</v>
      </c>
      <c r="C119" s="11">
        <v>19.0</v>
      </c>
      <c r="D119" s="11">
        <v>2.0</v>
      </c>
      <c r="E119" s="12" t="s">
        <v>109</v>
      </c>
      <c r="F119" s="13">
        <f>IFERROR(__xludf.DUMMYFUNCTION("IF(
  REGEXMATCH(E119, "":""),
  60*VALUE(INDEX(SPLIT(E119, "":""),1,1)) + VALUE(INDEX(SPLIT(E119, "":""),1,2)),
  VALUE(E119)
)"),131.08)</f>
        <v>131.08</v>
      </c>
      <c r="G119" s="13">
        <f>average(F117-F119,F118-F120)</f>
        <v>0.715</v>
      </c>
      <c r="H119" s="13">
        <v>0.7149999999999892</v>
      </c>
      <c r="I119" s="11">
        <f>C105</f>
        <v>13</v>
      </c>
      <c r="J119" s="11">
        <f>C122</f>
        <v>21</v>
      </c>
      <c r="K119" s="11">
        <f t="array" ref="K119">INDEX('Podium Target Times'!$C:$C, MATCH(A119&amp;B119, 'Podium Target Times'!$A:$A&amp;'Podium Target Times'!$B:$B, 0))
</f>
        <v>137.95</v>
      </c>
      <c r="L119" s="13">
        <f>L121+G121</f>
        <v>140.06</v>
      </c>
      <c r="M119" s="11" t="str">
        <f t="shared" si="1"/>
        <v>2:20.06</v>
      </c>
      <c r="N119" s="14">
        <f>IFERROR(__xludf.DUMMYFUNCTION("LET(
  gen,$A119, ev,$B119, t,$M119,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)"),679.0)</f>
        <v>679</v>
      </c>
    </row>
    <row r="120">
      <c r="A120" s="5" t="s">
        <v>14</v>
      </c>
      <c r="B120" s="6" t="s">
        <v>99</v>
      </c>
      <c r="C120" s="6">
        <v>19.0</v>
      </c>
      <c r="D120" s="6">
        <v>3.0</v>
      </c>
      <c r="E120" s="7" t="s">
        <v>113</v>
      </c>
      <c r="F120" s="8">
        <f>IFERROR(__xludf.DUMMYFUNCTION("IF(
  REGEXMATCH(E120, "":""),
  60*VALUE(INDEX(SPLIT(E120, "":""),1,1)) + VALUE(INDEX(SPLIT(E120, "":""),1,2)),
  VALUE(E120)
)"),131.91)</f>
        <v>131.91</v>
      </c>
      <c r="G120" s="8">
        <f>average(F117-F119,F118-F120)</f>
        <v>0.715</v>
      </c>
      <c r="H120" s="8">
        <v>0.7149999999999892</v>
      </c>
      <c r="I120" s="6">
        <f>C105</f>
        <v>13</v>
      </c>
      <c r="J120" s="6">
        <f>C122</f>
        <v>21</v>
      </c>
      <c r="K120" s="6">
        <f t="array" ref="K120">INDEX('Podium Target Times'!$C:$C, MATCH(A120&amp;B120, 'Podium Target Times'!$A:$A&amp;'Podium Target Times'!$B:$B, 0))
</f>
        <v>137.95</v>
      </c>
      <c r="L120" s="8">
        <f t="shared" ref="L120:L121" si="14">L121+G121</f>
        <v>140.06</v>
      </c>
      <c r="M120" s="6" t="str">
        <f t="shared" si="1"/>
        <v>2:20.06</v>
      </c>
      <c r="N120" s="9">
        <f>IFERROR(__xludf.DUMMYFUNCTION("LET(
  gen,$A120, ev,$B120, t,$M120,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)"),679.0)</f>
        <v>679</v>
      </c>
    </row>
    <row r="121">
      <c r="A121" s="10" t="s">
        <v>14</v>
      </c>
      <c r="B121" s="11" t="s">
        <v>99</v>
      </c>
      <c r="C121" s="11">
        <v>20.0</v>
      </c>
      <c r="D121" s="11">
        <v>3.0</v>
      </c>
      <c r="E121" s="12" t="s">
        <v>114</v>
      </c>
      <c r="F121" s="13">
        <f>IFERROR(__xludf.DUMMYFUNCTION("IF(
  REGEXMATCH(E121, "":""),
  60*VALUE(INDEX(SPLIT(E121, "":""),1,1)) + VALUE(INDEX(SPLIT(E121, "":""),1,2)),
  VALUE(E121)
)"),131.4)</f>
        <v>131.4</v>
      </c>
      <c r="G121" s="13">
        <f t="shared" ref="G121:G122" si="15">F120-F121</f>
        <v>0.51</v>
      </c>
      <c r="H121" s="13">
        <v>0.5099999999999909</v>
      </c>
      <c r="I121" s="11">
        <f>C105</f>
        <v>13</v>
      </c>
      <c r="J121" s="11">
        <f>C122</f>
        <v>21</v>
      </c>
      <c r="K121" s="11">
        <f t="array" ref="K121">INDEX('Podium Target Times'!$C:$C, MATCH(A121&amp;B121, 'Podium Target Times'!$A:$A&amp;'Podium Target Times'!$B:$B, 0))
</f>
        <v>137.95</v>
      </c>
      <c r="L121" s="13">
        <f t="shared" si="14"/>
        <v>139.55</v>
      </c>
      <c r="M121" s="11" t="str">
        <f t="shared" si="1"/>
        <v>2:19.55</v>
      </c>
      <c r="N121" s="14">
        <f>IFERROR(__xludf.DUMMYFUNCTION("LET(
  gen,$A121, ev,$B121, t,$M121,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)"),687.0)</f>
        <v>687</v>
      </c>
    </row>
    <row r="122">
      <c r="A122" s="5" t="s">
        <v>14</v>
      </c>
      <c r="B122" s="6" t="s">
        <v>99</v>
      </c>
      <c r="C122" s="6">
        <v>21.0</v>
      </c>
      <c r="D122" s="6">
        <v>3.0</v>
      </c>
      <c r="E122" s="7" t="s">
        <v>109</v>
      </c>
      <c r="F122" s="8">
        <f>IFERROR(__xludf.DUMMYFUNCTION("IF(
  REGEXMATCH(E122, "":""),
  60*VALUE(INDEX(SPLIT(E122, "":""),1,1)) + VALUE(INDEX(SPLIT(E122, "":""),1,2)),
  VALUE(E122)
)"),131.08)</f>
        <v>131.08</v>
      </c>
      <c r="G122" s="8">
        <f t="shared" si="15"/>
        <v>0.32</v>
      </c>
      <c r="H122" s="8">
        <v>0.3199999999999932</v>
      </c>
      <c r="I122" s="6">
        <f>C105</f>
        <v>13</v>
      </c>
      <c r="J122" s="6">
        <f>C122</f>
        <v>21</v>
      </c>
      <c r="K122" s="6">
        <f t="array" ref="K122">INDEX('Podium Target Times'!$C:$C, MATCH(A122&amp;B122, 'Podium Target Times'!$A:$A&amp;'Podium Target Times'!$B:$B, 0))
</f>
        <v>137.95</v>
      </c>
      <c r="L122" s="8">
        <f>G122+L123</f>
        <v>139.23</v>
      </c>
      <c r="M122" s="6" t="str">
        <f t="shared" si="1"/>
        <v>2:19.23</v>
      </c>
      <c r="N122" s="9">
        <f>IFERROR(__xludf.DUMMYFUNCTION("LET(
  gen,$A122, ev,$B122, t,$M122,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)"),691.0)</f>
        <v>691</v>
      </c>
    </row>
    <row r="123">
      <c r="A123" s="10" t="s">
        <v>14</v>
      </c>
      <c r="B123" s="11" t="s">
        <v>99</v>
      </c>
      <c r="C123" s="11">
        <v>22.0</v>
      </c>
      <c r="D123" s="11"/>
      <c r="E123" s="12"/>
      <c r="F123" s="13">
        <f>IFERROR(__xludf.DUMMYFUNCTION("IF(
  REGEXMATCH(E123, "":""),
  60*VALUE(INDEX(SPLIT(E123, "":""),1,1)) + VALUE(INDEX(SPLIT(E123, "":""),1,2)),
  VALUE(E123)
)"),0.0)</f>
        <v>0</v>
      </c>
      <c r="G123" s="13"/>
      <c r="H123" s="13"/>
      <c r="I123" s="11">
        <f>C105</f>
        <v>13</v>
      </c>
      <c r="J123" s="11">
        <f>C122</f>
        <v>21</v>
      </c>
      <c r="K123" s="11">
        <f t="array" ref="K123">INDEX('Podium Target Times'!$C:$C, MATCH(A123&amp;B123, 'Podium Target Times'!$A:$A&amp;'Podium Target Times'!$B:$B, 0))
</f>
        <v>137.95</v>
      </c>
      <c r="L123" s="13">
        <f>G122+L124</f>
        <v>138.91</v>
      </c>
      <c r="M123" s="11" t="str">
        <f t="shared" si="1"/>
        <v>2:18.91</v>
      </c>
      <c r="N123" s="14">
        <f>IFERROR(__xludf.DUMMYFUNCTION("LET(
  gen,$A123, ev,$B123, t,$M123,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)"),696.0)</f>
        <v>696</v>
      </c>
    </row>
    <row r="124">
      <c r="A124" s="5" t="s">
        <v>14</v>
      </c>
      <c r="B124" s="6" t="s">
        <v>99</v>
      </c>
      <c r="C124" s="6">
        <v>23.0</v>
      </c>
      <c r="D124" s="6"/>
      <c r="E124" s="7"/>
      <c r="F124" s="8">
        <f>IFERROR(__xludf.DUMMYFUNCTION("IF(
  REGEXMATCH(E124, "":""),
  60*VALUE(INDEX(SPLIT(E124, "":""),1,1)) + VALUE(INDEX(SPLIT(E124, "":""),1,2)),
  VALUE(E124)
)"),0.0)</f>
        <v>0</v>
      </c>
      <c r="G124" s="8"/>
      <c r="H124" s="8"/>
      <c r="I124" s="6">
        <f>C105</f>
        <v>13</v>
      </c>
      <c r="J124" s="6">
        <f>C122</f>
        <v>21</v>
      </c>
      <c r="K124" s="6">
        <f t="array" ref="K124">INDEX('Podium Target Times'!$C:$C, MATCH(A124&amp;B124, 'Podium Target Times'!$A:$A&amp;'Podium Target Times'!$B:$B, 0))
</f>
        <v>137.95</v>
      </c>
      <c r="L124" s="8">
        <f>G122+L125</f>
        <v>138.59</v>
      </c>
      <c r="M124" s="6" t="str">
        <f t="shared" si="1"/>
        <v>2:18.59</v>
      </c>
      <c r="N124" s="9">
        <f>IFERROR(__xludf.DUMMYFUNCTION("LET(
  gen,$A124, ev,$B124, t,$M124,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125">
      <c r="A125" s="10" t="s">
        <v>14</v>
      </c>
      <c r="B125" s="11" t="s">
        <v>99</v>
      </c>
      <c r="C125" s="11">
        <v>24.0</v>
      </c>
      <c r="D125" s="11"/>
      <c r="E125" s="12"/>
      <c r="F125" s="13">
        <f>IFERROR(__xludf.DUMMYFUNCTION("IF(
  REGEXMATCH(E125, "":""),
  60*VALUE(INDEX(SPLIT(E125, "":""),1,1)) + VALUE(INDEX(SPLIT(E125, "":""),1,2)),
  VALUE(E125)
)"),0.0)</f>
        <v>0</v>
      </c>
      <c r="G125" s="13"/>
      <c r="H125" s="13"/>
      <c r="I125" s="11">
        <f>C105</f>
        <v>13</v>
      </c>
      <c r="J125" s="11">
        <f>C122</f>
        <v>21</v>
      </c>
      <c r="K125" s="11">
        <f t="array" ref="K125">INDEX('Podium Target Times'!$C:$C, MATCH(A125&amp;B125, 'Podium Target Times'!$A:$A&amp;'Podium Target Times'!$B:$B, 0))
</f>
        <v>137.95</v>
      </c>
      <c r="L125" s="13">
        <f>G122+L126</f>
        <v>138.27</v>
      </c>
      <c r="M125" s="11" t="str">
        <f t="shared" si="1"/>
        <v>2:18.27</v>
      </c>
      <c r="N125" s="14">
        <f>IFERROR(__xludf.DUMMYFUNCTION("LET(
  gen,$A125, ev,$B125, t,$M125,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126">
      <c r="A126" s="5" t="s">
        <v>14</v>
      </c>
      <c r="B126" s="6" t="s">
        <v>99</v>
      </c>
      <c r="C126" s="6">
        <v>25.0</v>
      </c>
      <c r="D126" s="6"/>
      <c r="E126" s="7"/>
      <c r="F126" s="8">
        <f>IFERROR(__xludf.DUMMYFUNCTION("IF(
  REGEXMATCH(E126, "":""),
  60*VALUE(INDEX(SPLIT(E126, "":""),1,1)) + VALUE(INDEX(SPLIT(E126, "":""),1,2)),
  VALUE(E126)
)"),0.0)</f>
        <v>0</v>
      </c>
      <c r="G126" s="8"/>
      <c r="H126" s="8"/>
      <c r="I126" s="6">
        <f>C105</f>
        <v>13</v>
      </c>
      <c r="J126" s="6">
        <f>C122</f>
        <v>21</v>
      </c>
      <c r="K126" s="6">
        <f t="array" ref="K126">INDEX('Podium Target Times'!$C:$C, MATCH(A126&amp;B126, 'Podium Target Times'!$A:$A&amp;'Podium Target Times'!$B:$B, 0))
</f>
        <v>137.95</v>
      </c>
      <c r="L126" s="6">
        <f>K126</f>
        <v>137.95</v>
      </c>
      <c r="M126" s="6" t="str">
        <f t="shared" si="1"/>
        <v>2:17.95</v>
      </c>
      <c r="N126" s="9">
        <f>IFERROR(__xludf.DUMMYFUNCTION("LET(
  gen,$A126, ev,$B126, t,$M126,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)"),711.0)</f>
        <v>711</v>
      </c>
    </row>
    <row r="127">
      <c r="A127" s="10" t="s">
        <v>14</v>
      </c>
      <c r="B127" s="11" t="s">
        <v>115</v>
      </c>
      <c r="C127" s="11">
        <v>15.0</v>
      </c>
      <c r="D127" s="11">
        <v>1.0</v>
      </c>
      <c r="E127" s="12" t="s">
        <v>116</v>
      </c>
      <c r="F127" s="13">
        <f>IFERROR(__xludf.DUMMYFUNCTION("IF(
  REGEXMATCH(E127, "":""),
  60*VALUE(INDEX(SPLIT(E127, "":""),1,1)) + VALUE(INDEX(SPLIT(E127, "":""),1,2)),
  VALUE(E127)
)"),151.21)</f>
        <v>151.21</v>
      </c>
      <c r="G127" s="13">
        <v>0.0</v>
      </c>
      <c r="H127" s="13">
        <v>0.0</v>
      </c>
      <c r="I127" s="11">
        <f>C127</f>
        <v>15</v>
      </c>
      <c r="J127" s="11">
        <f>C122</f>
        <v>21</v>
      </c>
      <c r="K127" s="11">
        <f t="array" ref="K127">INDEX('Podium Target Times'!$C:$C, MATCH(A127&amp;B127, 'Podium Target Times'!$A:$A&amp;'Podium Target Times'!$B:$B, 0))
</f>
        <v>152.6</v>
      </c>
      <c r="L127" s="13">
        <f>L128+G128</f>
        <v>160.1166667</v>
      </c>
      <c r="M127" s="11" t="str">
        <f t="shared" si="1"/>
        <v>2:40.12</v>
      </c>
      <c r="N127" s="14">
        <f>IFERROR(__xludf.DUMMYFUNCTION("LET(
  gen,$A127, ev,$B127, t,$M127,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)"),633.0)</f>
        <v>633</v>
      </c>
    </row>
    <row r="128">
      <c r="A128" s="5" t="s">
        <v>14</v>
      </c>
      <c r="B128" s="6" t="s">
        <v>115</v>
      </c>
      <c r="C128" s="6">
        <v>16.0</v>
      </c>
      <c r="D128" s="6">
        <v>1.0</v>
      </c>
      <c r="E128" s="7" t="s">
        <v>117</v>
      </c>
      <c r="F128" s="8">
        <f>IFERROR(__xludf.DUMMYFUNCTION("IF(
  REGEXMATCH(E128, "":""),
  60*VALUE(INDEX(SPLIT(E128, "":""),1,1)) + VALUE(INDEX(SPLIT(E128, "":""),1,2)),
  VALUE(E128)
)"),148.85)</f>
        <v>148.85</v>
      </c>
      <c r="G128" s="8">
        <f>F127-F128</f>
        <v>2.36</v>
      </c>
      <c r="H128" s="8">
        <v>2.3600000000000136</v>
      </c>
      <c r="I128" s="6">
        <f>C127</f>
        <v>15</v>
      </c>
      <c r="J128" s="6">
        <f>C144</f>
        <v>23</v>
      </c>
      <c r="K128" s="6">
        <f t="array" ref="K128">INDEX('Podium Target Times'!$C:$C, MATCH(A128&amp;B128, 'Podium Target Times'!$A:$A&amp;'Podium Target Times'!$B:$B, 0))
</f>
        <v>152.6</v>
      </c>
      <c r="L128" s="8">
        <f>L130+G130</f>
        <v>157.7566667</v>
      </c>
      <c r="M128" s="6" t="str">
        <f t="shared" si="1"/>
        <v>2:37.76</v>
      </c>
      <c r="N128" s="9">
        <f>IFERROR(__xludf.DUMMYFUNCTION("LET(
  gen,$A128, ev,$B128, t,$M128,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)"),662.0)</f>
        <v>662</v>
      </c>
    </row>
    <row r="129">
      <c r="A129" s="10" t="s">
        <v>14</v>
      </c>
      <c r="B129" s="11" t="s">
        <v>115</v>
      </c>
      <c r="C129" s="11">
        <v>16.0</v>
      </c>
      <c r="D129" s="11">
        <v>2.0</v>
      </c>
      <c r="E129" s="12" t="s">
        <v>118</v>
      </c>
      <c r="F129" s="13">
        <f>IFERROR(__xludf.DUMMYFUNCTION("IF(
  REGEXMATCH(E129, "":""),
  60*VALUE(INDEX(SPLIT(E129, "":""),1,1)) + VALUE(INDEX(SPLIT(E129, "":""),1,2)),
  VALUE(E129)
)"),150.01)</f>
        <v>150.01</v>
      </c>
      <c r="G129" s="13">
        <f>F127-F128</f>
        <v>2.36</v>
      </c>
      <c r="H129" s="13">
        <v>2.3600000000000136</v>
      </c>
      <c r="I129" s="11">
        <f>C127</f>
        <v>15</v>
      </c>
      <c r="J129" s="11">
        <f>C144</f>
        <v>23</v>
      </c>
      <c r="K129" s="11">
        <f t="array" ref="K129">INDEX('Podium Target Times'!$C:$C, MATCH(A129&amp;B129, 'Podium Target Times'!$A:$A&amp;'Podium Target Times'!$B:$B, 0))
</f>
        <v>152.6</v>
      </c>
      <c r="L129" s="13">
        <f>L130+G130</f>
        <v>157.7566667</v>
      </c>
      <c r="M129" s="11" t="str">
        <f t="shared" si="1"/>
        <v>2:37.76</v>
      </c>
      <c r="N129" s="14">
        <f>IFERROR(__xludf.DUMMYFUNCTION("LET(
  gen,$A129, ev,$B129, t,$M129,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)"),662.0)</f>
        <v>662</v>
      </c>
    </row>
    <row r="130">
      <c r="A130" s="5" t="s">
        <v>14</v>
      </c>
      <c r="B130" s="6" t="s">
        <v>115</v>
      </c>
      <c r="C130" s="6">
        <v>17.0</v>
      </c>
      <c r="D130" s="6">
        <v>1.0</v>
      </c>
      <c r="E130" s="7" t="s">
        <v>119</v>
      </c>
      <c r="F130" s="8">
        <f>IFERROR(__xludf.DUMMYFUNCTION("IF(
  REGEXMATCH(E130, "":""),
  60*VALUE(INDEX(SPLIT(E130, "":""),1,1)) + VALUE(INDEX(SPLIT(E130, "":""),1,2)),
  VALUE(E130)
)"),147.43)</f>
        <v>147.43</v>
      </c>
      <c r="G130" s="8">
        <f>average(F128-F130,F129-F131)</f>
        <v>1.425</v>
      </c>
      <c r="H130" s="8">
        <v>1.4249999999999972</v>
      </c>
      <c r="I130" s="6">
        <f>C127</f>
        <v>15</v>
      </c>
      <c r="J130" s="6">
        <f>C144</f>
        <v>23</v>
      </c>
      <c r="K130" s="6">
        <f t="array" ref="K130">INDEX('Podium Target Times'!$C:$C, MATCH(A130&amp;B130, 'Podium Target Times'!$A:$A&amp;'Podium Target Times'!$B:$B, 0))
</f>
        <v>152.6</v>
      </c>
      <c r="L130" s="8">
        <f>L133+G133</f>
        <v>156.3316667</v>
      </c>
      <c r="M130" s="6" t="str">
        <f t="shared" si="1"/>
        <v>2:36.33</v>
      </c>
      <c r="N130" s="9">
        <f>IFERROR(__xludf.DUMMYFUNCTION("LET(
  gen,$A130, ev,$B130, t,$M130,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131">
      <c r="A131" s="10" t="s">
        <v>14</v>
      </c>
      <c r="B131" s="11" t="s">
        <v>115</v>
      </c>
      <c r="C131" s="11">
        <v>17.0</v>
      </c>
      <c r="D131" s="11">
        <v>2.0</v>
      </c>
      <c r="E131" s="12" t="s">
        <v>120</v>
      </c>
      <c r="F131" s="13">
        <f>IFERROR(__xludf.DUMMYFUNCTION("IF(
  REGEXMATCH(E131, "":""),
  60*VALUE(INDEX(SPLIT(E131, "":""),1,1)) + VALUE(INDEX(SPLIT(E131, "":""),1,2)),
  VALUE(E131)
)"),148.57999999999998)</f>
        <v>148.58</v>
      </c>
      <c r="G131" s="13">
        <f>average(F128-F130,F129-F131)</f>
        <v>1.425</v>
      </c>
      <c r="H131" s="13">
        <v>1.4249999999999972</v>
      </c>
      <c r="I131" s="11">
        <f>C127</f>
        <v>15</v>
      </c>
      <c r="J131" s="11">
        <f>C144</f>
        <v>23</v>
      </c>
      <c r="K131" s="11">
        <f t="array" ref="K131">INDEX('Podium Target Times'!$C:$C, MATCH(A131&amp;B131, 'Podium Target Times'!$A:$A&amp;'Podium Target Times'!$B:$B, 0))
</f>
        <v>152.6</v>
      </c>
      <c r="L131" s="13">
        <f>L133+G133</f>
        <v>156.3316667</v>
      </c>
      <c r="M131" s="11" t="str">
        <f t="shared" si="1"/>
        <v>2:36.33</v>
      </c>
      <c r="N131" s="14">
        <f>IFERROR(__xludf.DUMMYFUNCTION("LET(
  gen,$A131, ev,$B131, t,$M131,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132">
      <c r="A132" s="5" t="s">
        <v>14</v>
      </c>
      <c r="B132" s="6" t="s">
        <v>115</v>
      </c>
      <c r="C132" s="6">
        <v>17.0</v>
      </c>
      <c r="D132" s="6">
        <v>3.0</v>
      </c>
      <c r="E132" s="7" t="s">
        <v>121</v>
      </c>
      <c r="F132" s="8">
        <f>IFERROR(__xludf.DUMMYFUNCTION("IF(
  REGEXMATCH(E132, "":""),
  60*VALUE(INDEX(SPLIT(E132, "":""),1,1)) + VALUE(INDEX(SPLIT(E132, "":""),1,2)),
  VALUE(E132)
)"),149.19)</f>
        <v>149.19</v>
      </c>
      <c r="G132" s="8">
        <f>average(F128-F130,F129-F131)</f>
        <v>1.425</v>
      </c>
      <c r="H132" s="8">
        <v>1.4249999999999972</v>
      </c>
      <c r="I132" s="6">
        <f>C127</f>
        <v>15</v>
      </c>
      <c r="J132" s="6">
        <f>C144</f>
        <v>23</v>
      </c>
      <c r="K132" s="6">
        <f t="array" ref="K132">INDEX('Podium Target Times'!$C:$C, MATCH(A132&amp;B132, 'Podium Target Times'!$A:$A&amp;'Podium Target Times'!$B:$B, 0))
</f>
        <v>152.6</v>
      </c>
      <c r="L132" s="8">
        <f>L133+G133</f>
        <v>156.3316667</v>
      </c>
      <c r="M132" s="6" t="str">
        <f t="shared" si="1"/>
        <v>2:36.33</v>
      </c>
      <c r="N132" s="9">
        <f>IFERROR(__xludf.DUMMYFUNCTION("LET(
  gen,$A132, ev,$B132, t,$M132,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133">
      <c r="A133" s="10" t="s">
        <v>14</v>
      </c>
      <c r="B133" s="11" t="s">
        <v>115</v>
      </c>
      <c r="C133" s="11">
        <v>18.0</v>
      </c>
      <c r="D133" s="11">
        <v>1.0</v>
      </c>
      <c r="E133" s="12" t="s">
        <v>122</v>
      </c>
      <c r="F133" s="13">
        <f>IFERROR(__xludf.DUMMYFUNCTION("IF(
  REGEXMATCH(E133, "":""),
  60*VALUE(INDEX(SPLIT(E133, "":""),1,1)) + VALUE(INDEX(SPLIT(E133, "":""),1,2)),
  VALUE(E133)
)"),146.6)</f>
        <v>146.6</v>
      </c>
      <c r="G133" s="13">
        <f>average(F130-F133,F131-F134,F132-F135)</f>
        <v>0.8366666667</v>
      </c>
      <c r="H133" s="13">
        <v>0.8366666666666637</v>
      </c>
      <c r="I133" s="11">
        <f>C127</f>
        <v>15</v>
      </c>
      <c r="J133" s="11">
        <f>C144</f>
        <v>23</v>
      </c>
      <c r="K133" s="11">
        <f t="array" ref="K133">INDEX('Podium Target Times'!$C:$C, MATCH(A133&amp;B133, 'Podium Target Times'!$A:$A&amp;'Podium Target Times'!$B:$B, 0))
</f>
        <v>152.6</v>
      </c>
      <c r="L133" s="13">
        <f>L136+G136</f>
        <v>155.495</v>
      </c>
      <c r="M133" s="11" t="str">
        <f t="shared" si="1"/>
        <v>2:35.50</v>
      </c>
      <c r="N133" s="14">
        <f>IFERROR(__xludf.DUMMYFUNCTION("LET(
  gen,$A133, ev,$B133, t,$M133,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134">
      <c r="A134" s="5" t="s">
        <v>14</v>
      </c>
      <c r="B134" s="6" t="s">
        <v>115</v>
      </c>
      <c r="C134" s="6">
        <v>18.0</v>
      </c>
      <c r="D134" s="6">
        <v>2.0</v>
      </c>
      <c r="E134" s="7" t="s">
        <v>123</v>
      </c>
      <c r="F134" s="8">
        <f>IFERROR(__xludf.DUMMYFUNCTION("IF(
  REGEXMATCH(E134, "":""),
  60*VALUE(INDEX(SPLIT(E134, "":""),1,1)) + VALUE(INDEX(SPLIT(E134, "":""),1,2)),
  VALUE(E134)
)"),147.74)</f>
        <v>147.74</v>
      </c>
      <c r="G134" s="8">
        <f>average(F130-F133,F131-F134,F132-F135)</f>
        <v>0.8366666667</v>
      </c>
      <c r="H134" s="8">
        <v>0.8366666666666637</v>
      </c>
      <c r="I134" s="6">
        <f>C127</f>
        <v>15</v>
      </c>
      <c r="J134" s="6">
        <f>C144</f>
        <v>23</v>
      </c>
      <c r="K134" s="6">
        <f t="array" ref="K134">INDEX('Podium Target Times'!$C:$C, MATCH(A134&amp;B134, 'Podium Target Times'!$A:$A&amp;'Podium Target Times'!$B:$B, 0))
</f>
        <v>152.6</v>
      </c>
      <c r="L134" s="8">
        <f>L136+G136</f>
        <v>155.495</v>
      </c>
      <c r="M134" s="6" t="str">
        <f t="shared" si="1"/>
        <v>2:35.50</v>
      </c>
      <c r="N134" s="9">
        <f>IFERROR(__xludf.DUMMYFUNCTION("LET(
  gen,$A134, ev,$B134, t,$M134,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135">
      <c r="A135" s="10" t="s">
        <v>14</v>
      </c>
      <c r="B135" s="11" t="s">
        <v>115</v>
      </c>
      <c r="C135" s="11">
        <v>18.0</v>
      </c>
      <c r="D135" s="11">
        <v>3.0</v>
      </c>
      <c r="E135" s="12" t="s">
        <v>124</v>
      </c>
      <c r="F135" s="13">
        <f>IFERROR(__xludf.DUMMYFUNCTION("IF(
  REGEXMATCH(E135, "":""),
  60*VALUE(INDEX(SPLIT(E135, "":""),1,1)) + VALUE(INDEX(SPLIT(E135, "":""),1,2)),
  VALUE(E135)
)"),148.35)</f>
        <v>148.35</v>
      </c>
      <c r="G135" s="13">
        <f>average(F130-F133,F131-F134,F132-F135)</f>
        <v>0.8366666667</v>
      </c>
      <c r="H135" s="13">
        <v>0.8366666666666637</v>
      </c>
      <c r="I135" s="11">
        <f>C127</f>
        <v>15</v>
      </c>
      <c r="J135" s="11">
        <f>C144</f>
        <v>23</v>
      </c>
      <c r="K135" s="11">
        <f t="array" ref="K135">INDEX('Podium Target Times'!$C:$C, MATCH(A135&amp;B135, 'Podium Target Times'!$A:$A&amp;'Podium Target Times'!$B:$B, 0))
</f>
        <v>152.6</v>
      </c>
      <c r="L135" s="13">
        <f>L136+G136</f>
        <v>155.495</v>
      </c>
      <c r="M135" s="11" t="str">
        <f t="shared" si="1"/>
        <v>2:35.50</v>
      </c>
      <c r="N135" s="14">
        <f>IFERROR(__xludf.DUMMYFUNCTION("LET(
  gen,$A135, ev,$B135, t,$M135,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136">
      <c r="A136" s="5" t="s">
        <v>14</v>
      </c>
      <c r="B136" s="6" t="s">
        <v>115</v>
      </c>
      <c r="C136" s="6">
        <v>19.0</v>
      </c>
      <c r="D136" s="6">
        <v>1.0</v>
      </c>
      <c r="E136" s="7" t="s">
        <v>125</v>
      </c>
      <c r="F136" s="8">
        <f>IFERROR(__xludf.DUMMYFUNCTION("IF(
  REGEXMATCH(E136, "":""),
  60*VALUE(INDEX(SPLIT(E136, "":""),1,1)) + VALUE(INDEX(SPLIT(E136, "":""),1,2)),
  VALUE(E136)
)"),145.91)</f>
        <v>145.91</v>
      </c>
      <c r="G136" s="8">
        <f>average(F133-F136,F134-F137,F135-F138)</f>
        <v>0.69</v>
      </c>
      <c r="H136" s="8">
        <v>0.6899999999999977</v>
      </c>
      <c r="I136" s="6">
        <f>C127</f>
        <v>15</v>
      </c>
      <c r="J136" s="6">
        <f>C144</f>
        <v>23</v>
      </c>
      <c r="K136" s="6">
        <f t="array" ref="K136">INDEX('Podium Target Times'!$C:$C, MATCH(A136&amp;B136, 'Podium Target Times'!$A:$A&amp;'Podium Target Times'!$B:$B, 0))
</f>
        <v>152.6</v>
      </c>
      <c r="L136" s="8">
        <f>L139+G139</f>
        <v>154.805</v>
      </c>
      <c r="M136" s="6" t="str">
        <f t="shared" si="1"/>
        <v>2:34.81</v>
      </c>
      <c r="N136" s="9">
        <f>IFERROR(__xludf.DUMMYFUNCTION("LET(
  gen,$A136, ev,$B136, t,$M136,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137">
      <c r="A137" s="10" t="s">
        <v>14</v>
      </c>
      <c r="B137" s="11" t="s">
        <v>115</v>
      </c>
      <c r="C137" s="11">
        <v>19.0</v>
      </c>
      <c r="D137" s="11">
        <v>2.0</v>
      </c>
      <c r="E137" s="12" t="s">
        <v>126</v>
      </c>
      <c r="F137" s="13">
        <f>IFERROR(__xludf.DUMMYFUNCTION("IF(
  REGEXMATCH(E137, "":""),
  60*VALUE(INDEX(SPLIT(E137, "":""),1,1)) + VALUE(INDEX(SPLIT(E137, "":""),1,2)),
  VALUE(E137)
)"),147.05)</f>
        <v>147.05</v>
      </c>
      <c r="G137" s="13">
        <f>average(F133-F136,F134-F137,F135-F138)</f>
        <v>0.69</v>
      </c>
      <c r="H137" s="13">
        <v>0.6899999999999977</v>
      </c>
      <c r="I137" s="11">
        <f>C127</f>
        <v>15</v>
      </c>
      <c r="J137" s="11">
        <f>C144</f>
        <v>23</v>
      </c>
      <c r="K137" s="11">
        <f t="array" ref="K137">INDEX('Podium Target Times'!$C:$C, MATCH(A137&amp;B137, 'Podium Target Times'!$A:$A&amp;'Podium Target Times'!$B:$B, 0))
</f>
        <v>152.6</v>
      </c>
      <c r="L137" s="13">
        <f>L139+G139</f>
        <v>154.805</v>
      </c>
      <c r="M137" s="11" t="str">
        <f t="shared" si="1"/>
        <v>2:34.81</v>
      </c>
      <c r="N137" s="14">
        <f>IFERROR(__xludf.DUMMYFUNCTION("LET(
  gen,$A137, ev,$B137, t,$M137,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138">
      <c r="A138" s="5" t="s">
        <v>14</v>
      </c>
      <c r="B138" s="6" t="s">
        <v>115</v>
      </c>
      <c r="C138" s="6">
        <v>19.0</v>
      </c>
      <c r="D138" s="6">
        <v>3.0</v>
      </c>
      <c r="E138" s="7" t="s">
        <v>127</v>
      </c>
      <c r="F138" s="8">
        <f>IFERROR(__xludf.DUMMYFUNCTION("IF(
  REGEXMATCH(E138, "":""),
  60*VALUE(INDEX(SPLIT(E138, "":""),1,1)) + VALUE(INDEX(SPLIT(E138, "":""),1,2)),
  VALUE(E138)
)"),147.66)</f>
        <v>147.66</v>
      </c>
      <c r="G138" s="8">
        <f>average(F133-F136,F134-F137,F135-F138)</f>
        <v>0.69</v>
      </c>
      <c r="H138" s="8">
        <v>0.6899999999999977</v>
      </c>
      <c r="I138" s="6">
        <f>C127</f>
        <v>15</v>
      </c>
      <c r="J138" s="6">
        <f>C144</f>
        <v>23</v>
      </c>
      <c r="K138" s="6">
        <f t="array" ref="K138">INDEX('Podium Target Times'!$C:$C, MATCH(A138&amp;B138, 'Podium Target Times'!$A:$A&amp;'Podium Target Times'!$B:$B, 0))
</f>
        <v>152.6</v>
      </c>
      <c r="L138" s="8">
        <f>L139+G139</f>
        <v>154.805</v>
      </c>
      <c r="M138" s="6" t="str">
        <f t="shared" si="1"/>
        <v>2:34.81</v>
      </c>
      <c r="N138" s="9">
        <f>IFERROR(__xludf.DUMMYFUNCTION("LET(
  gen,$A138, ev,$B138, t,$M138,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139">
      <c r="A139" s="10" t="s">
        <v>14</v>
      </c>
      <c r="B139" s="11" t="s">
        <v>115</v>
      </c>
      <c r="C139" s="11">
        <v>20.0</v>
      </c>
      <c r="D139" s="11">
        <v>2.0</v>
      </c>
      <c r="E139" s="12" t="s">
        <v>128</v>
      </c>
      <c r="F139" s="13">
        <f>IFERROR(__xludf.DUMMYFUNCTION("IF(
  REGEXMATCH(E139, "":""),
  60*VALUE(INDEX(SPLIT(E139, "":""),1,1)) + VALUE(INDEX(SPLIT(E139, "":""),1,2)),
  VALUE(E139)
)"),146.41)</f>
        <v>146.41</v>
      </c>
      <c r="G139" s="13">
        <f>average(F137-F139,F138-F140)</f>
        <v>0.645</v>
      </c>
      <c r="H139" s="13">
        <v>0.6450000000000102</v>
      </c>
      <c r="I139" s="11">
        <f>C127</f>
        <v>15</v>
      </c>
      <c r="J139" s="11">
        <f>C144</f>
        <v>23</v>
      </c>
      <c r="K139" s="11">
        <f t="array" ref="K139">INDEX('Podium Target Times'!$C:$C, MATCH(A139&amp;B139, 'Podium Target Times'!$A:$A&amp;'Podium Target Times'!$B:$B, 0))
</f>
        <v>152.6</v>
      </c>
      <c r="L139" s="13">
        <f>L141+G141</f>
        <v>154.16</v>
      </c>
      <c r="M139" s="11" t="str">
        <f t="shared" si="1"/>
        <v>2:34.16</v>
      </c>
      <c r="N139" s="14">
        <f>IFERROR(__xludf.DUMMYFUNCTION("LET(
  gen,$A139, ev,$B139, t,$M139,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140">
      <c r="A140" s="5" t="s">
        <v>14</v>
      </c>
      <c r="B140" s="6" t="s">
        <v>115</v>
      </c>
      <c r="C140" s="6">
        <v>20.0</v>
      </c>
      <c r="D140" s="6">
        <v>3.0</v>
      </c>
      <c r="E140" s="7" t="s">
        <v>129</v>
      </c>
      <c r="F140" s="8">
        <f>IFERROR(__xludf.DUMMYFUNCTION("IF(
  REGEXMATCH(E140, "":""),
  60*VALUE(INDEX(SPLIT(E140, "":""),1,1)) + VALUE(INDEX(SPLIT(E140, "":""),1,2)),
  VALUE(E140)
)"),147.01)</f>
        <v>147.01</v>
      </c>
      <c r="G140" s="8">
        <f>average(F137-F139,F138-F140)</f>
        <v>0.645</v>
      </c>
      <c r="H140" s="8">
        <v>0.6450000000000102</v>
      </c>
      <c r="I140" s="6">
        <f>C127</f>
        <v>15</v>
      </c>
      <c r="J140" s="6">
        <f>C144</f>
        <v>23</v>
      </c>
      <c r="K140" s="6">
        <f t="array" ref="K140">INDEX('Podium Target Times'!$C:$C, MATCH(A140&amp;B140, 'Podium Target Times'!$A:$A&amp;'Podium Target Times'!$B:$B, 0))
</f>
        <v>152.6</v>
      </c>
      <c r="L140" s="8">
        <f>L141+G141</f>
        <v>154.16</v>
      </c>
      <c r="M140" s="6" t="str">
        <f t="shared" si="1"/>
        <v>2:34.16</v>
      </c>
      <c r="N140" s="9">
        <f>IFERROR(__xludf.DUMMYFUNCTION("LET(
  gen,$A140, ev,$B140, t,$M140,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141">
      <c r="A141" s="10" t="s">
        <v>14</v>
      </c>
      <c r="B141" s="11" t="s">
        <v>115</v>
      </c>
      <c r="C141" s="11">
        <v>21.0</v>
      </c>
      <c r="D141" s="11">
        <v>2.0</v>
      </c>
      <c r="E141" s="12" t="s">
        <v>125</v>
      </c>
      <c r="F141" s="13">
        <f>IFERROR(__xludf.DUMMYFUNCTION("IF(
  REGEXMATCH(E141, "":""),
  60*VALUE(INDEX(SPLIT(E141, "":""),1,1)) + VALUE(INDEX(SPLIT(E141, "":""),1,2)),
  VALUE(E141)
)"),145.91)</f>
        <v>145.91</v>
      </c>
      <c r="G141" s="13">
        <f>average(F139-F141,F140-F142)</f>
        <v>0.5</v>
      </c>
      <c r="H141" s="13">
        <v>0.5</v>
      </c>
      <c r="I141" s="11">
        <f>C127</f>
        <v>15</v>
      </c>
      <c r="J141" s="11">
        <f>C144</f>
        <v>23</v>
      </c>
      <c r="K141" s="11">
        <f t="array" ref="K141">INDEX('Podium Target Times'!$C:$C, MATCH(A141&amp;B141, 'Podium Target Times'!$A:$A&amp;'Podium Target Times'!$B:$B, 0))
</f>
        <v>152.6</v>
      </c>
      <c r="L141" s="13">
        <f>L143+G143</f>
        <v>153.66</v>
      </c>
      <c r="M141" s="11" t="str">
        <f t="shared" si="1"/>
        <v>2:33.66</v>
      </c>
      <c r="N141" s="14">
        <f>IFERROR(__xludf.DUMMYFUNCTION("LET(
  gen,$A141, ev,$B141, t,$M141,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142">
      <c r="A142" s="5" t="s">
        <v>14</v>
      </c>
      <c r="B142" s="6" t="s">
        <v>115</v>
      </c>
      <c r="C142" s="6">
        <v>21.0</v>
      </c>
      <c r="D142" s="6">
        <v>3.0</v>
      </c>
      <c r="E142" s="7" t="s">
        <v>130</v>
      </c>
      <c r="F142" s="8">
        <f>IFERROR(__xludf.DUMMYFUNCTION("IF(
  REGEXMATCH(E142, "":""),
  60*VALUE(INDEX(SPLIT(E142, "":""),1,1)) + VALUE(INDEX(SPLIT(E142, "":""),1,2)),
  VALUE(E142)
)"),146.51)</f>
        <v>146.51</v>
      </c>
      <c r="G142" s="8">
        <f>average(F139-F141,F140-F142)</f>
        <v>0.5</v>
      </c>
      <c r="H142" s="8">
        <v>0.5</v>
      </c>
      <c r="I142" s="6">
        <f>C127</f>
        <v>15</v>
      </c>
      <c r="J142" s="6">
        <f>C144</f>
        <v>23</v>
      </c>
      <c r="K142" s="6">
        <f t="array" ref="K142">INDEX('Podium Target Times'!$C:$C, MATCH(A142&amp;B142, 'Podium Target Times'!$A:$A&amp;'Podium Target Times'!$B:$B, 0))
</f>
        <v>152.6</v>
      </c>
      <c r="L142" s="8">
        <f t="shared" ref="L142:L143" si="16">L143+G143</f>
        <v>153.66</v>
      </c>
      <c r="M142" s="6" t="str">
        <f t="shared" si="1"/>
        <v>2:33.66</v>
      </c>
      <c r="N142" s="9">
        <f>IFERROR(__xludf.DUMMYFUNCTION("LET(
  gen,$A142, ev,$B142, t,$M142,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143">
      <c r="A143" s="10" t="s">
        <v>14</v>
      </c>
      <c r="B143" s="11" t="s">
        <v>115</v>
      </c>
      <c r="C143" s="11">
        <v>22.0</v>
      </c>
      <c r="D143" s="11">
        <v>3.0</v>
      </c>
      <c r="E143" s="12" t="s">
        <v>131</v>
      </c>
      <c r="F143" s="13">
        <f>IFERROR(__xludf.DUMMYFUNCTION("IF(
  REGEXMATCH(E143, "":""),
  60*VALUE(INDEX(SPLIT(E143, "":""),1,1)) + VALUE(INDEX(SPLIT(E143, "":""),1,2)),
  VALUE(E143)
)"),146.14)</f>
        <v>146.14</v>
      </c>
      <c r="G143" s="13">
        <f t="shared" ref="G143:G144" si="17">F142-F143</f>
        <v>0.37</v>
      </c>
      <c r="H143" s="13">
        <v>0.37000000000000455</v>
      </c>
      <c r="I143" s="11">
        <f>C127</f>
        <v>15</v>
      </c>
      <c r="J143" s="11">
        <f>C144</f>
        <v>23</v>
      </c>
      <c r="K143" s="11">
        <f t="array" ref="K143">INDEX('Podium Target Times'!$C:$C, MATCH(A143&amp;B143, 'Podium Target Times'!$A:$A&amp;'Podium Target Times'!$B:$B, 0))
</f>
        <v>152.6</v>
      </c>
      <c r="L143" s="13">
        <f t="shared" si="16"/>
        <v>153.29</v>
      </c>
      <c r="M143" s="11" t="str">
        <f t="shared" si="1"/>
        <v>2:33.29</v>
      </c>
      <c r="N143" s="14">
        <f>IFERROR(__xludf.DUMMYFUNCTION("LET(
  gen,$A143, ev,$B143, t,$M143,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)"),722.0)</f>
        <v>722</v>
      </c>
    </row>
    <row r="144">
      <c r="A144" s="5" t="s">
        <v>14</v>
      </c>
      <c r="B144" s="6" t="s">
        <v>115</v>
      </c>
      <c r="C144" s="6">
        <v>23.0</v>
      </c>
      <c r="D144" s="6">
        <v>3.0</v>
      </c>
      <c r="E144" s="7" t="s">
        <v>125</v>
      </c>
      <c r="F144" s="8">
        <f>IFERROR(__xludf.DUMMYFUNCTION("IF(
  REGEXMATCH(E144, "":""),
  60*VALUE(INDEX(SPLIT(E144, "":""),1,1)) + VALUE(INDEX(SPLIT(E144, "":""),1,2)),
  VALUE(E144)
)"),145.91)</f>
        <v>145.91</v>
      </c>
      <c r="G144" s="8">
        <f t="shared" si="17"/>
        <v>0.23</v>
      </c>
      <c r="H144" s="8">
        <v>0.22999999999998977</v>
      </c>
      <c r="I144" s="6">
        <f>C127</f>
        <v>15</v>
      </c>
      <c r="J144" s="6">
        <f>C144</f>
        <v>23</v>
      </c>
      <c r="K144" s="6">
        <f t="array" ref="K144">INDEX('Podium Target Times'!$C:$C, MATCH(A144&amp;B144, 'Podium Target Times'!$A:$A&amp;'Podium Target Times'!$B:$B, 0))
</f>
        <v>152.6</v>
      </c>
      <c r="L144" s="8">
        <f>G144+L145</f>
        <v>153.06</v>
      </c>
      <c r="M144" s="6" t="str">
        <f t="shared" si="1"/>
        <v>2:33.06</v>
      </c>
      <c r="N144" s="9">
        <f>IFERROR(__xludf.DUMMYFUNCTION("LET(
  gen,$A144, ev,$B144, t,$M144,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)"),725.0)</f>
        <v>725</v>
      </c>
    </row>
    <row r="145">
      <c r="A145" s="10" t="s">
        <v>14</v>
      </c>
      <c r="B145" s="11" t="s">
        <v>115</v>
      </c>
      <c r="C145" s="11">
        <v>24.0</v>
      </c>
      <c r="D145" s="11"/>
      <c r="E145" s="12"/>
      <c r="F145" s="13">
        <f>IFERROR(__xludf.DUMMYFUNCTION("IF(
  REGEXMATCH(E145, "":""),
  60*VALUE(INDEX(SPLIT(E145, "":""),1,1)) + VALUE(INDEX(SPLIT(E145, "":""),1,2)),
  VALUE(E145)
)"),0.0)</f>
        <v>0</v>
      </c>
      <c r="G145" s="13"/>
      <c r="H145" s="13"/>
      <c r="I145" s="11">
        <f>C127</f>
        <v>15</v>
      </c>
      <c r="J145" s="11">
        <f>C144</f>
        <v>23</v>
      </c>
      <c r="K145" s="11">
        <f t="array" ref="K145">INDEX('Podium Target Times'!$C:$C, MATCH(A145&amp;B145, 'Podium Target Times'!$A:$A&amp;'Podium Target Times'!$B:$B, 0))
</f>
        <v>152.6</v>
      </c>
      <c r="L145" s="13">
        <f>G144+L146</f>
        <v>152.83</v>
      </c>
      <c r="M145" s="11" t="str">
        <f t="shared" si="1"/>
        <v>2:32.83</v>
      </c>
      <c r="N145" s="14">
        <f>IFERROR(__xludf.DUMMYFUNCTION("LET(
  gen,$A145, ev,$B145, t,$M145,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)"),729.0)</f>
        <v>729</v>
      </c>
    </row>
    <row r="146">
      <c r="A146" s="5" t="s">
        <v>14</v>
      </c>
      <c r="B146" s="6" t="s">
        <v>115</v>
      </c>
      <c r="C146" s="6">
        <v>25.0</v>
      </c>
      <c r="D146" s="6"/>
      <c r="E146" s="7"/>
      <c r="F146" s="8">
        <f>IFERROR(__xludf.DUMMYFUNCTION("IF(
  REGEXMATCH(E146, "":""),
  60*VALUE(INDEX(SPLIT(E146, "":""),1,1)) + VALUE(INDEX(SPLIT(E146, "":""),1,2)),
  VALUE(E146)
)"),0.0)</f>
        <v>0</v>
      </c>
      <c r="G146" s="8"/>
      <c r="H146" s="8"/>
      <c r="I146" s="6">
        <f>C127</f>
        <v>15</v>
      </c>
      <c r="J146" s="6">
        <f>C144</f>
        <v>23</v>
      </c>
      <c r="K146" s="6">
        <f t="array" ref="K146">INDEX('Podium Target Times'!$C:$C, MATCH(A146&amp;B146, 'Podium Target Times'!$A:$A&amp;'Podium Target Times'!$B:$B, 0))
</f>
        <v>152.6</v>
      </c>
      <c r="L146" s="6">
        <f>K146</f>
        <v>152.6</v>
      </c>
      <c r="M146" s="6" t="str">
        <f t="shared" si="1"/>
        <v>2:32.60</v>
      </c>
      <c r="N146" s="9">
        <f>IFERROR(__xludf.DUMMYFUNCTION("LET(
  gen,$A146, ev,$B146, t,$M146,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147">
      <c r="A147" s="10" t="s">
        <v>14</v>
      </c>
      <c r="B147" s="11" t="s">
        <v>132</v>
      </c>
      <c r="C147" s="11">
        <v>14.0</v>
      </c>
      <c r="D147" s="11">
        <v>1.0</v>
      </c>
      <c r="E147" s="12" t="s">
        <v>133</v>
      </c>
      <c r="F147" s="13">
        <f>IFERROR(__xludf.DUMMYFUNCTION("IF(
  REGEXMATCH(E147, "":""),
  60*VALUE(INDEX(SPLIT(E147, "":""),1,1)) + VALUE(INDEX(SPLIT(E147, "":""),1,2)),
  VALUE(E147)
)"),138.48)</f>
        <v>138.48</v>
      </c>
      <c r="G147" s="13">
        <v>0.0</v>
      </c>
      <c r="H147" s="13">
        <v>0.0</v>
      </c>
      <c r="I147" s="11">
        <f>C147</f>
        <v>14</v>
      </c>
      <c r="J147" s="11">
        <f>C164</f>
        <v>22</v>
      </c>
      <c r="K147" s="11">
        <f t="array" ref="K147">INDEX('Podium Target Times'!$C:$C, MATCH(A147&amp;B147, 'Podium Target Times'!$A:$A&amp;'Podium Target Times'!$B:$B, 0))
</f>
        <v>134.37</v>
      </c>
      <c r="L147" s="13">
        <f>L148+G148</f>
        <v>146.105</v>
      </c>
      <c r="M147" s="11" t="str">
        <f t="shared" si="1"/>
        <v>2:26.11</v>
      </c>
      <c r="N147" s="14">
        <f>IFERROR(__xludf.DUMMYFUNCTION("LET(
  gen,$A147, ev,$B147, t,$M147,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)"),579.0)</f>
        <v>579</v>
      </c>
    </row>
    <row r="148">
      <c r="A148" s="5" t="s">
        <v>14</v>
      </c>
      <c r="B148" s="6" t="s">
        <v>132</v>
      </c>
      <c r="C148" s="6">
        <v>15.0</v>
      </c>
      <c r="D148" s="6">
        <v>1.0</v>
      </c>
      <c r="E148" s="7" t="s">
        <v>134</v>
      </c>
      <c r="F148" s="8">
        <f>IFERROR(__xludf.DUMMYFUNCTION("IF(
  REGEXMATCH(E148, "":""),
  60*VALUE(INDEX(SPLIT(E148, "":""),1,1)) + VALUE(INDEX(SPLIT(E148, "":""),1,2)),
  VALUE(E148)
)"),134.47)</f>
        <v>134.47</v>
      </c>
      <c r="G148" s="8">
        <f>F147-F148</f>
        <v>4.01</v>
      </c>
      <c r="H148" s="8">
        <v>4.009999999999991</v>
      </c>
      <c r="I148" s="6">
        <f>C147</f>
        <v>14</v>
      </c>
      <c r="J148" s="6">
        <f>C164</f>
        <v>22</v>
      </c>
      <c r="K148" s="6">
        <f t="array" ref="K148">INDEX('Podium Target Times'!$C:$C, MATCH(A148&amp;B148, 'Podium Target Times'!$A:$A&amp;'Podium Target Times'!$B:$B, 0))
</f>
        <v>134.37</v>
      </c>
      <c r="L148" s="8">
        <f>L150+G150</f>
        <v>142.095</v>
      </c>
      <c r="M148" s="6" t="str">
        <f t="shared" si="1"/>
        <v>2:22.10</v>
      </c>
      <c r="N148" s="9">
        <f>IFERROR(__xludf.DUMMYFUNCTION("LET(
  gen,$A148, ev,$B148, t,$M148,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)"),629.0)</f>
        <v>629</v>
      </c>
    </row>
    <row r="149">
      <c r="A149" s="10" t="s">
        <v>14</v>
      </c>
      <c r="B149" s="11" t="s">
        <v>132</v>
      </c>
      <c r="C149" s="11">
        <v>15.0</v>
      </c>
      <c r="D149" s="11">
        <v>2.0</v>
      </c>
      <c r="E149" s="12" t="s">
        <v>135</v>
      </c>
      <c r="F149" s="13">
        <f>IFERROR(__xludf.DUMMYFUNCTION("IF(
  REGEXMATCH(E149, "":""),
  60*VALUE(INDEX(SPLIT(E149, "":""),1,1)) + VALUE(INDEX(SPLIT(E149, "":""),1,2)),
  VALUE(E149)
)"),135.86)</f>
        <v>135.86</v>
      </c>
      <c r="G149" s="13">
        <f>F147-F148</f>
        <v>4.01</v>
      </c>
      <c r="H149" s="13">
        <v>4.009999999999991</v>
      </c>
      <c r="I149" s="11">
        <f>C147</f>
        <v>14</v>
      </c>
      <c r="J149" s="11">
        <f>C164</f>
        <v>22</v>
      </c>
      <c r="K149" s="11">
        <f t="array" ref="K149">INDEX('Podium Target Times'!$C:$C, MATCH(A149&amp;B149, 'Podium Target Times'!$A:$A&amp;'Podium Target Times'!$B:$B, 0))
</f>
        <v>134.37</v>
      </c>
      <c r="L149" s="13">
        <f>L150+G150</f>
        <v>142.095</v>
      </c>
      <c r="M149" s="11" t="str">
        <f t="shared" si="1"/>
        <v>2:22.10</v>
      </c>
      <c r="N149" s="14">
        <f>IFERROR(__xludf.DUMMYFUNCTION("LET(
  gen,$A149, ev,$B149, t,$M149,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)"),629.0)</f>
        <v>629</v>
      </c>
    </row>
    <row r="150">
      <c r="A150" s="5" t="s">
        <v>14</v>
      </c>
      <c r="B150" s="6" t="s">
        <v>132</v>
      </c>
      <c r="C150" s="6">
        <v>16.0</v>
      </c>
      <c r="D150" s="6">
        <v>1.0</v>
      </c>
      <c r="E150" s="7" t="s">
        <v>136</v>
      </c>
      <c r="F150" s="8">
        <f>IFERROR(__xludf.DUMMYFUNCTION("IF(
  REGEXMATCH(E150, "":""),
  60*VALUE(INDEX(SPLIT(E150, "":""),1,1)) + VALUE(INDEX(SPLIT(E150, "":""),1,2)),
  VALUE(E150)
)"),131.84)</f>
        <v>131.84</v>
      </c>
      <c r="G150" s="8">
        <f>average(F148-F150,F149-F151)</f>
        <v>2.645</v>
      </c>
      <c r="H150" s="8">
        <v>2.6450000000000102</v>
      </c>
      <c r="I150" s="6">
        <f>C147</f>
        <v>14</v>
      </c>
      <c r="J150" s="6">
        <f>C164</f>
        <v>22</v>
      </c>
      <c r="K150" s="6">
        <f t="array" ref="K150">INDEX('Podium Target Times'!$C:$C, MATCH(A150&amp;B150, 'Podium Target Times'!$A:$A&amp;'Podium Target Times'!$B:$B, 0))
</f>
        <v>134.37</v>
      </c>
      <c r="L150" s="8">
        <f>L153+G153</f>
        <v>139.45</v>
      </c>
      <c r="M150" s="6" t="str">
        <f t="shared" si="1"/>
        <v>2:19.45</v>
      </c>
      <c r="N150" s="9">
        <f>IFERROR(__xludf.DUMMYFUNCTION("LET(
  gen,$A150, ev,$B150, t,$M150,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)"),666.0)</f>
        <v>666</v>
      </c>
    </row>
    <row r="151">
      <c r="A151" s="10" t="s">
        <v>14</v>
      </c>
      <c r="B151" s="11" t="s">
        <v>132</v>
      </c>
      <c r="C151" s="11">
        <v>16.0</v>
      </c>
      <c r="D151" s="11">
        <v>2.0</v>
      </c>
      <c r="E151" s="12" t="s">
        <v>137</v>
      </c>
      <c r="F151" s="13">
        <f>IFERROR(__xludf.DUMMYFUNCTION("IF(
  REGEXMATCH(E151, "":""),
  60*VALUE(INDEX(SPLIT(E151, "":""),1,1)) + VALUE(INDEX(SPLIT(E151, "":""),1,2)),
  VALUE(E151)
)"),133.2)</f>
        <v>133.2</v>
      </c>
      <c r="G151" s="13">
        <f>average(F148-F150,F149-F151)</f>
        <v>2.645</v>
      </c>
      <c r="H151" s="13">
        <v>2.6450000000000102</v>
      </c>
      <c r="I151" s="11">
        <f>C147</f>
        <v>14</v>
      </c>
      <c r="J151" s="11">
        <f>C164</f>
        <v>22</v>
      </c>
      <c r="K151" s="11">
        <f t="array" ref="K151">INDEX('Podium Target Times'!$C:$C, MATCH(A151&amp;B151, 'Podium Target Times'!$A:$A&amp;'Podium Target Times'!$B:$B, 0))
</f>
        <v>134.37</v>
      </c>
      <c r="L151" s="13">
        <f>L153+G153</f>
        <v>139.45</v>
      </c>
      <c r="M151" s="11" t="str">
        <f t="shared" si="1"/>
        <v>2:19.45</v>
      </c>
      <c r="N151" s="14">
        <f>IFERROR(__xludf.DUMMYFUNCTION("LET(
  gen,$A151, ev,$B151, t,$M151,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)"),666.0)</f>
        <v>666</v>
      </c>
    </row>
    <row r="152">
      <c r="A152" s="5" t="s">
        <v>14</v>
      </c>
      <c r="B152" s="6" t="s">
        <v>132</v>
      </c>
      <c r="C152" s="6">
        <v>16.0</v>
      </c>
      <c r="D152" s="6">
        <v>3.0</v>
      </c>
      <c r="E152" s="7" t="s">
        <v>138</v>
      </c>
      <c r="F152" s="8">
        <f>IFERROR(__xludf.DUMMYFUNCTION("IF(
  REGEXMATCH(E152, "":""),
  60*VALUE(INDEX(SPLIT(E152, "":""),1,1)) + VALUE(INDEX(SPLIT(E152, "":""),1,2)),
  VALUE(E152)
)"),133.77)</f>
        <v>133.77</v>
      </c>
      <c r="G152" s="8">
        <f>average(F148-F150,F149-F151)</f>
        <v>2.645</v>
      </c>
      <c r="H152" s="8">
        <v>2.6450000000000102</v>
      </c>
      <c r="I152" s="6">
        <f>C147</f>
        <v>14</v>
      </c>
      <c r="J152" s="6">
        <f>C164</f>
        <v>22</v>
      </c>
      <c r="K152" s="6">
        <f t="array" ref="K152">INDEX('Podium Target Times'!$C:$C, MATCH(A152&amp;B152, 'Podium Target Times'!$A:$A&amp;'Podium Target Times'!$B:$B, 0))
</f>
        <v>134.37</v>
      </c>
      <c r="L152" s="8">
        <f>L153+G153</f>
        <v>139.45</v>
      </c>
      <c r="M152" s="6" t="str">
        <f t="shared" si="1"/>
        <v>2:19.45</v>
      </c>
      <c r="N152" s="9">
        <f>IFERROR(__xludf.DUMMYFUNCTION("LET(
  gen,$A152, ev,$B152, t,$M152,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)"),666.0)</f>
        <v>666</v>
      </c>
    </row>
    <row r="153">
      <c r="A153" s="10" t="s">
        <v>14</v>
      </c>
      <c r="B153" s="11" t="s">
        <v>132</v>
      </c>
      <c r="C153" s="11">
        <v>17.0</v>
      </c>
      <c r="D153" s="11">
        <v>1.0</v>
      </c>
      <c r="E153" s="12" t="s">
        <v>139</v>
      </c>
      <c r="F153" s="13">
        <f>IFERROR(__xludf.DUMMYFUNCTION("IF(
  REGEXMATCH(E153, "":""),
  60*VALUE(INDEX(SPLIT(E153, "":""),1,1)) + VALUE(INDEX(SPLIT(E153, "":""),1,2)),
  VALUE(E153)
)"),130.18)</f>
        <v>130.18</v>
      </c>
      <c r="G153" s="13">
        <f>average(F150-F153,F151-F154,F152-F155)</f>
        <v>1.673333333</v>
      </c>
      <c r="H153" s="13">
        <v>1.6733333333333273</v>
      </c>
      <c r="I153" s="11">
        <f>C147</f>
        <v>14</v>
      </c>
      <c r="J153" s="11">
        <f>C164</f>
        <v>22</v>
      </c>
      <c r="K153" s="11">
        <f t="array" ref="K153">INDEX('Podium Target Times'!$C:$C, MATCH(A153&amp;B153, 'Podium Target Times'!$A:$A&amp;'Podium Target Times'!$B:$B, 0))
</f>
        <v>134.37</v>
      </c>
      <c r="L153" s="13">
        <f>L156+G156</f>
        <v>137.7766667</v>
      </c>
      <c r="M153" s="11" t="str">
        <f t="shared" si="1"/>
        <v>2:17.78</v>
      </c>
      <c r="N153" s="14">
        <f>IFERROR(__xludf.DUMMYFUNCTION("LET(
  gen,$A153, ev,$B153, t,$M153,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)"),691.0)</f>
        <v>691</v>
      </c>
    </row>
    <row r="154">
      <c r="A154" s="5" t="s">
        <v>14</v>
      </c>
      <c r="B154" s="6" t="s">
        <v>132</v>
      </c>
      <c r="C154" s="6">
        <v>17.0</v>
      </c>
      <c r="D154" s="6">
        <v>2.0</v>
      </c>
      <c r="E154" s="7" t="s">
        <v>140</v>
      </c>
      <c r="F154" s="8">
        <f>IFERROR(__xludf.DUMMYFUNCTION("IF(
  REGEXMATCH(E154, "":""),
  60*VALUE(INDEX(SPLIT(E154, "":""),1,1)) + VALUE(INDEX(SPLIT(E154, "":""),1,2)),
  VALUE(E154)
)"),131.53)</f>
        <v>131.53</v>
      </c>
      <c r="G154" s="8">
        <f>average(F150-F153,F151-F154,F152-F155)</f>
        <v>1.673333333</v>
      </c>
      <c r="H154" s="8">
        <v>1.6733333333333273</v>
      </c>
      <c r="I154" s="6">
        <f>C147</f>
        <v>14</v>
      </c>
      <c r="J154" s="6">
        <f>C164</f>
        <v>22</v>
      </c>
      <c r="K154" s="6">
        <f t="array" ref="K154">INDEX('Podium Target Times'!$C:$C, MATCH(A154&amp;B154, 'Podium Target Times'!$A:$A&amp;'Podium Target Times'!$B:$B, 0))
</f>
        <v>134.37</v>
      </c>
      <c r="L154" s="8">
        <f>L156+G156</f>
        <v>137.7766667</v>
      </c>
      <c r="M154" s="6" t="str">
        <f t="shared" si="1"/>
        <v>2:17.78</v>
      </c>
      <c r="N154" s="9">
        <f>IFERROR(__xludf.DUMMYFUNCTION("LET(
  gen,$A154, ev,$B154, t,$M154,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)"),691.0)</f>
        <v>691</v>
      </c>
    </row>
    <row r="155">
      <c r="A155" s="10" t="s">
        <v>14</v>
      </c>
      <c r="B155" s="11" t="s">
        <v>132</v>
      </c>
      <c r="C155" s="11">
        <v>17.0</v>
      </c>
      <c r="D155" s="11">
        <v>3.0</v>
      </c>
      <c r="E155" s="12" t="s">
        <v>141</v>
      </c>
      <c r="F155" s="13">
        <f>IFERROR(__xludf.DUMMYFUNCTION("IF(
  REGEXMATCH(E155, "":""),
  60*VALUE(INDEX(SPLIT(E155, "":""),1,1)) + VALUE(INDEX(SPLIT(E155, "":""),1,2)),
  VALUE(E155)
)"),132.08)</f>
        <v>132.08</v>
      </c>
      <c r="G155" s="13">
        <f>average(F150-F153,F151-F154,F152-F155)</f>
        <v>1.673333333</v>
      </c>
      <c r="H155" s="13">
        <v>1.6733333333333273</v>
      </c>
      <c r="I155" s="11">
        <f>C147</f>
        <v>14</v>
      </c>
      <c r="J155" s="11">
        <f>C164</f>
        <v>22</v>
      </c>
      <c r="K155" s="11">
        <f t="array" ref="K155">INDEX('Podium Target Times'!$C:$C, MATCH(A155&amp;B155, 'Podium Target Times'!$A:$A&amp;'Podium Target Times'!$B:$B, 0))
</f>
        <v>134.37</v>
      </c>
      <c r="L155" s="13">
        <f>L156+G156</f>
        <v>137.7766667</v>
      </c>
      <c r="M155" s="11" t="str">
        <f t="shared" si="1"/>
        <v>2:17.78</v>
      </c>
      <c r="N155" s="14">
        <f>IFERROR(__xludf.DUMMYFUNCTION("LET(
  gen,$A155, ev,$B155, t,$M155,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)"),691.0)</f>
        <v>691</v>
      </c>
    </row>
    <row r="156">
      <c r="A156" s="5" t="s">
        <v>14</v>
      </c>
      <c r="B156" s="6" t="s">
        <v>132</v>
      </c>
      <c r="C156" s="6">
        <v>18.0</v>
      </c>
      <c r="D156" s="6">
        <v>1.0</v>
      </c>
      <c r="E156" s="7" t="s">
        <v>142</v>
      </c>
      <c r="F156" s="8">
        <f>IFERROR(__xludf.DUMMYFUNCTION("IF(
  REGEXMATCH(E156, "":""),
  60*VALUE(INDEX(SPLIT(E156, "":""),1,1)) + VALUE(INDEX(SPLIT(E156, "":""),1,2)),
  VALUE(E156)
)"),129.21)</f>
        <v>129.21</v>
      </c>
      <c r="G156" s="8">
        <f>average(F153-F156,F154-F157,F155-F158)</f>
        <v>0.9766666667</v>
      </c>
      <c r="H156" s="8">
        <v>0.9766666666666689</v>
      </c>
      <c r="I156" s="6">
        <f>C147</f>
        <v>14</v>
      </c>
      <c r="J156" s="6">
        <f>C164</f>
        <v>22</v>
      </c>
      <c r="K156" s="6">
        <f t="array" ref="K156">INDEX('Podium Target Times'!$C:$C, MATCH(A156&amp;B156, 'Podium Target Times'!$A:$A&amp;'Podium Target Times'!$B:$B, 0))
</f>
        <v>134.37</v>
      </c>
      <c r="L156" s="8">
        <f>L159+G159</f>
        <v>136.8</v>
      </c>
      <c r="M156" s="6" t="str">
        <f t="shared" si="1"/>
        <v>2:16.80</v>
      </c>
      <c r="N156" s="9">
        <f>IFERROR(__xludf.DUMMYFUNCTION("LET(
  gen,$A156, ev,$B156, t,$M156,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157">
      <c r="A157" s="10" t="s">
        <v>14</v>
      </c>
      <c r="B157" s="11" t="s">
        <v>132</v>
      </c>
      <c r="C157" s="11">
        <v>18.0</v>
      </c>
      <c r="D157" s="11">
        <v>2.0</v>
      </c>
      <c r="E157" s="12" t="s">
        <v>143</v>
      </c>
      <c r="F157" s="13">
        <f>IFERROR(__xludf.DUMMYFUNCTION("IF(
  REGEXMATCH(E157, "":""),
  60*VALUE(INDEX(SPLIT(E157, "":""),1,1)) + VALUE(INDEX(SPLIT(E157, "":""),1,2)),
  VALUE(E157)
)"),130.55)</f>
        <v>130.55</v>
      </c>
      <c r="G157" s="13">
        <f>average(F153-F156,F154-F157,F155-F158)</f>
        <v>0.9766666667</v>
      </c>
      <c r="H157" s="13">
        <v>0.9766666666666689</v>
      </c>
      <c r="I157" s="11">
        <f>C147</f>
        <v>14</v>
      </c>
      <c r="J157" s="11">
        <f>C164</f>
        <v>22</v>
      </c>
      <c r="K157" s="11">
        <f t="array" ref="K157">INDEX('Podium Target Times'!$C:$C, MATCH(A157&amp;B157, 'Podium Target Times'!$A:$A&amp;'Podium Target Times'!$B:$B, 0))
</f>
        <v>134.37</v>
      </c>
      <c r="L157" s="13">
        <f>L159+G159</f>
        <v>136.8</v>
      </c>
      <c r="M157" s="11" t="str">
        <f t="shared" si="1"/>
        <v>2:16.80</v>
      </c>
      <c r="N157" s="14">
        <f>IFERROR(__xludf.DUMMYFUNCTION("LET(
  gen,$A157, ev,$B157, t,$M157,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158">
      <c r="A158" s="5" t="s">
        <v>14</v>
      </c>
      <c r="B158" s="6" t="s">
        <v>132</v>
      </c>
      <c r="C158" s="6">
        <v>18.0</v>
      </c>
      <c r="D158" s="6">
        <v>3.0</v>
      </c>
      <c r="E158" s="7" t="s">
        <v>144</v>
      </c>
      <c r="F158" s="8">
        <f>IFERROR(__xludf.DUMMYFUNCTION("IF(
  REGEXMATCH(E158, "":""),
  60*VALUE(INDEX(SPLIT(E158, "":""),1,1)) + VALUE(INDEX(SPLIT(E158, "":""),1,2)),
  VALUE(E158)
)"),131.1)</f>
        <v>131.1</v>
      </c>
      <c r="G158" s="8">
        <f>average(F153-F156,F154-F157,F155-F158)</f>
        <v>0.9766666667</v>
      </c>
      <c r="H158" s="8">
        <v>0.9766666666666689</v>
      </c>
      <c r="I158" s="6">
        <f>C147</f>
        <v>14</v>
      </c>
      <c r="J158" s="6">
        <f>C164</f>
        <v>22</v>
      </c>
      <c r="K158" s="6">
        <f t="array" ref="K158">INDEX('Podium Target Times'!$C:$C, MATCH(A158&amp;B158, 'Podium Target Times'!$A:$A&amp;'Podium Target Times'!$B:$B, 0))
</f>
        <v>134.37</v>
      </c>
      <c r="L158" s="8">
        <f>L159+G159</f>
        <v>136.8</v>
      </c>
      <c r="M158" s="6" t="str">
        <f t="shared" si="1"/>
        <v>2:16.80</v>
      </c>
      <c r="N158" s="9">
        <f>IFERROR(__xludf.DUMMYFUNCTION("LET(
  gen,$A158, ev,$B158, t,$M158,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159">
      <c r="A159" s="10" t="s">
        <v>14</v>
      </c>
      <c r="B159" s="11" t="s">
        <v>132</v>
      </c>
      <c r="C159" s="11">
        <v>19.0</v>
      </c>
      <c r="D159" s="11">
        <v>2.0</v>
      </c>
      <c r="E159" s="12" t="s">
        <v>145</v>
      </c>
      <c r="F159" s="13">
        <f>IFERROR(__xludf.DUMMYFUNCTION("IF(
  REGEXMATCH(E159, "":""),
  60*VALUE(INDEX(SPLIT(E159, "":""),1,1)) + VALUE(INDEX(SPLIT(E159, "":""),1,2)),
  VALUE(E159)
)"),129.78)</f>
        <v>129.78</v>
      </c>
      <c r="G159" s="13">
        <f>average(F157-F159,F158-F160)</f>
        <v>0.77</v>
      </c>
      <c r="H159" s="13">
        <v>0.769999999999996</v>
      </c>
      <c r="I159" s="11">
        <f>C147</f>
        <v>14</v>
      </c>
      <c r="J159" s="11">
        <f>C164</f>
        <v>22</v>
      </c>
      <c r="K159" s="11">
        <f t="array" ref="K159">INDEX('Podium Target Times'!$C:$C, MATCH(A159&amp;B159, 'Podium Target Times'!$A:$A&amp;'Podium Target Times'!$B:$B, 0))
</f>
        <v>134.37</v>
      </c>
      <c r="L159" s="13">
        <f>L161+G161</f>
        <v>136.03</v>
      </c>
      <c r="M159" s="11" t="str">
        <f t="shared" si="1"/>
        <v>2:16.03</v>
      </c>
      <c r="N159" s="14">
        <f>IFERROR(__xludf.DUMMYFUNCTION("LET(
  gen,$A159, ev,$B159, t,$M159,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160">
      <c r="A160" s="5" t="s">
        <v>14</v>
      </c>
      <c r="B160" s="6" t="s">
        <v>132</v>
      </c>
      <c r="C160" s="6">
        <v>19.0</v>
      </c>
      <c r="D160" s="6">
        <v>3.0</v>
      </c>
      <c r="E160" s="7" t="s">
        <v>146</v>
      </c>
      <c r="F160" s="8">
        <f>IFERROR(__xludf.DUMMYFUNCTION("IF(
  REGEXMATCH(E160, "":""),
  60*VALUE(INDEX(SPLIT(E160, "":""),1,1)) + VALUE(INDEX(SPLIT(E160, "":""),1,2)),
  VALUE(E160)
)"),130.33)</f>
        <v>130.33</v>
      </c>
      <c r="G160" s="8">
        <f>average(F157-F159,F158-F160)</f>
        <v>0.77</v>
      </c>
      <c r="H160" s="8">
        <v>0.769999999999996</v>
      </c>
      <c r="I160" s="6">
        <f>C147</f>
        <v>14</v>
      </c>
      <c r="J160" s="6">
        <f>C164</f>
        <v>22</v>
      </c>
      <c r="K160" s="6">
        <f t="array" ref="K160">INDEX('Podium Target Times'!$C:$C, MATCH(A160&amp;B160, 'Podium Target Times'!$A:$A&amp;'Podium Target Times'!$B:$B, 0))
</f>
        <v>134.37</v>
      </c>
      <c r="L160" s="8">
        <f>L161+G161</f>
        <v>136.03</v>
      </c>
      <c r="M160" s="6" t="str">
        <f t="shared" si="1"/>
        <v>2:16.03</v>
      </c>
      <c r="N160" s="9">
        <f>IFERROR(__xludf.DUMMYFUNCTION("LET(
  gen,$A160, ev,$B160, t,$M160,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161">
      <c r="A161" s="10" t="s">
        <v>14</v>
      </c>
      <c r="B161" s="11" t="s">
        <v>132</v>
      </c>
      <c r="C161" s="11">
        <v>20.0</v>
      </c>
      <c r="D161" s="11">
        <v>2.0</v>
      </c>
      <c r="E161" s="12" t="s">
        <v>142</v>
      </c>
      <c r="F161" s="13">
        <f>IFERROR(__xludf.DUMMYFUNCTION("IF(
  REGEXMATCH(E161, "":""),
  60*VALUE(INDEX(SPLIT(E161, "":""),1,1)) + VALUE(INDEX(SPLIT(E161, "":""),1,2)),
  VALUE(E161)
)"),129.21)</f>
        <v>129.21</v>
      </c>
      <c r="G161" s="13">
        <f>average(F159-F161,F160-F162)</f>
        <v>0.57</v>
      </c>
      <c r="H161" s="13">
        <v>0.5700000000000074</v>
      </c>
      <c r="I161" s="11">
        <f>C147</f>
        <v>14</v>
      </c>
      <c r="J161" s="11">
        <f>C164</f>
        <v>22</v>
      </c>
      <c r="K161" s="11">
        <f t="array" ref="K161">INDEX('Podium Target Times'!$C:$C, MATCH(A161&amp;B161, 'Podium Target Times'!$A:$A&amp;'Podium Target Times'!$B:$B, 0))
</f>
        <v>134.37</v>
      </c>
      <c r="L161" s="13">
        <f>L163+G163</f>
        <v>135.46</v>
      </c>
      <c r="M161" s="11" t="str">
        <f t="shared" si="1"/>
        <v>2:15.46</v>
      </c>
      <c r="N161" s="14">
        <f>IFERROR(__xludf.DUMMYFUNCTION("LET(
  gen,$A161, ev,$B161, t,$M161,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162">
      <c r="A162" s="5" t="s">
        <v>14</v>
      </c>
      <c r="B162" s="6" t="s">
        <v>132</v>
      </c>
      <c r="C162" s="6">
        <v>20.0</v>
      </c>
      <c r="D162" s="6">
        <v>3.0</v>
      </c>
      <c r="E162" s="7" t="s">
        <v>147</v>
      </c>
      <c r="F162" s="8">
        <f>IFERROR(__xludf.DUMMYFUNCTION("IF(
  REGEXMATCH(E162, "":""),
  60*VALUE(INDEX(SPLIT(E162, "":""),1,1)) + VALUE(INDEX(SPLIT(E162, "":""),1,2)),
  VALUE(E162)
)"),129.76)</f>
        <v>129.76</v>
      </c>
      <c r="G162" s="8">
        <f>average(F159-F161,F160-F162)</f>
        <v>0.57</v>
      </c>
      <c r="H162" s="8">
        <v>0.5700000000000074</v>
      </c>
      <c r="I162" s="6">
        <f>C147</f>
        <v>14</v>
      </c>
      <c r="J162" s="6">
        <f>C164</f>
        <v>22</v>
      </c>
      <c r="K162" s="6">
        <f t="array" ref="K162">INDEX('Podium Target Times'!$C:$C, MATCH(A162&amp;B162, 'Podium Target Times'!$A:$A&amp;'Podium Target Times'!$B:$B, 0))
</f>
        <v>134.37</v>
      </c>
      <c r="L162" s="8">
        <f t="shared" ref="L162:L163" si="18">L163+G163</f>
        <v>135.46</v>
      </c>
      <c r="M162" s="6" t="str">
        <f t="shared" si="1"/>
        <v>2:15.46</v>
      </c>
      <c r="N162" s="9">
        <f>IFERROR(__xludf.DUMMYFUNCTION("LET(
  gen,$A162, ev,$B162, t,$M162,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163">
      <c r="A163" s="10" t="s">
        <v>14</v>
      </c>
      <c r="B163" s="11" t="s">
        <v>132</v>
      </c>
      <c r="C163" s="11">
        <v>21.0</v>
      </c>
      <c r="D163" s="11">
        <v>3.0</v>
      </c>
      <c r="E163" s="12" t="s">
        <v>148</v>
      </c>
      <c r="F163" s="13">
        <f>IFERROR(__xludf.DUMMYFUNCTION("IF(
  REGEXMATCH(E163, "":""),
  60*VALUE(INDEX(SPLIT(E163, "":""),1,1)) + VALUE(INDEX(SPLIT(E163, "":""),1,2)),
  VALUE(E163)
)"),129.39)</f>
        <v>129.39</v>
      </c>
      <c r="G163" s="13">
        <f t="shared" ref="G163:G164" si="19">F162-F163</f>
        <v>0.37</v>
      </c>
      <c r="H163" s="13">
        <v>0.37000000000000455</v>
      </c>
      <c r="I163" s="11">
        <f>C147</f>
        <v>14</v>
      </c>
      <c r="J163" s="11">
        <f>C164</f>
        <v>22</v>
      </c>
      <c r="K163" s="11">
        <f t="array" ref="K163">INDEX('Podium Target Times'!$C:$C, MATCH(A163&amp;B163, 'Podium Target Times'!$A:$A&amp;'Podium Target Times'!$B:$B, 0))
</f>
        <v>134.37</v>
      </c>
      <c r="L163" s="13">
        <f t="shared" si="18"/>
        <v>135.09</v>
      </c>
      <c r="M163" s="11" t="str">
        <f t="shared" si="1"/>
        <v>2:15.09</v>
      </c>
      <c r="N163" s="14">
        <f>IFERROR(__xludf.DUMMYFUNCTION("LET(
  gen,$A163, ev,$B163, t,$M163,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164">
      <c r="A164" s="5" t="s">
        <v>14</v>
      </c>
      <c r="B164" s="6" t="s">
        <v>132</v>
      </c>
      <c r="C164" s="6">
        <v>22.0</v>
      </c>
      <c r="D164" s="6">
        <v>3.0</v>
      </c>
      <c r="E164" s="7" t="s">
        <v>142</v>
      </c>
      <c r="F164" s="8">
        <f>IFERROR(__xludf.DUMMYFUNCTION("IF(
  REGEXMATCH(E164, "":""),
  60*VALUE(INDEX(SPLIT(E164, "":""),1,1)) + VALUE(INDEX(SPLIT(E164, "":""),1,2)),
  VALUE(E164)
)"),129.21)</f>
        <v>129.21</v>
      </c>
      <c r="G164" s="8">
        <f t="shared" si="19"/>
        <v>0.18</v>
      </c>
      <c r="H164" s="8">
        <v>0.1799999999999784</v>
      </c>
      <c r="I164" s="6">
        <f>C147</f>
        <v>14</v>
      </c>
      <c r="J164" s="6">
        <f>C164</f>
        <v>22</v>
      </c>
      <c r="K164" s="6">
        <f t="array" ref="K164">INDEX('Podium Target Times'!$C:$C, MATCH(A164&amp;B164, 'Podium Target Times'!$A:$A&amp;'Podium Target Times'!$B:$B, 0))
</f>
        <v>134.37</v>
      </c>
      <c r="L164" s="8">
        <f>G164+L165</f>
        <v>134.91</v>
      </c>
      <c r="M164" s="6" t="str">
        <f t="shared" si="1"/>
        <v>2:14.91</v>
      </c>
      <c r="N164" s="9">
        <f>IFERROR(__xludf.DUMMYFUNCTION("LET(
  gen,$A164, ev,$B164, t,$M164,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165">
      <c r="A165" s="10" t="s">
        <v>14</v>
      </c>
      <c r="B165" s="11" t="s">
        <v>132</v>
      </c>
      <c r="C165" s="11">
        <v>23.0</v>
      </c>
      <c r="D165" s="11"/>
      <c r="E165" s="12"/>
      <c r="F165" s="13">
        <f>IFERROR(__xludf.DUMMYFUNCTION("IF(
  REGEXMATCH(E165, "":""),
  60*VALUE(INDEX(SPLIT(E165, "":""),1,1)) + VALUE(INDEX(SPLIT(E165, "":""),1,2)),
  VALUE(E165)
)"),0.0)</f>
        <v>0</v>
      </c>
      <c r="G165" s="13"/>
      <c r="H165" s="13"/>
      <c r="I165" s="11">
        <f>C147</f>
        <v>14</v>
      </c>
      <c r="J165" s="11">
        <f>C164</f>
        <v>22</v>
      </c>
      <c r="K165" s="11">
        <f t="array" ref="K165">INDEX('Podium Target Times'!$C:$C, MATCH(A165&amp;B165, 'Podium Target Times'!$A:$A&amp;'Podium Target Times'!$B:$B, 0))
</f>
        <v>134.37</v>
      </c>
      <c r="L165" s="13">
        <f>G164+L166</f>
        <v>134.73</v>
      </c>
      <c r="M165" s="11" t="str">
        <f t="shared" si="1"/>
        <v>2:14.73</v>
      </c>
      <c r="N165" s="14">
        <f>IFERROR(__xludf.DUMMYFUNCTION("LET(
  gen,$A165, ev,$B165, t,$M165,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166">
      <c r="A166" s="5" t="s">
        <v>14</v>
      </c>
      <c r="B166" s="6" t="s">
        <v>132</v>
      </c>
      <c r="C166" s="6">
        <v>24.0</v>
      </c>
      <c r="D166" s="6"/>
      <c r="E166" s="7"/>
      <c r="F166" s="8">
        <f>IFERROR(__xludf.DUMMYFUNCTION("IF(
  REGEXMATCH(E166, "":""),
  60*VALUE(INDEX(SPLIT(E166, "":""),1,1)) + VALUE(INDEX(SPLIT(E166, "":""),1,2)),
  VALUE(E166)
)"),0.0)</f>
        <v>0</v>
      </c>
      <c r="G166" s="8"/>
      <c r="H166" s="8"/>
      <c r="I166" s="6">
        <f>C147</f>
        <v>14</v>
      </c>
      <c r="J166" s="6">
        <f>C164</f>
        <v>22</v>
      </c>
      <c r="K166" s="6">
        <f t="array" ref="K166">INDEX('Podium Target Times'!$C:$C, MATCH(A166&amp;B166, 'Podium Target Times'!$A:$A&amp;'Podium Target Times'!$B:$B, 0))
</f>
        <v>134.37</v>
      </c>
      <c r="L166" s="8">
        <f>G164+L167</f>
        <v>134.55</v>
      </c>
      <c r="M166" s="6" t="str">
        <f t="shared" si="1"/>
        <v>2:14.55</v>
      </c>
      <c r="N166" s="9">
        <f>IFERROR(__xludf.DUMMYFUNCTION("LET(
  gen,$A166, ev,$B166, t,$M166,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167">
      <c r="A167" s="10" t="s">
        <v>14</v>
      </c>
      <c r="B167" s="11" t="s">
        <v>132</v>
      </c>
      <c r="C167" s="11">
        <v>25.0</v>
      </c>
      <c r="D167" s="11"/>
      <c r="E167" s="12"/>
      <c r="F167" s="13">
        <f>IFERROR(__xludf.DUMMYFUNCTION("IF(
  REGEXMATCH(E167, "":""),
  60*VALUE(INDEX(SPLIT(E167, "":""),1,1)) + VALUE(INDEX(SPLIT(E167, "":""),1,2)),
  VALUE(E167)
)"),0.0)</f>
        <v>0</v>
      </c>
      <c r="G167" s="13"/>
      <c r="H167" s="13"/>
      <c r="I167" s="11">
        <f>C147</f>
        <v>14</v>
      </c>
      <c r="J167" s="11">
        <f>C164</f>
        <v>22</v>
      </c>
      <c r="K167" s="11">
        <f t="array" ref="K167">INDEX('Podium Target Times'!$C:$C, MATCH(A167&amp;B167, 'Podium Target Times'!$A:$A&amp;'Podium Target Times'!$B:$B, 0))
</f>
        <v>134.37</v>
      </c>
      <c r="L167" s="11">
        <f>K167</f>
        <v>134.37</v>
      </c>
      <c r="M167" s="11" t="str">
        <f t="shared" si="1"/>
        <v>2:14.37</v>
      </c>
      <c r="N167" s="14">
        <f>IFERROR(__xludf.DUMMYFUNCTION("LET(
  gen,$A167, ev,$B167, t,$M167,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168">
      <c r="A168" s="5" t="s">
        <v>14</v>
      </c>
      <c r="B168" s="6" t="s">
        <v>149</v>
      </c>
      <c r="C168" s="6">
        <v>14.0</v>
      </c>
      <c r="D168" s="6">
        <v>1.0</v>
      </c>
      <c r="E168" s="7" t="s">
        <v>150</v>
      </c>
      <c r="F168" s="8">
        <f>IFERROR(__xludf.DUMMYFUNCTION("IF(
  REGEXMATCH(E168, "":""),
  60*VALUE(INDEX(SPLIT(E168, "":""),1,1)) + VALUE(INDEX(SPLIT(E168, "":""),1,2)),
  VALUE(E168)
)"),126.51)</f>
        <v>126.51</v>
      </c>
      <c r="G168" s="8">
        <v>0.0</v>
      </c>
      <c r="H168" s="8">
        <v>0.0</v>
      </c>
      <c r="I168" s="6">
        <f>C168</f>
        <v>14</v>
      </c>
      <c r="J168" s="6">
        <f>C185</f>
        <v>22</v>
      </c>
      <c r="K168" s="6">
        <f t="array" ref="K168">INDEX('Podium Target Times'!$C:$C, MATCH(A168&amp;B168, 'Podium Target Times'!$A:$A&amp;'Podium Target Times'!$B:$B, 0))
</f>
        <v>122.94</v>
      </c>
      <c r="L168" s="8">
        <f>L169+G169</f>
        <v>133.27</v>
      </c>
      <c r="M168" s="6" t="str">
        <f t="shared" si="1"/>
        <v>2:13.27</v>
      </c>
      <c r="N168" s="9">
        <f>IFERROR(__xludf.DUMMYFUNCTION("LET(
  gen,$A168, ev,$B168, t,$M168,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)"),597.0)</f>
        <v>597</v>
      </c>
    </row>
    <row r="169">
      <c r="A169" s="10" t="s">
        <v>14</v>
      </c>
      <c r="B169" s="11" t="s">
        <v>149</v>
      </c>
      <c r="C169" s="11">
        <v>15.0</v>
      </c>
      <c r="D169" s="11">
        <v>1.0</v>
      </c>
      <c r="E169" s="12" t="s">
        <v>151</v>
      </c>
      <c r="F169" s="13">
        <f>IFERROR(__xludf.DUMMYFUNCTION("IF(
  REGEXMATCH(E169, "":""),
  60*VALUE(INDEX(SPLIT(E169, "":""),1,1)) + VALUE(INDEX(SPLIT(E169, "":""),1,2)),
  VALUE(E169)
)"),122.98)</f>
        <v>122.98</v>
      </c>
      <c r="G169" s="13">
        <f>F168-F169</f>
        <v>3.53</v>
      </c>
      <c r="H169" s="13">
        <v>3.530000000000001</v>
      </c>
      <c r="I169" s="11">
        <f>C168</f>
        <v>14</v>
      </c>
      <c r="J169" s="11">
        <f>C185</f>
        <v>22</v>
      </c>
      <c r="K169" s="11">
        <f t="array" ref="K169">INDEX('Podium Target Times'!$C:$C, MATCH(A169&amp;B169, 'Podium Target Times'!$A:$A&amp;'Podium Target Times'!$B:$B, 0))
</f>
        <v>122.94</v>
      </c>
      <c r="L169" s="13">
        <f>L171+G171</f>
        <v>129.74</v>
      </c>
      <c r="M169" s="11" t="str">
        <f t="shared" si="1"/>
        <v>2:09.74</v>
      </c>
      <c r="N169" s="14">
        <f>IFERROR(__xludf.DUMMYFUNCTION("LET(
  gen,$A169, ev,$B169, t,$M169,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)"),647.0)</f>
        <v>647</v>
      </c>
    </row>
    <row r="170">
      <c r="A170" s="5" t="s">
        <v>14</v>
      </c>
      <c r="B170" s="6" t="s">
        <v>149</v>
      </c>
      <c r="C170" s="6">
        <v>15.0</v>
      </c>
      <c r="D170" s="6">
        <v>2.0</v>
      </c>
      <c r="E170" s="7" t="s">
        <v>152</v>
      </c>
      <c r="F170" s="8">
        <f>IFERROR(__xludf.DUMMYFUNCTION("IF(
  REGEXMATCH(E170, "":""),
  60*VALUE(INDEX(SPLIT(E170, "":""),1,1)) + VALUE(INDEX(SPLIT(E170, "":""),1,2)),
  VALUE(E170)
)"),124.11)</f>
        <v>124.11</v>
      </c>
      <c r="G170" s="8">
        <f>F168-F169</f>
        <v>3.53</v>
      </c>
      <c r="H170" s="8">
        <v>3.530000000000001</v>
      </c>
      <c r="I170" s="6">
        <f>C168</f>
        <v>14</v>
      </c>
      <c r="J170" s="6">
        <f>C185</f>
        <v>22</v>
      </c>
      <c r="K170" s="6">
        <f t="array" ref="K170">INDEX('Podium Target Times'!$C:$C, MATCH(A170&amp;B170, 'Podium Target Times'!$A:$A&amp;'Podium Target Times'!$B:$B, 0))
</f>
        <v>122.94</v>
      </c>
      <c r="L170" s="8">
        <f>L171+G171</f>
        <v>129.74</v>
      </c>
      <c r="M170" s="6" t="str">
        <f t="shared" si="1"/>
        <v>2:09.74</v>
      </c>
      <c r="N170" s="9">
        <f>IFERROR(__xludf.DUMMYFUNCTION("LET(
  gen,$A170, ev,$B170, t,$M170,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)"),647.0)</f>
        <v>647</v>
      </c>
    </row>
    <row r="171">
      <c r="A171" s="10" t="s">
        <v>14</v>
      </c>
      <c r="B171" s="11" t="s">
        <v>149</v>
      </c>
      <c r="C171" s="11">
        <v>16.0</v>
      </c>
      <c r="D171" s="11">
        <v>1.0</v>
      </c>
      <c r="E171" s="12" t="s">
        <v>153</v>
      </c>
      <c r="F171" s="13">
        <f>IFERROR(__xludf.DUMMYFUNCTION("IF(
  REGEXMATCH(E171, "":""),
  60*VALUE(INDEX(SPLIT(E171, "":""),1,1)) + VALUE(INDEX(SPLIT(E171, "":""),1,2)),
  VALUE(E171)
)"),120.67)</f>
        <v>120.67</v>
      </c>
      <c r="G171" s="13">
        <f>average(F169-F171,F170-F172)</f>
        <v>2.32</v>
      </c>
      <c r="H171" s="13">
        <v>2.3200000000000003</v>
      </c>
      <c r="I171" s="11">
        <f>C168</f>
        <v>14</v>
      </c>
      <c r="J171" s="11">
        <f>C185</f>
        <v>22</v>
      </c>
      <c r="K171" s="11">
        <f t="array" ref="K171">INDEX('Podium Target Times'!$C:$C, MATCH(A171&amp;B171, 'Podium Target Times'!$A:$A&amp;'Podium Target Times'!$B:$B, 0))
</f>
        <v>122.94</v>
      </c>
      <c r="L171" s="13">
        <f>L174+G174</f>
        <v>127.42</v>
      </c>
      <c r="M171" s="11" t="str">
        <f t="shared" si="1"/>
        <v>2:07.42</v>
      </c>
      <c r="N171" s="14">
        <f>IFERROR(__xludf.DUMMYFUNCTION("LET(
  gen,$A171, ev,$B171, t,$M171,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)"),683.0)</f>
        <v>683</v>
      </c>
    </row>
    <row r="172">
      <c r="A172" s="5" t="s">
        <v>14</v>
      </c>
      <c r="B172" s="6" t="s">
        <v>149</v>
      </c>
      <c r="C172" s="6">
        <v>16.0</v>
      </c>
      <c r="D172" s="6">
        <v>2.0</v>
      </c>
      <c r="E172" s="7" t="s">
        <v>154</v>
      </c>
      <c r="F172" s="8">
        <f>IFERROR(__xludf.DUMMYFUNCTION("IF(
  REGEXMATCH(E172, "":""),
  60*VALUE(INDEX(SPLIT(E172, "":""),1,1)) + VALUE(INDEX(SPLIT(E172, "":""),1,2)),
  VALUE(E172)
)"),121.78)</f>
        <v>121.78</v>
      </c>
      <c r="G172" s="8">
        <f>average(F169-F171,F170-F172)</f>
        <v>2.32</v>
      </c>
      <c r="H172" s="8">
        <v>2.3200000000000003</v>
      </c>
      <c r="I172" s="6">
        <f>C168</f>
        <v>14</v>
      </c>
      <c r="J172" s="6">
        <f>C185</f>
        <v>22</v>
      </c>
      <c r="K172" s="6">
        <f t="array" ref="K172">INDEX('Podium Target Times'!$C:$C, MATCH(A172&amp;B172, 'Podium Target Times'!$A:$A&amp;'Podium Target Times'!$B:$B, 0))
</f>
        <v>122.94</v>
      </c>
      <c r="L172" s="8">
        <f>L174+G174</f>
        <v>127.42</v>
      </c>
      <c r="M172" s="6" t="str">
        <f t="shared" si="1"/>
        <v>2:07.42</v>
      </c>
      <c r="N172" s="9">
        <f>IFERROR(__xludf.DUMMYFUNCTION("LET(
  gen,$A172, ev,$B172, t,$M172,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)"),683.0)</f>
        <v>683</v>
      </c>
    </row>
    <row r="173">
      <c r="A173" s="10" t="s">
        <v>14</v>
      </c>
      <c r="B173" s="11" t="s">
        <v>149</v>
      </c>
      <c r="C173" s="11">
        <v>16.0</v>
      </c>
      <c r="D173" s="11">
        <v>3.0</v>
      </c>
      <c r="E173" s="12" t="s">
        <v>155</v>
      </c>
      <c r="F173" s="13">
        <f>IFERROR(__xludf.DUMMYFUNCTION("IF(
  REGEXMATCH(E173, "":""),
  60*VALUE(INDEX(SPLIT(E173, "":""),1,1)) + VALUE(INDEX(SPLIT(E173, "":""),1,2)),
  VALUE(E173)
)"),122.25)</f>
        <v>122.25</v>
      </c>
      <c r="G173" s="13">
        <f>average(F169-F171,F170-F172)</f>
        <v>2.32</v>
      </c>
      <c r="H173" s="13">
        <v>2.3200000000000003</v>
      </c>
      <c r="I173" s="11">
        <f>C168</f>
        <v>14</v>
      </c>
      <c r="J173" s="11">
        <f>C185</f>
        <v>22</v>
      </c>
      <c r="K173" s="11">
        <f t="array" ref="K173">INDEX('Podium Target Times'!$C:$C, MATCH(A173&amp;B173, 'Podium Target Times'!$A:$A&amp;'Podium Target Times'!$B:$B, 0))
</f>
        <v>122.94</v>
      </c>
      <c r="L173" s="13">
        <f>L174+G174</f>
        <v>127.42</v>
      </c>
      <c r="M173" s="11" t="str">
        <f t="shared" si="1"/>
        <v>2:07.42</v>
      </c>
      <c r="N173" s="14">
        <f>IFERROR(__xludf.DUMMYFUNCTION("LET(
  gen,$A173, ev,$B173, t,$M173,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)"),683.0)</f>
        <v>683</v>
      </c>
    </row>
    <row r="174">
      <c r="A174" s="5" t="s">
        <v>14</v>
      </c>
      <c r="B174" s="6" t="s">
        <v>149</v>
      </c>
      <c r="C174" s="6">
        <v>17.0</v>
      </c>
      <c r="D174" s="6">
        <v>1.0</v>
      </c>
      <c r="E174" s="7" t="s">
        <v>156</v>
      </c>
      <c r="F174" s="8">
        <f>IFERROR(__xludf.DUMMYFUNCTION("IF(
  REGEXMATCH(E174, "":""),
  60*VALUE(INDEX(SPLIT(E174, "":""),1,1)) + VALUE(INDEX(SPLIT(E174, "":""),1,2)),
  VALUE(E174)
)"),119.2)</f>
        <v>119.2</v>
      </c>
      <c r="G174" s="8">
        <f>average(F171-F174,F172-F175,F173-F176)</f>
        <v>1.48</v>
      </c>
      <c r="H174" s="8">
        <v>1.4799999999999993</v>
      </c>
      <c r="I174" s="6">
        <f>C168</f>
        <v>14</v>
      </c>
      <c r="J174" s="6">
        <f>C185</f>
        <v>22</v>
      </c>
      <c r="K174" s="6">
        <f t="array" ref="K174">INDEX('Podium Target Times'!$C:$C, MATCH(A174&amp;B174, 'Podium Target Times'!$A:$A&amp;'Podium Target Times'!$B:$B, 0))
</f>
        <v>122.94</v>
      </c>
      <c r="L174" s="8">
        <f>L177+G177</f>
        <v>125.94</v>
      </c>
      <c r="M174" s="6" t="str">
        <f t="shared" si="1"/>
        <v>2:05.94</v>
      </c>
      <c r="N174" s="9">
        <f>IFERROR(__xludf.DUMMYFUNCTION("LET(
  gen,$A174, ev,$B174, t,$M174,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175">
      <c r="A175" s="10" t="s">
        <v>14</v>
      </c>
      <c r="B175" s="11" t="s">
        <v>149</v>
      </c>
      <c r="C175" s="11">
        <v>17.0</v>
      </c>
      <c r="D175" s="11">
        <v>2.0</v>
      </c>
      <c r="E175" s="12" t="s">
        <v>157</v>
      </c>
      <c r="F175" s="13">
        <f>IFERROR(__xludf.DUMMYFUNCTION("IF(
  REGEXMATCH(E175, "":""),
  60*VALUE(INDEX(SPLIT(E175, "":""),1,1)) + VALUE(INDEX(SPLIT(E175, "":""),1,2)),
  VALUE(E175)
)"),120.3)</f>
        <v>120.3</v>
      </c>
      <c r="G175" s="13">
        <f>average(F171-F174,F172-F175,F173-F176)</f>
        <v>1.48</v>
      </c>
      <c r="H175" s="13">
        <v>1.4799999999999993</v>
      </c>
      <c r="I175" s="11">
        <f>C168</f>
        <v>14</v>
      </c>
      <c r="J175" s="11">
        <f>C185</f>
        <v>22</v>
      </c>
      <c r="K175" s="11">
        <f t="array" ref="K175">INDEX('Podium Target Times'!$C:$C, MATCH(A175&amp;B175, 'Podium Target Times'!$A:$A&amp;'Podium Target Times'!$B:$B, 0))
</f>
        <v>122.94</v>
      </c>
      <c r="L175" s="13">
        <f>L177+G177</f>
        <v>125.94</v>
      </c>
      <c r="M175" s="11" t="str">
        <f t="shared" si="1"/>
        <v>2:05.94</v>
      </c>
      <c r="N175" s="14">
        <f>IFERROR(__xludf.DUMMYFUNCTION("LET(
  gen,$A175, ev,$B175, t,$M175,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176">
      <c r="A176" s="5" t="s">
        <v>14</v>
      </c>
      <c r="B176" s="6" t="s">
        <v>149</v>
      </c>
      <c r="C176" s="6">
        <v>17.0</v>
      </c>
      <c r="D176" s="6">
        <v>3.0</v>
      </c>
      <c r="E176" s="7" t="s">
        <v>158</v>
      </c>
      <c r="F176" s="8">
        <f>IFERROR(__xludf.DUMMYFUNCTION("IF(
  REGEXMATCH(E176, "":""),
  60*VALUE(INDEX(SPLIT(E176, "":""),1,1)) + VALUE(INDEX(SPLIT(E176, "":""),1,2)),
  VALUE(E176)
)"),120.76)</f>
        <v>120.76</v>
      </c>
      <c r="G176" s="8">
        <f>average(F171-F174,F172-F175,F173-F176)</f>
        <v>1.48</v>
      </c>
      <c r="H176" s="8">
        <v>1.4799999999999993</v>
      </c>
      <c r="I176" s="6">
        <f>C168</f>
        <v>14</v>
      </c>
      <c r="J176" s="6">
        <f>C185</f>
        <v>22</v>
      </c>
      <c r="K176" s="6">
        <f t="array" ref="K176">INDEX('Podium Target Times'!$C:$C, MATCH(A176&amp;B176, 'Podium Target Times'!$A:$A&amp;'Podium Target Times'!$B:$B, 0))
</f>
        <v>122.94</v>
      </c>
      <c r="L176" s="8">
        <f>L177+G177</f>
        <v>125.94</v>
      </c>
      <c r="M176" s="6" t="str">
        <f t="shared" si="1"/>
        <v>2:05.94</v>
      </c>
      <c r="N176" s="9">
        <f>IFERROR(__xludf.DUMMYFUNCTION("LET(
  gen,$A176, ev,$B176, t,$M176,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177">
      <c r="A177" s="10" t="s">
        <v>14</v>
      </c>
      <c r="B177" s="11" t="s">
        <v>149</v>
      </c>
      <c r="C177" s="11">
        <v>18.0</v>
      </c>
      <c r="D177" s="11">
        <v>1.0</v>
      </c>
      <c r="E177" s="12" t="s">
        <v>159</v>
      </c>
      <c r="F177" s="13">
        <f>IFERROR(__xludf.DUMMYFUNCTION("IF(
  REGEXMATCH(E177, "":""),
  60*VALUE(INDEX(SPLIT(E177, "":""),1,1)) + VALUE(INDEX(SPLIT(E177, "":""),1,2)),
  VALUE(E177)
)"),118.22999999999999)</f>
        <v>118.23</v>
      </c>
      <c r="G177" s="13">
        <f>average(F174-F177,F175-F178,F176-F179)</f>
        <v>0.98</v>
      </c>
      <c r="H177" s="13">
        <v>0.980000000000004</v>
      </c>
      <c r="I177" s="11">
        <f>C168</f>
        <v>14</v>
      </c>
      <c r="J177" s="11">
        <f>C185</f>
        <v>22</v>
      </c>
      <c r="K177" s="11">
        <f t="array" ref="K177">INDEX('Podium Target Times'!$C:$C, MATCH(A177&amp;B177, 'Podium Target Times'!$A:$A&amp;'Podium Target Times'!$B:$B, 0))
</f>
        <v>122.94</v>
      </c>
      <c r="L177" s="13">
        <f>L180+G180</f>
        <v>124.96</v>
      </c>
      <c r="M177" s="11" t="str">
        <f t="shared" si="1"/>
        <v>2:04.96</v>
      </c>
      <c r="N177" s="14">
        <f>IFERROR(__xludf.DUMMYFUNCTION("LET(
  gen,$A177, ev,$B177, t,$M177,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)"),724.0)</f>
        <v>724</v>
      </c>
    </row>
    <row r="178">
      <c r="A178" s="5" t="s">
        <v>14</v>
      </c>
      <c r="B178" s="6" t="s">
        <v>149</v>
      </c>
      <c r="C178" s="6">
        <v>18.0</v>
      </c>
      <c r="D178" s="6">
        <v>2.0</v>
      </c>
      <c r="E178" s="7" t="s">
        <v>160</v>
      </c>
      <c r="F178" s="8">
        <f>IFERROR(__xludf.DUMMYFUNCTION("IF(
  REGEXMATCH(E178, "":""),
  60*VALUE(INDEX(SPLIT(E178, "":""),1,1)) + VALUE(INDEX(SPLIT(E178, "":""),1,2)),
  VALUE(E178)
)"),119.32)</f>
        <v>119.32</v>
      </c>
      <c r="G178" s="8">
        <f>average(F174-F177,F175-F178,F176-F179)</f>
        <v>0.98</v>
      </c>
      <c r="H178" s="8">
        <v>0.980000000000004</v>
      </c>
      <c r="I178" s="6">
        <f>C168</f>
        <v>14</v>
      </c>
      <c r="J178" s="6">
        <f>C185</f>
        <v>22</v>
      </c>
      <c r="K178" s="6">
        <f t="array" ref="K178">INDEX('Podium Target Times'!$C:$C, MATCH(A178&amp;B178, 'Podium Target Times'!$A:$A&amp;'Podium Target Times'!$B:$B, 0))
</f>
        <v>122.94</v>
      </c>
      <c r="L178" s="8">
        <f>L180+G180</f>
        <v>124.96</v>
      </c>
      <c r="M178" s="6" t="str">
        <f t="shared" si="1"/>
        <v>2:04.96</v>
      </c>
      <c r="N178" s="9">
        <f>IFERROR(__xludf.DUMMYFUNCTION("LET(
  gen,$A178, ev,$B178, t,$M178,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)"),724.0)</f>
        <v>724</v>
      </c>
    </row>
    <row r="179">
      <c r="A179" s="10" t="s">
        <v>14</v>
      </c>
      <c r="B179" s="11" t="s">
        <v>149</v>
      </c>
      <c r="C179" s="11">
        <v>18.0</v>
      </c>
      <c r="D179" s="11">
        <v>3.0</v>
      </c>
      <c r="E179" s="12" t="s">
        <v>161</v>
      </c>
      <c r="F179" s="13">
        <f>IFERROR(__xludf.DUMMYFUNCTION("IF(
  REGEXMATCH(E179, "":""),
  60*VALUE(INDEX(SPLIT(E179, "":""),1,1)) + VALUE(INDEX(SPLIT(E179, "":""),1,2)),
  VALUE(E179)
)"),119.77000000000001)</f>
        <v>119.77</v>
      </c>
      <c r="G179" s="13">
        <f>average(F174-F177,F175-F178,F176-F179)</f>
        <v>0.98</v>
      </c>
      <c r="H179" s="13">
        <v>0.980000000000004</v>
      </c>
      <c r="I179" s="11">
        <f>C168</f>
        <v>14</v>
      </c>
      <c r="J179" s="11">
        <f>C185</f>
        <v>22</v>
      </c>
      <c r="K179" s="11">
        <f t="array" ref="K179">INDEX('Podium Target Times'!$C:$C, MATCH(A179&amp;B179, 'Podium Target Times'!$A:$A&amp;'Podium Target Times'!$B:$B, 0))
</f>
        <v>122.94</v>
      </c>
      <c r="L179" s="13">
        <f>L180+G180</f>
        <v>124.96</v>
      </c>
      <c r="M179" s="11" t="str">
        <f t="shared" si="1"/>
        <v>2:04.96</v>
      </c>
      <c r="N179" s="14">
        <f>IFERROR(__xludf.DUMMYFUNCTION("LET(
  gen,$A179, ev,$B179, t,$M179,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)"),724.0)</f>
        <v>724</v>
      </c>
    </row>
    <row r="180">
      <c r="A180" s="5" t="s">
        <v>14</v>
      </c>
      <c r="B180" s="6" t="s">
        <v>149</v>
      </c>
      <c r="C180" s="6">
        <v>19.0</v>
      </c>
      <c r="D180" s="6">
        <v>2.0</v>
      </c>
      <c r="E180" s="7" t="s">
        <v>162</v>
      </c>
      <c r="F180" s="8">
        <f>IFERROR(__xludf.DUMMYFUNCTION("IF(
  REGEXMATCH(E180, "":""),
  60*VALUE(INDEX(SPLIT(E180, "":""),1,1)) + VALUE(INDEX(SPLIT(E180, "":""),1,2)),
  VALUE(E180)
)"),118.69)</f>
        <v>118.69</v>
      </c>
      <c r="G180" s="8">
        <f>average(F178-F180,F179-F181)</f>
        <v>0.625</v>
      </c>
      <c r="H180" s="8">
        <v>0.625</v>
      </c>
      <c r="I180" s="6">
        <f>C168</f>
        <v>14</v>
      </c>
      <c r="J180" s="6">
        <f>C185</f>
        <v>22</v>
      </c>
      <c r="K180" s="6">
        <f t="array" ref="K180">INDEX('Podium Target Times'!$C:$C, MATCH(A180&amp;B180, 'Podium Target Times'!$A:$A&amp;'Podium Target Times'!$B:$B, 0))
</f>
        <v>122.94</v>
      </c>
      <c r="L180" s="8">
        <f>L182+G182</f>
        <v>124.335</v>
      </c>
      <c r="M180" s="6" t="str">
        <f t="shared" si="1"/>
        <v>2:04.34</v>
      </c>
      <c r="N180" s="9">
        <f>IFERROR(__xludf.DUMMYFUNCTION("LET(
  gen,$A180, ev,$B180, t,$M180,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)"),735.0)</f>
        <v>735</v>
      </c>
    </row>
    <row r="181">
      <c r="A181" s="10" t="s">
        <v>14</v>
      </c>
      <c r="B181" s="11" t="s">
        <v>149</v>
      </c>
      <c r="C181" s="11">
        <v>19.0</v>
      </c>
      <c r="D181" s="11">
        <v>3.0</v>
      </c>
      <c r="E181" s="12" t="s">
        <v>163</v>
      </c>
      <c r="F181" s="13">
        <f>IFERROR(__xludf.DUMMYFUNCTION("IF(
  REGEXMATCH(E181, "":""),
  60*VALUE(INDEX(SPLIT(E181, "":""),1,1)) + VALUE(INDEX(SPLIT(E181, "":""),1,2)),
  VALUE(E181)
)"),119.15)</f>
        <v>119.15</v>
      </c>
      <c r="G181" s="13">
        <f>average(F178-F180,F179-F181)</f>
        <v>0.625</v>
      </c>
      <c r="H181" s="13">
        <v>0.625</v>
      </c>
      <c r="I181" s="11">
        <f>C168</f>
        <v>14</v>
      </c>
      <c r="J181" s="11">
        <f>C185</f>
        <v>22</v>
      </c>
      <c r="K181" s="11">
        <f t="array" ref="K181">INDEX('Podium Target Times'!$C:$C, MATCH(A181&amp;B181, 'Podium Target Times'!$A:$A&amp;'Podium Target Times'!$B:$B, 0))
</f>
        <v>122.94</v>
      </c>
      <c r="L181" s="13">
        <f>L182+G182</f>
        <v>124.335</v>
      </c>
      <c r="M181" s="11" t="str">
        <f t="shared" si="1"/>
        <v>2:04.34</v>
      </c>
      <c r="N181" s="14">
        <f>IFERROR(__xludf.DUMMYFUNCTION("LET(
  gen,$A181, ev,$B181, t,$M181,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)"),735.0)</f>
        <v>735</v>
      </c>
    </row>
    <row r="182">
      <c r="A182" s="5" t="s">
        <v>14</v>
      </c>
      <c r="B182" s="6" t="s">
        <v>149</v>
      </c>
      <c r="C182" s="6">
        <v>20.0</v>
      </c>
      <c r="D182" s="6">
        <v>2.0</v>
      </c>
      <c r="E182" s="7" t="s">
        <v>159</v>
      </c>
      <c r="F182" s="8">
        <f>IFERROR(__xludf.DUMMYFUNCTION("IF(
  REGEXMATCH(E182, "":""),
  60*VALUE(INDEX(SPLIT(E182, "":""),1,1)) + VALUE(INDEX(SPLIT(E182, "":""),1,2)),
  VALUE(E182)
)"),118.22999999999999)</f>
        <v>118.23</v>
      </c>
      <c r="G182" s="8">
        <f>average(F180-F182,F181-F183)</f>
        <v>0.465</v>
      </c>
      <c r="H182" s="8">
        <v>0.4650000000000034</v>
      </c>
      <c r="I182" s="6">
        <f>C168</f>
        <v>14</v>
      </c>
      <c r="J182" s="6">
        <f>C185</f>
        <v>22</v>
      </c>
      <c r="K182" s="6">
        <f t="array" ref="K182">INDEX('Podium Target Times'!$C:$C, MATCH(A182&amp;B182, 'Podium Target Times'!$A:$A&amp;'Podium Target Times'!$B:$B, 0))
</f>
        <v>122.94</v>
      </c>
      <c r="L182" s="8">
        <f>L184+G184</f>
        <v>123.87</v>
      </c>
      <c r="M182" s="6" t="str">
        <f t="shared" si="1"/>
        <v>2:03.87</v>
      </c>
      <c r="N182" s="9">
        <f>IFERROR(__xludf.DUMMYFUNCTION("LET(
  gen,$A182, ev,$B182, t,$M182,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)"),743.0)</f>
        <v>743</v>
      </c>
    </row>
    <row r="183">
      <c r="A183" s="10" t="s">
        <v>14</v>
      </c>
      <c r="B183" s="11" t="s">
        <v>149</v>
      </c>
      <c r="C183" s="11">
        <v>20.0</v>
      </c>
      <c r="D183" s="11">
        <v>3.0</v>
      </c>
      <c r="E183" s="12" t="s">
        <v>164</v>
      </c>
      <c r="F183" s="13">
        <f>IFERROR(__xludf.DUMMYFUNCTION("IF(
  REGEXMATCH(E183, "":""),
  60*VALUE(INDEX(SPLIT(E183, "":""),1,1)) + VALUE(INDEX(SPLIT(E183, "":""),1,2)),
  VALUE(E183)
)"),118.68)</f>
        <v>118.68</v>
      </c>
      <c r="G183" s="13">
        <f>average(F180-F182,F181-F183)</f>
        <v>0.465</v>
      </c>
      <c r="H183" s="13">
        <v>0.4650000000000034</v>
      </c>
      <c r="I183" s="11">
        <f>C168</f>
        <v>14</v>
      </c>
      <c r="J183" s="11">
        <f>C185</f>
        <v>22</v>
      </c>
      <c r="K183" s="11">
        <f t="array" ref="K183">INDEX('Podium Target Times'!$C:$C, MATCH(A183&amp;B183, 'Podium Target Times'!$A:$A&amp;'Podium Target Times'!$B:$B, 0))
</f>
        <v>122.94</v>
      </c>
      <c r="L183" s="13">
        <f t="shared" ref="L183:L184" si="20">L184+G184</f>
        <v>123.87</v>
      </c>
      <c r="M183" s="11" t="str">
        <f t="shared" si="1"/>
        <v>2:03.87</v>
      </c>
      <c r="N183" s="14">
        <f>IFERROR(__xludf.DUMMYFUNCTION("LET(
  gen,$A183, ev,$B183, t,$M183,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)"),743.0)</f>
        <v>743</v>
      </c>
    </row>
    <row r="184">
      <c r="A184" s="5" t="s">
        <v>14</v>
      </c>
      <c r="B184" s="6" t="s">
        <v>149</v>
      </c>
      <c r="C184" s="6">
        <v>21.0</v>
      </c>
      <c r="D184" s="6">
        <v>3.0</v>
      </c>
      <c r="E184" s="7" t="s">
        <v>165</v>
      </c>
      <c r="F184" s="8">
        <f>IFERROR(__xludf.DUMMYFUNCTION("IF(
  REGEXMATCH(E184, "":""),
  60*VALUE(INDEX(SPLIT(E184, "":""),1,1)) + VALUE(INDEX(SPLIT(E184, "":""),1,2)),
  VALUE(E184)
)"),118.39)</f>
        <v>118.39</v>
      </c>
      <c r="G184" s="8">
        <f t="shared" ref="G184:G185" si="21">F183-F184</f>
        <v>0.29</v>
      </c>
      <c r="H184" s="8">
        <v>0.29000000000000625</v>
      </c>
      <c r="I184" s="6">
        <f>C168</f>
        <v>14</v>
      </c>
      <c r="J184" s="6">
        <f>C185</f>
        <v>22</v>
      </c>
      <c r="K184" s="6">
        <f t="array" ref="K184">INDEX('Podium Target Times'!$C:$C, MATCH(A184&amp;B184, 'Podium Target Times'!$A:$A&amp;'Podium Target Times'!$B:$B, 0))
</f>
        <v>122.94</v>
      </c>
      <c r="L184" s="8">
        <f t="shared" si="20"/>
        <v>123.58</v>
      </c>
      <c r="M184" s="6" t="str">
        <f t="shared" si="1"/>
        <v>2:03.58</v>
      </c>
      <c r="N184" s="9">
        <f>IFERROR(__xludf.DUMMYFUNCTION("LET(
  gen,$A184, ev,$B184, t,$M184,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185">
      <c r="A185" s="10" t="s">
        <v>14</v>
      </c>
      <c r="B185" s="11" t="s">
        <v>149</v>
      </c>
      <c r="C185" s="11">
        <v>22.0</v>
      </c>
      <c r="D185" s="11">
        <v>3.0</v>
      </c>
      <c r="E185" s="12" t="s">
        <v>159</v>
      </c>
      <c r="F185" s="13">
        <f>IFERROR(__xludf.DUMMYFUNCTION("IF(
  REGEXMATCH(E185, "":""),
  60*VALUE(INDEX(SPLIT(E185, "":""),1,1)) + VALUE(INDEX(SPLIT(E185, "":""),1,2)),
  VALUE(E185)
)"),118.22999999999999)</f>
        <v>118.23</v>
      </c>
      <c r="G185" s="13">
        <f t="shared" si="21"/>
        <v>0.16</v>
      </c>
      <c r="H185" s="13">
        <v>0.1600000000000108</v>
      </c>
      <c r="I185" s="11">
        <f>C168</f>
        <v>14</v>
      </c>
      <c r="J185" s="11">
        <f>C185</f>
        <v>22</v>
      </c>
      <c r="K185" s="11">
        <f t="array" ref="K185">INDEX('Podium Target Times'!$C:$C, MATCH(A185&amp;B185, 'Podium Target Times'!$A:$A&amp;'Podium Target Times'!$B:$B, 0))
</f>
        <v>122.94</v>
      </c>
      <c r="L185" s="13">
        <f>G185+L186</f>
        <v>123.42</v>
      </c>
      <c r="M185" s="11" t="str">
        <f t="shared" si="1"/>
        <v>2:03.42</v>
      </c>
      <c r="N185" s="14">
        <f>IFERROR(__xludf.DUMMYFUNCTION("LET(
  gen,$A185, ev,$B185, t,$M185,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)"),751.0)</f>
        <v>751</v>
      </c>
    </row>
    <row r="186">
      <c r="A186" s="5" t="s">
        <v>14</v>
      </c>
      <c r="B186" s="6" t="s">
        <v>149</v>
      </c>
      <c r="C186" s="6">
        <v>23.0</v>
      </c>
      <c r="D186" s="6"/>
      <c r="E186" s="7"/>
      <c r="F186" s="8">
        <f>IFERROR(__xludf.DUMMYFUNCTION("IF(
  REGEXMATCH(E186, "":""),
  60*VALUE(INDEX(SPLIT(E186, "":""),1,1)) + VALUE(INDEX(SPLIT(E186, "":""),1,2)),
  VALUE(E186)
)"),0.0)</f>
        <v>0</v>
      </c>
      <c r="G186" s="8"/>
      <c r="H186" s="8"/>
      <c r="I186" s="6">
        <f>C168</f>
        <v>14</v>
      </c>
      <c r="J186" s="6">
        <f>C185</f>
        <v>22</v>
      </c>
      <c r="K186" s="6">
        <f t="array" ref="K186">INDEX('Podium Target Times'!$C:$C, MATCH(A186&amp;B186, 'Podium Target Times'!$A:$A&amp;'Podium Target Times'!$B:$B, 0))
</f>
        <v>122.94</v>
      </c>
      <c r="L186" s="8">
        <f>G185+L187</f>
        <v>123.26</v>
      </c>
      <c r="M186" s="6" t="str">
        <f t="shared" si="1"/>
        <v>2:03.26</v>
      </c>
      <c r="N186" s="9">
        <f>IFERROR(__xludf.DUMMYFUNCTION("LET(
  gen,$A186, ev,$B186, t,$M186,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)"),754.0)</f>
        <v>754</v>
      </c>
    </row>
    <row r="187">
      <c r="A187" s="10" t="s">
        <v>14</v>
      </c>
      <c r="B187" s="11" t="s">
        <v>149</v>
      </c>
      <c r="C187" s="11">
        <v>24.0</v>
      </c>
      <c r="D187" s="11"/>
      <c r="E187" s="12"/>
      <c r="F187" s="13">
        <f>IFERROR(__xludf.DUMMYFUNCTION("IF(
  REGEXMATCH(E187, "":""),
  60*VALUE(INDEX(SPLIT(E187, "":""),1,1)) + VALUE(INDEX(SPLIT(E187, "":""),1,2)),
  VALUE(E187)
)"),0.0)</f>
        <v>0</v>
      </c>
      <c r="G187" s="13"/>
      <c r="H187" s="13"/>
      <c r="I187" s="11">
        <f>C168</f>
        <v>14</v>
      </c>
      <c r="J187" s="11">
        <f>C185</f>
        <v>22</v>
      </c>
      <c r="K187" s="11">
        <f t="array" ref="K187">INDEX('Podium Target Times'!$C:$C, MATCH(A187&amp;B187, 'Podium Target Times'!$A:$A&amp;'Podium Target Times'!$B:$B, 0))
</f>
        <v>122.94</v>
      </c>
      <c r="L187" s="13">
        <f>G185+L188</f>
        <v>123.1</v>
      </c>
      <c r="M187" s="11" t="str">
        <f t="shared" si="1"/>
        <v>2:03.10</v>
      </c>
      <c r="N187" s="14">
        <f>IFERROR(__xludf.DUMMYFUNCTION("LET(
  gen,$A187, ev,$B187, t,$M187,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188">
      <c r="A188" s="5" t="s">
        <v>14</v>
      </c>
      <c r="B188" s="6" t="s">
        <v>149</v>
      </c>
      <c r="C188" s="6">
        <v>25.0</v>
      </c>
      <c r="D188" s="6"/>
      <c r="E188" s="7"/>
      <c r="F188" s="8">
        <f>IFERROR(__xludf.DUMMYFUNCTION("IF(
  REGEXMATCH(E188, "":""),
  60*VALUE(INDEX(SPLIT(E188, "":""),1,1)) + VALUE(INDEX(SPLIT(E188, "":""),1,2)),
  VALUE(E188)
)"),0.0)</f>
        <v>0</v>
      </c>
      <c r="G188" s="8"/>
      <c r="H188" s="8"/>
      <c r="I188" s="6">
        <f>C168</f>
        <v>14</v>
      </c>
      <c r="J188" s="6">
        <f>C185</f>
        <v>22</v>
      </c>
      <c r="K188" s="6">
        <f t="array" ref="K188">INDEX('Podium Target Times'!$C:$C, MATCH(A188&amp;B188, 'Podium Target Times'!$A:$A&amp;'Podium Target Times'!$B:$B, 0))
</f>
        <v>122.94</v>
      </c>
      <c r="L188" s="6">
        <f>K188</f>
        <v>122.94</v>
      </c>
      <c r="M188" s="6" t="str">
        <f t="shared" si="1"/>
        <v>2:02.94</v>
      </c>
      <c r="N188" s="9">
        <f>IFERROR(__xludf.DUMMYFUNCTION("LET(
  gen,$A188, ev,$B188, t,$M188,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189">
      <c r="A189" s="10" t="s">
        <v>14</v>
      </c>
      <c r="B189" s="11" t="s">
        <v>166</v>
      </c>
      <c r="C189" s="11">
        <v>15.0</v>
      </c>
      <c r="D189" s="11">
        <v>1.0</v>
      </c>
      <c r="E189" s="12" t="s">
        <v>167</v>
      </c>
      <c r="F189" s="13">
        <f>IFERROR(__xludf.DUMMYFUNCTION("IF(
  REGEXMATCH(E189, "":""),
  60*VALUE(INDEX(SPLIT(E189, "":""),1,1)) + VALUE(INDEX(SPLIT(E189, "":""),1,2)),
  VALUE(E189)
)"),138.51)</f>
        <v>138.51</v>
      </c>
      <c r="G189" s="13">
        <v>0.0</v>
      </c>
      <c r="H189" s="13">
        <v>0.0</v>
      </c>
      <c r="I189" s="11">
        <f>C189</f>
        <v>15</v>
      </c>
      <c r="J189" s="11">
        <f>C206</f>
        <v>23</v>
      </c>
      <c r="K189" s="11">
        <f t="array" ref="K189">INDEX('Podium Target Times'!$C:$C, MATCH(A189&amp;B189, 'Podium Target Times'!$A:$A&amp;'Podium Target Times'!$B:$B, 0))
</f>
        <v>136.39</v>
      </c>
      <c r="L189" s="13">
        <f>L190+G190</f>
        <v>143.41</v>
      </c>
      <c r="M189" s="11" t="str">
        <f t="shared" si="1"/>
        <v>2:23.41</v>
      </c>
      <c r="N189" s="14">
        <f>IFERROR(__xludf.DUMMYFUNCTION("LET(
  gen,$A189, ev,$B189, t,$M189,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)"),680.0)</f>
        <v>680</v>
      </c>
    </row>
    <row r="190">
      <c r="A190" s="5" t="s">
        <v>14</v>
      </c>
      <c r="B190" s="6" t="s">
        <v>166</v>
      </c>
      <c r="C190" s="6">
        <v>16.0</v>
      </c>
      <c r="D190" s="6">
        <v>1.0</v>
      </c>
      <c r="E190" s="7" t="s">
        <v>168</v>
      </c>
      <c r="F190" s="8">
        <f>IFERROR(__xludf.DUMMYFUNCTION("IF(
  REGEXMATCH(E190, "":""),
  60*VALUE(INDEX(SPLIT(E190, "":""),1,1)) + VALUE(INDEX(SPLIT(E190, "":""),1,2)),
  VALUE(E190)
)"),135.93)</f>
        <v>135.93</v>
      </c>
      <c r="G190" s="8">
        <f>F189-F190</f>
        <v>2.58</v>
      </c>
      <c r="H190" s="8">
        <v>2.579999999999984</v>
      </c>
      <c r="I190" s="6">
        <f>C189</f>
        <v>15</v>
      </c>
      <c r="J190" s="6">
        <f>C206</f>
        <v>23</v>
      </c>
      <c r="K190" s="6">
        <f t="array" ref="K190">INDEX('Podium Target Times'!$C:$C, MATCH(A190&amp;B190, 'Podium Target Times'!$A:$A&amp;'Podium Target Times'!$B:$B, 0))
</f>
        <v>136.39</v>
      </c>
      <c r="L190" s="8">
        <f>L192+G192</f>
        <v>140.83</v>
      </c>
      <c r="M190" s="6" t="str">
        <f t="shared" si="1"/>
        <v>2:20.83</v>
      </c>
      <c r="N190" s="9">
        <f>IFERROR(__xludf.DUMMYFUNCTION("LET(
  gen,$A190, ev,$B190, t,$M190,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191">
      <c r="A191" s="10" t="s">
        <v>14</v>
      </c>
      <c r="B191" s="11" t="s">
        <v>166</v>
      </c>
      <c r="C191" s="11">
        <v>16.0</v>
      </c>
      <c r="D191" s="11">
        <v>2.0</v>
      </c>
      <c r="E191" s="12" t="s">
        <v>169</v>
      </c>
      <c r="F191" s="13">
        <f>IFERROR(__xludf.DUMMYFUNCTION("IF(
  REGEXMATCH(E191, "":""),
  60*VALUE(INDEX(SPLIT(E191, "":""),1,1)) + VALUE(INDEX(SPLIT(E191, "":""),1,2)),
  VALUE(E191)
)"),136.89)</f>
        <v>136.89</v>
      </c>
      <c r="G191" s="13">
        <f>F189-F190</f>
        <v>2.58</v>
      </c>
      <c r="H191" s="13">
        <v>2.579999999999984</v>
      </c>
      <c r="I191" s="11">
        <f>C189</f>
        <v>15</v>
      </c>
      <c r="J191" s="11">
        <f>C206</f>
        <v>23</v>
      </c>
      <c r="K191" s="11">
        <f t="array" ref="K191">INDEX('Podium Target Times'!$C:$C, MATCH(A191&amp;B191, 'Podium Target Times'!$A:$A&amp;'Podium Target Times'!$B:$B, 0))
</f>
        <v>136.39</v>
      </c>
      <c r="L191" s="13">
        <f>L192+G192</f>
        <v>140.83</v>
      </c>
      <c r="M191" s="11" t="str">
        <f t="shared" si="1"/>
        <v>2:20.83</v>
      </c>
      <c r="N191" s="14">
        <f>IFERROR(__xludf.DUMMYFUNCTION("LET(
  gen,$A191, ev,$B191, t,$M191,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192">
      <c r="A192" s="5" t="s">
        <v>14</v>
      </c>
      <c r="B192" s="6" t="s">
        <v>166</v>
      </c>
      <c r="C192" s="6">
        <v>17.0</v>
      </c>
      <c r="D192" s="6">
        <v>1.0</v>
      </c>
      <c r="E192" s="7" t="s">
        <v>170</v>
      </c>
      <c r="F192" s="8">
        <f>IFERROR(__xludf.DUMMYFUNCTION("IF(
  REGEXMATCH(E192, "":""),
  60*VALUE(INDEX(SPLIT(E192, "":""),1,1)) + VALUE(INDEX(SPLIT(E192, "":""),1,2)),
  VALUE(E192)
)"),134.41)</f>
        <v>134.41</v>
      </c>
      <c r="G192" s="8">
        <f>average(F190-F192,F191-F193)</f>
        <v>1.525</v>
      </c>
      <c r="H192" s="8">
        <v>1.5249999999999915</v>
      </c>
      <c r="I192" s="6">
        <f>C189</f>
        <v>15</v>
      </c>
      <c r="J192" s="6">
        <f>C206</f>
        <v>23</v>
      </c>
      <c r="K192" s="6">
        <f t="array" ref="K192">INDEX('Podium Target Times'!$C:$C, MATCH(A192&amp;B192, 'Podium Target Times'!$A:$A&amp;'Podium Target Times'!$B:$B, 0))
</f>
        <v>136.39</v>
      </c>
      <c r="L192" s="8">
        <f>L195+G195</f>
        <v>139.305</v>
      </c>
      <c r="M192" s="6" t="str">
        <f t="shared" si="1"/>
        <v>2:19.31</v>
      </c>
      <c r="N192" s="9">
        <f>IFERROR(__xludf.DUMMYFUNCTION("LET(
  gen,$A192, ev,$B192, t,$M192,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)"),742.0)</f>
        <v>742</v>
      </c>
    </row>
    <row r="193">
      <c r="A193" s="10" t="s">
        <v>14</v>
      </c>
      <c r="B193" s="11" t="s">
        <v>166</v>
      </c>
      <c r="C193" s="11">
        <v>17.0</v>
      </c>
      <c r="D193" s="11">
        <v>2.0</v>
      </c>
      <c r="E193" s="12" t="s">
        <v>171</v>
      </c>
      <c r="F193" s="13">
        <f>IFERROR(__xludf.DUMMYFUNCTION("IF(
  REGEXMATCH(E193, "":""),
  60*VALUE(INDEX(SPLIT(E193, "":""),1,1)) + VALUE(INDEX(SPLIT(E193, "":""),1,2)),
  VALUE(E193)
)"),135.36)</f>
        <v>135.36</v>
      </c>
      <c r="G193" s="13">
        <f>average(F190-F192,F191-F193)</f>
        <v>1.525</v>
      </c>
      <c r="H193" s="13">
        <v>1.5249999999999915</v>
      </c>
      <c r="I193" s="11">
        <f>C189</f>
        <v>15</v>
      </c>
      <c r="J193" s="11">
        <f>C206</f>
        <v>23</v>
      </c>
      <c r="K193" s="11">
        <f t="array" ref="K193">INDEX('Podium Target Times'!$C:$C, MATCH(A193&amp;B193, 'Podium Target Times'!$A:$A&amp;'Podium Target Times'!$B:$B, 0))
</f>
        <v>136.39</v>
      </c>
      <c r="L193" s="13">
        <f>L195+G195</f>
        <v>139.305</v>
      </c>
      <c r="M193" s="11" t="str">
        <f t="shared" si="1"/>
        <v>2:19.31</v>
      </c>
      <c r="N193" s="14">
        <f>IFERROR(__xludf.DUMMYFUNCTION("LET(
  gen,$A193, ev,$B193, t,$M193,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)"),742.0)</f>
        <v>742</v>
      </c>
    </row>
    <row r="194">
      <c r="A194" s="5" t="s">
        <v>14</v>
      </c>
      <c r="B194" s="6" t="s">
        <v>166</v>
      </c>
      <c r="C194" s="6">
        <v>17.0</v>
      </c>
      <c r="D194" s="6">
        <v>3.0</v>
      </c>
      <c r="E194" s="7" t="s">
        <v>172</v>
      </c>
      <c r="F194" s="8">
        <f>IFERROR(__xludf.DUMMYFUNCTION("IF(
  REGEXMATCH(E194, "":""),
  60*VALUE(INDEX(SPLIT(E194, "":""),1,1)) + VALUE(INDEX(SPLIT(E194, "":""),1,2)),
  VALUE(E194)
)"),135.76)</f>
        <v>135.76</v>
      </c>
      <c r="G194" s="8">
        <f>average(F190-F192,F191-F193)</f>
        <v>1.525</v>
      </c>
      <c r="H194" s="8">
        <v>1.5249999999999915</v>
      </c>
      <c r="I194" s="6">
        <f>C189</f>
        <v>15</v>
      </c>
      <c r="J194" s="6">
        <f>C206</f>
        <v>23</v>
      </c>
      <c r="K194" s="6">
        <f t="array" ref="K194">INDEX('Podium Target Times'!$C:$C, MATCH(A194&amp;B194, 'Podium Target Times'!$A:$A&amp;'Podium Target Times'!$B:$B, 0))
</f>
        <v>136.39</v>
      </c>
      <c r="L194" s="8">
        <f>L195+G195</f>
        <v>139.305</v>
      </c>
      <c r="M194" s="6" t="str">
        <f t="shared" si="1"/>
        <v>2:19.31</v>
      </c>
      <c r="N194" s="9">
        <f>IFERROR(__xludf.DUMMYFUNCTION("LET(
  gen,$A194, ev,$B194, t,$M194,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)"),742.0)</f>
        <v>742</v>
      </c>
    </row>
    <row r="195">
      <c r="A195" s="10" t="s">
        <v>14</v>
      </c>
      <c r="B195" s="11" t="s">
        <v>166</v>
      </c>
      <c r="C195" s="11">
        <v>18.0</v>
      </c>
      <c r="D195" s="11">
        <v>1.0</v>
      </c>
      <c r="E195" s="12" t="s">
        <v>173</v>
      </c>
      <c r="F195" s="13">
        <f>IFERROR(__xludf.DUMMYFUNCTION("IF(
  REGEXMATCH(E195, "":""),
  60*VALUE(INDEX(SPLIT(E195, "":""),1,1)) + VALUE(INDEX(SPLIT(E195, "":""),1,2)),
  VALUE(E195)
)"),133.47)</f>
        <v>133.47</v>
      </c>
      <c r="G195" s="13">
        <f>average(F192-F195,F193-F196,F194-F197)</f>
        <v>0.94</v>
      </c>
      <c r="H195" s="13">
        <v>0.9400000000000072</v>
      </c>
      <c r="I195" s="11">
        <f>C189</f>
        <v>15</v>
      </c>
      <c r="J195" s="11">
        <f>C206</f>
        <v>23</v>
      </c>
      <c r="K195" s="11">
        <f t="array" ref="K195">INDEX('Podium Target Times'!$C:$C, MATCH(A195&amp;B195, 'Podium Target Times'!$A:$A&amp;'Podium Target Times'!$B:$B, 0))
</f>
        <v>136.39</v>
      </c>
      <c r="L195" s="13">
        <f>L198+G198</f>
        <v>138.365</v>
      </c>
      <c r="M195" s="11" t="str">
        <f t="shared" si="1"/>
        <v>2:18.37</v>
      </c>
      <c r="N195" s="14">
        <f>IFERROR(__xludf.DUMMYFUNCTION("LET(
  gen,$A195, ev,$B195, t,$M195,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196">
      <c r="A196" s="5" t="s">
        <v>14</v>
      </c>
      <c r="B196" s="6" t="s">
        <v>166</v>
      </c>
      <c r="C196" s="6">
        <v>18.0</v>
      </c>
      <c r="D196" s="6">
        <v>2.0</v>
      </c>
      <c r="E196" s="7" t="s">
        <v>174</v>
      </c>
      <c r="F196" s="8">
        <f>IFERROR(__xludf.DUMMYFUNCTION("IF(
  REGEXMATCH(E196, "":""),
  60*VALUE(INDEX(SPLIT(E196, "":""),1,1)) + VALUE(INDEX(SPLIT(E196, "":""),1,2)),
  VALUE(E196)
)"),134.42)</f>
        <v>134.42</v>
      </c>
      <c r="G196" s="8">
        <f>average(F192-F195,F193-F196,F194-F197)</f>
        <v>0.94</v>
      </c>
      <c r="H196" s="8">
        <v>0.9400000000000072</v>
      </c>
      <c r="I196" s="6">
        <f>C189</f>
        <v>15</v>
      </c>
      <c r="J196" s="6">
        <f>C206</f>
        <v>23</v>
      </c>
      <c r="K196" s="6">
        <f t="array" ref="K196">INDEX('Podium Target Times'!$C:$C, MATCH(A196&amp;B196, 'Podium Target Times'!$A:$A&amp;'Podium Target Times'!$B:$B, 0))
</f>
        <v>136.39</v>
      </c>
      <c r="L196" s="8">
        <f>L198+G198</f>
        <v>138.365</v>
      </c>
      <c r="M196" s="6" t="str">
        <f t="shared" si="1"/>
        <v>2:18.37</v>
      </c>
      <c r="N196" s="9">
        <f>IFERROR(__xludf.DUMMYFUNCTION("LET(
  gen,$A196, ev,$B196, t,$M196,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197">
      <c r="A197" s="10" t="s">
        <v>14</v>
      </c>
      <c r="B197" s="11" t="s">
        <v>166</v>
      </c>
      <c r="C197" s="11">
        <v>18.0</v>
      </c>
      <c r="D197" s="11">
        <v>3.0</v>
      </c>
      <c r="E197" s="12" t="s">
        <v>175</v>
      </c>
      <c r="F197" s="13">
        <f>IFERROR(__xludf.DUMMYFUNCTION("IF(
  REGEXMATCH(E197, "":""),
  60*VALUE(INDEX(SPLIT(E197, "":""),1,1)) + VALUE(INDEX(SPLIT(E197, "":""),1,2)),
  VALUE(E197)
)"),134.82)</f>
        <v>134.82</v>
      </c>
      <c r="G197" s="13">
        <f>average(F192-F195,F193-F196,F194-F197)</f>
        <v>0.94</v>
      </c>
      <c r="H197" s="13">
        <v>0.9400000000000072</v>
      </c>
      <c r="I197" s="11">
        <f>C189</f>
        <v>15</v>
      </c>
      <c r="J197" s="11">
        <f>C206</f>
        <v>23</v>
      </c>
      <c r="K197" s="11">
        <f t="array" ref="K197">INDEX('Podium Target Times'!$C:$C, MATCH(A197&amp;B197, 'Podium Target Times'!$A:$A&amp;'Podium Target Times'!$B:$B, 0))
</f>
        <v>136.39</v>
      </c>
      <c r="L197" s="13">
        <f>L198+G198</f>
        <v>138.365</v>
      </c>
      <c r="M197" s="11" t="str">
        <f t="shared" si="1"/>
        <v>2:18.37</v>
      </c>
      <c r="N197" s="14">
        <f>IFERROR(__xludf.DUMMYFUNCTION("LET(
  gen,$A197, ev,$B197, t,$M197,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198">
      <c r="A198" s="5" t="s">
        <v>14</v>
      </c>
      <c r="B198" s="6" t="s">
        <v>166</v>
      </c>
      <c r="C198" s="6">
        <v>19.0</v>
      </c>
      <c r="D198" s="6">
        <v>1.0</v>
      </c>
      <c r="E198" s="7" t="s">
        <v>138</v>
      </c>
      <c r="F198" s="8">
        <f>IFERROR(__xludf.DUMMYFUNCTION("IF(
  REGEXMATCH(E198, "":""),
  60*VALUE(INDEX(SPLIT(E198, "":""),1,1)) + VALUE(INDEX(SPLIT(E198, "":""),1,2)),
  VALUE(E198)
)"),133.77)</f>
        <v>133.77</v>
      </c>
      <c r="G198" s="8">
        <f>average(F195-F198,F196-F199,F197-F200)</f>
        <v>0.2</v>
      </c>
      <c r="H198" s="8">
        <v>0.1999999999999981</v>
      </c>
      <c r="I198" s="6">
        <f>C189</f>
        <v>15</v>
      </c>
      <c r="J198" s="6">
        <f>C206</f>
        <v>23</v>
      </c>
      <c r="K198" s="6">
        <f t="array" ref="K198">INDEX('Podium Target Times'!$C:$C, MATCH(A198&amp;B198, 'Podium Target Times'!$A:$A&amp;'Podium Target Times'!$B:$B, 0))
</f>
        <v>136.39</v>
      </c>
      <c r="L198" s="8">
        <f>L201+G201</f>
        <v>138.165</v>
      </c>
      <c r="M198" s="6" t="str">
        <f t="shared" si="1"/>
        <v>2:18.17</v>
      </c>
      <c r="N198" s="9">
        <f>IFERROR(__xludf.DUMMYFUNCTION("LET(
  gen,$A198, ev,$B198, t,$M198,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199">
      <c r="A199" s="10" t="s">
        <v>14</v>
      </c>
      <c r="B199" s="11" t="s">
        <v>166</v>
      </c>
      <c r="C199" s="11">
        <v>19.0</v>
      </c>
      <c r="D199" s="11">
        <v>2.0</v>
      </c>
      <c r="E199" s="12" t="s">
        <v>176</v>
      </c>
      <c r="F199" s="13">
        <f>IFERROR(__xludf.DUMMYFUNCTION("IF(
  REGEXMATCH(E199, "":""),
  60*VALUE(INDEX(SPLIT(E199, "":""),1,1)) + VALUE(INDEX(SPLIT(E199, "":""),1,2)),
  VALUE(E199)
)"),134.17)</f>
        <v>134.17</v>
      </c>
      <c r="G199" s="13">
        <f>average(F195-F198,F196-F199,F197-F200)</f>
        <v>0.2</v>
      </c>
      <c r="H199" s="13">
        <v>0.1999999999999981</v>
      </c>
      <c r="I199" s="11">
        <f>C189</f>
        <v>15</v>
      </c>
      <c r="J199" s="11">
        <f>C206</f>
        <v>23</v>
      </c>
      <c r="K199" s="11">
        <f t="array" ref="K199">INDEX('Podium Target Times'!$C:$C, MATCH(A199&amp;B199, 'Podium Target Times'!$A:$A&amp;'Podium Target Times'!$B:$B, 0))
</f>
        <v>136.39</v>
      </c>
      <c r="L199" s="13">
        <f>L201+G201</f>
        <v>138.165</v>
      </c>
      <c r="M199" s="11" t="str">
        <f t="shared" si="1"/>
        <v>2:18.17</v>
      </c>
      <c r="N199" s="14">
        <f>IFERROR(__xludf.DUMMYFUNCTION("LET(
  gen,$A199, ev,$B199, t,$M199,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00">
      <c r="A200" s="5" t="s">
        <v>14</v>
      </c>
      <c r="B200" s="6" t="s">
        <v>166</v>
      </c>
      <c r="C200" s="6">
        <v>19.0</v>
      </c>
      <c r="D200" s="6">
        <v>3.0</v>
      </c>
      <c r="E200" s="7" t="s">
        <v>176</v>
      </c>
      <c r="F200" s="8">
        <f>IFERROR(__xludf.DUMMYFUNCTION("IF(
  REGEXMATCH(E200, "":""),
  60*VALUE(INDEX(SPLIT(E200, "":""),1,1)) + VALUE(INDEX(SPLIT(E200, "":""),1,2)),
  VALUE(E200)
)"),134.17)</f>
        <v>134.17</v>
      </c>
      <c r="G200" s="8">
        <f>average(F195-F198,F196-F199,F197-F200)</f>
        <v>0.2</v>
      </c>
      <c r="H200" s="8">
        <v>0.1999999999999981</v>
      </c>
      <c r="I200" s="6">
        <f>C189</f>
        <v>15</v>
      </c>
      <c r="J200" s="6">
        <f>C206</f>
        <v>23</v>
      </c>
      <c r="K200" s="6">
        <f t="array" ref="K200">INDEX('Podium Target Times'!$C:$C, MATCH(A200&amp;B200, 'Podium Target Times'!$A:$A&amp;'Podium Target Times'!$B:$B, 0))
</f>
        <v>136.39</v>
      </c>
      <c r="L200" s="8">
        <f>L201+G201</f>
        <v>138.165</v>
      </c>
      <c r="M200" s="6" t="str">
        <f t="shared" si="1"/>
        <v>2:18.17</v>
      </c>
      <c r="N200" s="9">
        <f>IFERROR(__xludf.DUMMYFUNCTION("LET(
  gen,$A200, ev,$B200, t,$M200,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01">
      <c r="A201" s="10" t="s">
        <v>14</v>
      </c>
      <c r="B201" s="11" t="s">
        <v>166</v>
      </c>
      <c r="C201" s="11">
        <v>20.0</v>
      </c>
      <c r="D201" s="11">
        <v>2.0</v>
      </c>
      <c r="E201" s="12" t="s">
        <v>177</v>
      </c>
      <c r="F201" s="13">
        <f>IFERROR(__xludf.DUMMYFUNCTION("IF(
  REGEXMATCH(E201, "":""),
  60*VALUE(INDEX(SPLIT(E201, "":""),1,1)) + VALUE(INDEX(SPLIT(E201, "":""),1,2)),
  VALUE(E201)
)"),133.25)</f>
        <v>133.25</v>
      </c>
      <c r="G201" s="13">
        <f>average(F199-F201,F200-F202)</f>
        <v>0.72</v>
      </c>
      <c r="H201" s="13">
        <v>0.7199999999999847</v>
      </c>
      <c r="I201" s="11">
        <f>C189</f>
        <v>15</v>
      </c>
      <c r="J201" s="11">
        <f>C206</f>
        <v>23</v>
      </c>
      <c r="K201" s="11">
        <f t="array" ref="K201">INDEX('Podium Target Times'!$C:$C, MATCH(A201&amp;B201, 'Podium Target Times'!$A:$A&amp;'Podium Target Times'!$B:$B, 0))
</f>
        <v>136.39</v>
      </c>
      <c r="L201" s="13">
        <f>L203+G203</f>
        <v>137.445</v>
      </c>
      <c r="M201" s="11" t="str">
        <f t="shared" si="1"/>
        <v>2:17.45</v>
      </c>
      <c r="N201" s="14">
        <f>IFERROR(__xludf.DUMMYFUNCTION("LET(
  gen,$A201, ev,$B201, t,$M201,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202">
      <c r="A202" s="5" t="s">
        <v>14</v>
      </c>
      <c r="B202" s="6" t="s">
        <v>166</v>
      </c>
      <c r="C202" s="6">
        <v>20.0</v>
      </c>
      <c r="D202" s="6">
        <v>3.0</v>
      </c>
      <c r="E202" s="7" t="s">
        <v>178</v>
      </c>
      <c r="F202" s="8">
        <f>IFERROR(__xludf.DUMMYFUNCTION("IF(
  REGEXMATCH(E202, "":""),
  60*VALUE(INDEX(SPLIT(E202, "":""),1,1)) + VALUE(INDEX(SPLIT(E202, "":""),1,2)),
  VALUE(E202)
)"),133.65)</f>
        <v>133.65</v>
      </c>
      <c r="G202" s="8">
        <f>average(F199-F201,F200-F202)</f>
        <v>0.72</v>
      </c>
      <c r="H202" s="8">
        <v>0.7199999999999847</v>
      </c>
      <c r="I202" s="6">
        <f>C189</f>
        <v>15</v>
      </c>
      <c r="J202" s="6">
        <f>C206</f>
        <v>23</v>
      </c>
      <c r="K202" s="6">
        <f t="array" ref="K202">INDEX('Podium Target Times'!$C:$C, MATCH(A202&amp;B202, 'Podium Target Times'!$A:$A&amp;'Podium Target Times'!$B:$B, 0))
</f>
        <v>136.39</v>
      </c>
      <c r="L202" s="8">
        <f>L203+G203</f>
        <v>137.445</v>
      </c>
      <c r="M202" s="6" t="str">
        <f t="shared" si="1"/>
        <v>2:17.45</v>
      </c>
      <c r="N202" s="9">
        <f>IFERROR(__xludf.DUMMYFUNCTION("LET(
  gen,$A202, ev,$B202, t,$M202,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203">
      <c r="A203" s="10" t="s">
        <v>14</v>
      </c>
      <c r="B203" s="11" t="s">
        <v>166</v>
      </c>
      <c r="C203" s="11">
        <v>21.0</v>
      </c>
      <c r="D203" s="11">
        <v>2.0</v>
      </c>
      <c r="E203" s="12" t="s">
        <v>179</v>
      </c>
      <c r="F203" s="13">
        <f>IFERROR(__xludf.DUMMYFUNCTION("IF(
  REGEXMATCH(E203, "":""),
  60*VALUE(INDEX(SPLIT(E203, "":""),1,1)) + VALUE(INDEX(SPLIT(E203, "":""),1,2)),
  VALUE(E203)
)"),132.83)</f>
        <v>132.83</v>
      </c>
      <c r="G203" s="13">
        <f>average(F201-F203,F202-F204)</f>
        <v>0.425</v>
      </c>
      <c r="H203" s="13">
        <v>0.42499999999999716</v>
      </c>
      <c r="I203" s="11">
        <f>C189</f>
        <v>15</v>
      </c>
      <c r="J203" s="11">
        <f>C206</f>
        <v>23</v>
      </c>
      <c r="K203" s="11">
        <f t="array" ref="K203">INDEX('Podium Target Times'!$C:$C, MATCH(A203&amp;B203, 'Podium Target Times'!$A:$A&amp;'Podium Target Times'!$B:$B, 0))
</f>
        <v>136.39</v>
      </c>
      <c r="L203" s="13">
        <f>L205+G205</f>
        <v>137.02</v>
      </c>
      <c r="M203" s="11" t="str">
        <f t="shared" si="1"/>
        <v>2:17.02</v>
      </c>
      <c r="N203" s="14">
        <f>IFERROR(__xludf.DUMMYFUNCTION("LET(
  gen,$A203, ev,$B203, t,$M203,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)"),779.0)</f>
        <v>779</v>
      </c>
    </row>
    <row r="204">
      <c r="A204" s="5" t="s">
        <v>14</v>
      </c>
      <c r="B204" s="6" t="s">
        <v>166</v>
      </c>
      <c r="C204" s="6">
        <v>21.0</v>
      </c>
      <c r="D204" s="6">
        <v>3.0</v>
      </c>
      <c r="E204" s="7" t="s">
        <v>180</v>
      </c>
      <c r="F204" s="8">
        <f>IFERROR(__xludf.DUMMYFUNCTION("IF(
  REGEXMATCH(E204, "":""),
  60*VALUE(INDEX(SPLIT(E204, "":""),1,1)) + VALUE(INDEX(SPLIT(E204, "":""),1,2)),
  VALUE(E204)
)"),133.22)</f>
        <v>133.22</v>
      </c>
      <c r="G204" s="8">
        <f>average(F201-F203,F202-F204)</f>
        <v>0.425</v>
      </c>
      <c r="H204" s="8">
        <v>0.42499999999999716</v>
      </c>
      <c r="I204" s="6">
        <f>C189</f>
        <v>15</v>
      </c>
      <c r="J204" s="6">
        <f>C206</f>
        <v>23</v>
      </c>
      <c r="K204" s="6">
        <f t="array" ref="K204">INDEX('Podium Target Times'!$C:$C, MATCH(A204&amp;B204, 'Podium Target Times'!$A:$A&amp;'Podium Target Times'!$B:$B, 0))
</f>
        <v>136.39</v>
      </c>
      <c r="L204" s="8">
        <f t="shared" ref="L204:L205" si="22">L205+G205</f>
        <v>137.02</v>
      </c>
      <c r="M204" s="6" t="str">
        <f t="shared" si="1"/>
        <v>2:17.02</v>
      </c>
      <c r="N204" s="9">
        <f>IFERROR(__xludf.DUMMYFUNCTION("LET(
  gen,$A204, ev,$B204, t,$M204,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)"),779.0)</f>
        <v>779</v>
      </c>
    </row>
    <row r="205">
      <c r="A205" s="10" t="s">
        <v>14</v>
      </c>
      <c r="B205" s="11" t="s">
        <v>166</v>
      </c>
      <c r="C205" s="11">
        <v>22.0</v>
      </c>
      <c r="D205" s="11">
        <v>3.0</v>
      </c>
      <c r="E205" s="12" t="s">
        <v>181</v>
      </c>
      <c r="F205" s="13">
        <f>IFERROR(__xludf.DUMMYFUNCTION("IF(
  REGEXMATCH(E205, "":""),
  60*VALUE(INDEX(SPLIT(E205, "":""),1,1)) + VALUE(INDEX(SPLIT(E205, "":""),1,2)),
  VALUE(E205)
)"),132.95)</f>
        <v>132.95</v>
      </c>
      <c r="G205" s="13">
        <f t="shared" ref="G205:G206" si="23">F204-F205</f>
        <v>0.27</v>
      </c>
      <c r="H205" s="13">
        <v>0.27000000000001023</v>
      </c>
      <c r="I205" s="11">
        <f>C189</f>
        <v>15</v>
      </c>
      <c r="J205" s="11">
        <f>C206</f>
        <v>23</v>
      </c>
      <c r="K205" s="11">
        <f t="array" ref="K205">INDEX('Podium Target Times'!$C:$C, MATCH(A205&amp;B205, 'Podium Target Times'!$A:$A&amp;'Podium Target Times'!$B:$B, 0))
</f>
        <v>136.39</v>
      </c>
      <c r="L205" s="13">
        <f t="shared" si="22"/>
        <v>136.75</v>
      </c>
      <c r="M205" s="11" t="str">
        <f t="shared" si="1"/>
        <v>2:16.75</v>
      </c>
      <c r="N205" s="14">
        <f>IFERROR(__xludf.DUMMYFUNCTION("LET(
  gen,$A205, ev,$B205, t,$M205,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206">
      <c r="A206" s="5" t="s">
        <v>14</v>
      </c>
      <c r="B206" s="6" t="s">
        <v>166</v>
      </c>
      <c r="C206" s="6">
        <v>23.0</v>
      </c>
      <c r="D206" s="6">
        <v>3.0</v>
      </c>
      <c r="E206" s="7" t="s">
        <v>179</v>
      </c>
      <c r="F206" s="8">
        <f>IFERROR(__xludf.DUMMYFUNCTION("IF(
  REGEXMATCH(E206, "":""),
  60*VALUE(INDEX(SPLIT(E206, "":""),1,1)) + VALUE(INDEX(SPLIT(E206, "":""),1,2)),
  VALUE(E206)
)"),132.83)</f>
        <v>132.83</v>
      </c>
      <c r="G206" s="8">
        <f t="shared" si="23"/>
        <v>0.12</v>
      </c>
      <c r="H206" s="8">
        <v>0.11999999999997613</v>
      </c>
      <c r="I206" s="6">
        <f>C189</f>
        <v>15</v>
      </c>
      <c r="J206" s="6">
        <f>C206</f>
        <v>23</v>
      </c>
      <c r="K206" s="6">
        <f t="array" ref="K206">INDEX('Podium Target Times'!$C:$C, MATCH(A206&amp;B206, 'Podium Target Times'!$A:$A&amp;'Podium Target Times'!$B:$B, 0))
</f>
        <v>136.39</v>
      </c>
      <c r="L206" s="8">
        <f>G206+L207</f>
        <v>136.63</v>
      </c>
      <c r="M206" s="6" t="str">
        <f t="shared" si="1"/>
        <v>2:16.63</v>
      </c>
      <c r="N206" s="9">
        <f>IFERROR(__xludf.DUMMYFUNCTION("LET(
  gen,$A206, ev,$B206, t,$M206,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207">
      <c r="A207" s="10" t="s">
        <v>14</v>
      </c>
      <c r="B207" s="11" t="s">
        <v>166</v>
      </c>
      <c r="C207" s="11">
        <v>24.0</v>
      </c>
      <c r="D207" s="11"/>
      <c r="E207" s="12"/>
      <c r="F207" s="13">
        <f>IFERROR(__xludf.DUMMYFUNCTION("IF(
  REGEXMATCH(E207, "":""),
  60*VALUE(INDEX(SPLIT(E207, "":""),1,1)) + VALUE(INDEX(SPLIT(E207, "":""),1,2)),
  VALUE(E207)
)"),0.0)</f>
        <v>0</v>
      </c>
      <c r="G207" s="13"/>
      <c r="H207" s="13"/>
      <c r="I207" s="11">
        <f>C189</f>
        <v>15</v>
      </c>
      <c r="J207" s="11">
        <f>C206</f>
        <v>23</v>
      </c>
      <c r="K207" s="11">
        <f t="array" ref="K207">INDEX('Podium Target Times'!$C:$C, MATCH(A207&amp;B207, 'Podium Target Times'!$A:$A&amp;'Podium Target Times'!$B:$B, 0))
</f>
        <v>136.39</v>
      </c>
      <c r="L207" s="13">
        <f>G206+L208</f>
        <v>136.51</v>
      </c>
      <c r="M207" s="11" t="str">
        <f t="shared" si="1"/>
        <v>2:16.51</v>
      </c>
      <c r="N207" s="14">
        <f>IFERROR(__xludf.DUMMYFUNCTION("LET(
  gen,$A207, ev,$B207, t,$M207,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)"),788.0)</f>
        <v>788</v>
      </c>
    </row>
    <row r="208">
      <c r="A208" s="5" t="s">
        <v>14</v>
      </c>
      <c r="B208" s="6" t="s">
        <v>166</v>
      </c>
      <c r="C208" s="6">
        <v>25.0</v>
      </c>
      <c r="D208" s="6"/>
      <c r="E208" s="7"/>
      <c r="F208" s="8">
        <f>IFERROR(__xludf.DUMMYFUNCTION("IF(
  REGEXMATCH(E208, "":""),
  60*VALUE(INDEX(SPLIT(E208, "":""),1,1)) + VALUE(INDEX(SPLIT(E208, "":""),1,2)),
  VALUE(E208)
)"),0.0)</f>
        <v>0</v>
      </c>
      <c r="G208" s="8"/>
      <c r="H208" s="8"/>
      <c r="I208" s="6">
        <f>C189</f>
        <v>15</v>
      </c>
      <c r="J208" s="6">
        <f>C206</f>
        <v>23</v>
      </c>
      <c r="K208" s="6">
        <f t="array" ref="K208">INDEX('Podium Target Times'!$C:$C, MATCH(A208&amp;B208, 'Podium Target Times'!$A:$A&amp;'Podium Target Times'!$B:$B, 0))
</f>
        <v>136.39</v>
      </c>
      <c r="L208" s="6">
        <f>K208</f>
        <v>136.39</v>
      </c>
      <c r="M208" s="6" t="str">
        <f t="shared" si="1"/>
        <v>2:16.39</v>
      </c>
      <c r="N208" s="9">
        <f>IFERROR(__xludf.DUMMYFUNCTION("LET(
  gen,$A208, ev,$B208, t,$M208,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)"),790.0)</f>
        <v>790</v>
      </c>
    </row>
    <row r="209">
      <c r="A209" s="10" t="s">
        <v>14</v>
      </c>
      <c r="B209" s="11" t="s">
        <v>182</v>
      </c>
      <c r="C209" s="11">
        <v>14.0</v>
      </c>
      <c r="D209" s="11">
        <v>1.0</v>
      </c>
      <c r="E209" s="12" t="s">
        <v>183</v>
      </c>
      <c r="F209" s="13">
        <f>IFERROR(__xludf.DUMMYFUNCTION("IF(
  REGEXMATCH(E209, "":""),
  60*VALUE(INDEX(SPLIT(E209, "":""),1,1)) + VALUE(INDEX(SPLIT(E209, "":""),1,2)),
  VALUE(E209)
)"),265.42)</f>
        <v>265.42</v>
      </c>
      <c r="G209" s="13">
        <v>0.0</v>
      </c>
      <c r="H209" s="13">
        <v>0.0</v>
      </c>
      <c r="I209" s="11">
        <f>C209</f>
        <v>14</v>
      </c>
      <c r="J209" s="11">
        <f>C226</f>
        <v>22</v>
      </c>
      <c r="K209" s="11">
        <f t="array" ref="K209">INDEX('Podium Target Times'!$C:$C, MATCH(A209&amp;B209, 'Podium Target Times'!$A:$A&amp;'Podium Target Times'!$B:$B, 0))
</f>
        <v>257.55</v>
      </c>
      <c r="L209" s="13">
        <f>L210+G210</f>
        <v>274.9666667</v>
      </c>
      <c r="M209" s="11" t="str">
        <f t="shared" si="1"/>
        <v>4:34.97</v>
      </c>
      <c r="N209" s="14">
        <f>IFERROR(__xludf.DUMMYFUNCTION("LET(
  gen,$A209, ev,$B209, t,$M209,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)"),627.0)</f>
        <v>627</v>
      </c>
    </row>
    <row r="210">
      <c r="A210" s="5" t="s">
        <v>14</v>
      </c>
      <c r="B210" s="6" t="s">
        <v>182</v>
      </c>
      <c r="C210" s="6">
        <v>15.0</v>
      </c>
      <c r="D210" s="6">
        <v>1.0</v>
      </c>
      <c r="E210" s="7" t="s">
        <v>184</v>
      </c>
      <c r="F210" s="8">
        <f>IFERROR(__xludf.DUMMYFUNCTION("IF(
  REGEXMATCH(E210, "":""),
  60*VALUE(INDEX(SPLIT(E210, "":""),1,1)) + VALUE(INDEX(SPLIT(E210, "":""),1,2)),
  VALUE(E210)
)"),258.86)</f>
        <v>258.86</v>
      </c>
      <c r="G210" s="8">
        <f>F209-F210</f>
        <v>6.56</v>
      </c>
      <c r="H210" s="8">
        <v>6.560000000000002</v>
      </c>
      <c r="I210" s="6">
        <f>C209</f>
        <v>14</v>
      </c>
      <c r="J210" s="6">
        <f>C226</f>
        <v>22</v>
      </c>
      <c r="K210" s="6">
        <f t="array" ref="K210">INDEX('Podium Target Times'!$C:$C, MATCH(A210&amp;B210, 'Podium Target Times'!$A:$A&amp;'Podium Target Times'!$B:$B, 0))
</f>
        <v>257.55</v>
      </c>
      <c r="L210" s="8">
        <f>L212+G212</f>
        <v>268.4066667</v>
      </c>
      <c r="M210" s="6" t="str">
        <f t="shared" si="1"/>
        <v>4:28.41</v>
      </c>
      <c r="N210" s="9">
        <f>IFERROR(__xludf.DUMMYFUNCTION("LET(
  gen,$A210, ev,$B210, t,$M210,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)"),674.0)</f>
        <v>674</v>
      </c>
    </row>
    <row r="211">
      <c r="A211" s="10" t="s">
        <v>14</v>
      </c>
      <c r="B211" s="11" t="s">
        <v>182</v>
      </c>
      <c r="C211" s="11">
        <v>15.0</v>
      </c>
      <c r="D211" s="11">
        <v>2.0</v>
      </c>
      <c r="E211" s="12" t="s">
        <v>185</v>
      </c>
      <c r="F211" s="13">
        <f>IFERROR(__xludf.DUMMYFUNCTION("IF(
  REGEXMATCH(E211, "":""),
  60*VALUE(INDEX(SPLIT(E211, "":""),1,1)) + VALUE(INDEX(SPLIT(E211, "":""),1,2)),
  VALUE(E211)
)"),260.27)</f>
        <v>260.27</v>
      </c>
      <c r="G211" s="13">
        <f>F209-F210</f>
        <v>6.56</v>
      </c>
      <c r="H211" s="13">
        <v>6.560000000000002</v>
      </c>
      <c r="I211" s="11">
        <f>C209</f>
        <v>14</v>
      </c>
      <c r="J211" s="11">
        <f>C226</f>
        <v>22</v>
      </c>
      <c r="K211" s="11">
        <f t="array" ref="K211">INDEX('Podium Target Times'!$C:$C, MATCH(A211&amp;B211, 'Podium Target Times'!$A:$A&amp;'Podium Target Times'!$B:$B, 0))
</f>
        <v>257.55</v>
      </c>
      <c r="L211" s="13">
        <f>L212+G212</f>
        <v>268.4066667</v>
      </c>
      <c r="M211" s="11" t="str">
        <f t="shared" si="1"/>
        <v>4:28.41</v>
      </c>
      <c r="N211" s="14">
        <f>IFERROR(__xludf.DUMMYFUNCTION("LET(
  gen,$A211, ev,$B211, t,$M211,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)"),674.0)</f>
        <v>674</v>
      </c>
    </row>
    <row r="212">
      <c r="A212" s="5" t="s">
        <v>14</v>
      </c>
      <c r="B212" s="6" t="s">
        <v>182</v>
      </c>
      <c r="C212" s="6">
        <v>16.0</v>
      </c>
      <c r="D212" s="6">
        <v>1.0</v>
      </c>
      <c r="E212" s="15" t="s">
        <v>186</v>
      </c>
      <c r="F212" s="8">
        <f>IFERROR(__xludf.DUMMYFUNCTION("IF(
  REGEXMATCH(E212, "":""),
  60*VALUE(INDEX(SPLIT(E212, "":""),1,1)) + VALUE(INDEX(SPLIT(E212, "":""),1,2)),
  VALUE(E212)
)"),254.48)</f>
        <v>254.48</v>
      </c>
      <c r="G212" s="8">
        <f>average(F210-F212,F211-F213)</f>
        <v>4.39</v>
      </c>
      <c r="H212" s="8">
        <v>4.390000000000001</v>
      </c>
      <c r="I212" s="6">
        <f>C209</f>
        <v>14</v>
      </c>
      <c r="J212" s="6">
        <f>C226</f>
        <v>22</v>
      </c>
      <c r="K212" s="6">
        <f t="array" ref="K212">INDEX('Podium Target Times'!$C:$C, MATCH(A212&amp;B212, 'Podium Target Times'!$A:$A&amp;'Podium Target Times'!$B:$B, 0))
</f>
        <v>257.55</v>
      </c>
      <c r="L212" s="8">
        <f>L215+G215</f>
        <v>264.0166667</v>
      </c>
      <c r="M212" s="6" t="str">
        <f t="shared" si="1"/>
        <v>4:24.02</v>
      </c>
      <c r="N212" s="9">
        <f>IFERROR(__xludf.DUMMYFUNCTION("LET(
  gen,$A212, ev,$B212, t,$M212,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13">
      <c r="A213" s="10" t="s">
        <v>14</v>
      </c>
      <c r="B213" s="11" t="s">
        <v>182</v>
      </c>
      <c r="C213" s="11">
        <v>16.0</v>
      </c>
      <c r="D213" s="11">
        <v>2.0</v>
      </c>
      <c r="E213" s="16" t="s">
        <v>187</v>
      </c>
      <c r="F213" s="13">
        <f>IFERROR(__xludf.DUMMYFUNCTION("IF(
  REGEXMATCH(E213, "":""),
  60*VALUE(INDEX(SPLIT(E213, "":""),1,1)) + VALUE(INDEX(SPLIT(E213, "":""),1,2)),
  VALUE(E213)
)"),255.87)</f>
        <v>255.87</v>
      </c>
      <c r="G213" s="13">
        <f>average(F210-F212,F211-F213)</f>
        <v>4.39</v>
      </c>
      <c r="H213" s="13">
        <v>4.390000000000001</v>
      </c>
      <c r="I213" s="11">
        <f>C209</f>
        <v>14</v>
      </c>
      <c r="J213" s="11">
        <f>C226</f>
        <v>22</v>
      </c>
      <c r="K213" s="11">
        <f t="array" ref="K213">INDEX('Podium Target Times'!$C:$C, MATCH(A213&amp;B213, 'Podium Target Times'!$A:$A&amp;'Podium Target Times'!$B:$B, 0))
</f>
        <v>257.55</v>
      </c>
      <c r="L213" s="13">
        <f>L215+G215</f>
        <v>264.0166667</v>
      </c>
      <c r="M213" s="11" t="str">
        <f t="shared" si="1"/>
        <v>4:24.02</v>
      </c>
      <c r="N213" s="14">
        <f>IFERROR(__xludf.DUMMYFUNCTION("LET(
  gen,$A213, ev,$B213, t,$M213,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14">
      <c r="A214" s="5" t="s">
        <v>14</v>
      </c>
      <c r="B214" s="6" t="s">
        <v>182</v>
      </c>
      <c r="C214" s="6">
        <v>16.0</v>
      </c>
      <c r="D214" s="6">
        <v>3.0</v>
      </c>
      <c r="E214" s="15" t="s">
        <v>188</v>
      </c>
      <c r="F214" s="8">
        <f>IFERROR(__xludf.DUMMYFUNCTION("IF(
  REGEXMATCH(E214, "":""),
  60*VALUE(INDEX(SPLIT(E214, "":""),1,1)) + VALUE(INDEX(SPLIT(E214, "":""),1,2)),
  VALUE(E214)
)"),256.35)</f>
        <v>256.35</v>
      </c>
      <c r="G214" s="8">
        <f>average(F210-F212,F211-F213)</f>
        <v>4.39</v>
      </c>
      <c r="H214" s="8">
        <v>4.390000000000001</v>
      </c>
      <c r="I214" s="6">
        <f>C209</f>
        <v>14</v>
      </c>
      <c r="J214" s="6">
        <f>C226</f>
        <v>22</v>
      </c>
      <c r="K214" s="6">
        <f t="array" ref="K214">INDEX('Podium Target Times'!$C:$C, MATCH(A214&amp;B214, 'Podium Target Times'!$A:$A&amp;'Podium Target Times'!$B:$B, 0))
</f>
        <v>257.55</v>
      </c>
      <c r="L214" s="8">
        <f>L215+G215</f>
        <v>264.0166667</v>
      </c>
      <c r="M214" s="6" t="str">
        <f t="shared" si="1"/>
        <v>4:24.02</v>
      </c>
      <c r="N214" s="9">
        <f>IFERROR(__xludf.DUMMYFUNCTION("LET(
  gen,$A214, ev,$B214, t,$M214,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15">
      <c r="A215" s="10" t="s">
        <v>14</v>
      </c>
      <c r="B215" s="11" t="s">
        <v>182</v>
      </c>
      <c r="C215" s="11">
        <v>17.0</v>
      </c>
      <c r="D215" s="11">
        <v>1.0</v>
      </c>
      <c r="E215" s="12" t="s">
        <v>189</v>
      </c>
      <c r="F215" s="13">
        <f>IFERROR(__xludf.DUMMYFUNCTION("IF(
  REGEXMATCH(E215, "":""),
  60*VALUE(INDEX(SPLIT(E215, "":""),1,1)) + VALUE(INDEX(SPLIT(E215, "":""),1,2)),
  VALUE(E215)
)"),251.78)</f>
        <v>251.78</v>
      </c>
      <c r="G215" s="13">
        <f>average(F212-F215,F213-F216,F214-F217)</f>
        <v>2.71</v>
      </c>
      <c r="H215" s="13">
        <v>2.710000000000008</v>
      </c>
      <c r="I215" s="11">
        <f>C209</f>
        <v>14</v>
      </c>
      <c r="J215" s="11">
        <f>C226</f>
        <v>22</v>
      </c>
      <c r="K215" s="11">
        <f t="array" ref="K215">INDEX('Podium Target Times'!$C:$C, MATCH(A215&amp;B215, 'Podium Target Times'!$A:$A&amp;'Podium Target Times'!$B:$B, 0))
</f>
        <v>257.55</v>
      </c>
      <c r="L215" s="13">
        <f>L218+G218</f>
        <v>261.3066667</v>
      </c>
      <c r="M215" s="11" t="str">
        <f t="shared" si="1"/>
        <v>4:21.31</v>
      </c>
      <c r="N215" s="14">
        <f>IFERROR(__xludf.DUMMYFUNCTION("LET(
  gen,$A215, ev,$B215, t,$M215,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16">
      <c r="A216" s="5" t="s">
        <v>14</v>
      </c>
      <c r="B216" s="6" t="s">
        <v>182</v>
      </c>
      <c r="C216" s="6">
        <v>17.0</v>
      </c>
      <c r="D216" s="6">
        <v>2.0</v>
      </c>
      <c r="E216" s="7" t="s">
        <v>190</v>
      </c>
      <c r="F216" s="8">
        <f>IFERROR(__xludf.DUMMYFUNCTION("IF(
  REGEXMATCH(E216, "":""),
  60*VALUE(INDEX(SPLIT(E216, "":""),1,1)) + VALUE(INDEX(SPLIT(E216, "":""),1,2)),
  VALUE(E216)
)"),253.16)</f>
        <v>253.16</v>
      </c>
      <c r="G216" s="8">
        <f>average(F212-F215,F213-F216,F214-F217)</f>
        <v>2.71</v>
      </c>
      <c r="H216" s="8">
        <v>2.710000000000008</v>
      </c>
      <c r="I216" s="6">
        <f>C209</f>
        <v>14</v>
      </c>
      <c r="J216" s="6">
        <f>C226</f>
        <v>22</v>
      </c>
      <c r="K216" s="6">
        <f t="array" ref="K216">INDEX('Podium Target Times'!$C:$C, MATCH(A216&amp;B216, 'Podium Target Times'!$A:$A&amp;'Podium Target Times'!$B:$B, 0))
</f>
        <v>257.55</v>
      </c>
      <c r="L216" s="8">
        <f>L218+G218</f>
        <v>261.3066667</v>
      </c>
      <c r="M216" s="6" t="str">
        <f t="shared" si="1"/>
        <v>4:21.31</v>
      </c>
      <c r="N216" s="9">
        <f>IFERROR(__xludf.DUMMYFUNCTION("LET(
  gen,$A216, ev,$B216, t,$M216,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17">
      <c r="A217" s="10" t="s">
        <v>14</v>
      </c>
      <c r="B217" s="11" t="s">
        <v>182</v>
      </c>
      <c r="C217" s="11">
        <v>17.0</v>
      </c>
      <c r="D217" s="11">
        <v>3.0</v>
      </c>
      <c r="E217" s="12" t="s">
        <v>191</v>
      </c>
      <c r="F217" s="13">
        <f>IFERROR(__xludf.DUMMYFUNCTION("IF(
  REGEXMATCH(E217, "":""),
  60*VALUE(INDEX(SPLIT(E217, "":""),1,1)) + VALUE(INDEX(SPLIT(E217, "":""),1,2)),
  VALUE(E217)
)"),253.63)</f>
        <v>253.63</v>
      </c>
      <c r="G217" s="13">
        <f>average(F212-F215,F213-F216,F214-F217)</f>
        <v>2.71</v>
      </c>
      <c r="H217" s="13">
        <v>2.710000000000008</v>
      </c>
      <c r="I217" s="11">
        <f>C209</f>
        <v>14</v>
      </c>
      <c r="J217" s="11">
        <f>C226</f>
        <v>22</v>
      </c>
      <c r="K217" s="11">
        <f t="array" ref="K217">INDEX('Podium Target Times'!$C:$C, MATCH(A217&amp;B217, 'Podium Target Times'!$A:$A&amp;'Podium Target Times'!$B:$B, 0))
</f>
        <v>257.55</v>
      </c>
      <c r="L217" s="13">
        <f>L218+G218</f>
        <v>261.3066667</v>
      </c>
      <c r="M217" s="11" t="str">
        <f t="shared" si="1"/>
        <v>4:21.31</v>
      </c>
      <c r="N217" s="14">
        <f>IFERROR(__xludf.DUMMYFUNCTION("LET(
  gen,$A217, ev,$B217, t,$M217,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18">
      <c r="A218" s="5" t="s">
        <v>14</v>
      </c>
      <c r="B218" s="6" t="s">
        <v>182</v>
      </c>
      <c r="C218" s="6">
        <v>18.0</v>
      </c>
      <c r="D218" s="6">
        <v>1.0</v>
      </c>
      <c r="E218" s="15" t="s">
        <v>192</v>
      </c>
      <c r="F218" s="8">
        <f>IFERROR(__xludf.DUMMYFUNCTION("IF(
  REGEXMATCH(E218, "":""),
  60*VALUE(INDEX(SPLIT(E218, "":""),1,1)) + VALUE(INDEX(SPLIT(E218, "":""),1,2)),
  VALUE(E218)
)"),250.23)</f>
        <v>250.23</v>
      </c>
      <c r="G218" s="8">
        <f>average(F215-F218,F216-F219,F217-F220)</f>
        <v>1.556666667</v>
      </c>
      <c r="H218" s="8">
        <v>1.556666666666672</v>
      </c>
      <c r="I218" s="6">
        <f>C209</f>
        <v>14</v>
      </c>
      <c r="J218" s="6">
        <f>C226</f>
        <v>22</v>
      </c>
      <c r="K218" s="6">
        <f t="array" ref="K218">INDEX('Podium Target Times'!$C:$C, MATCH(A218&amp;B218, 'Podium Target Times'!$A:$A&amp;'Podium Target Times'!$B:$B, 0))
</f>
        <v>257.55</v>
      </c>
      <c r="L218" s="8">
        <f>L221+G221</f>
        <v>259.75</v>
      </c>
      <c r="M218" s="6" t="str">
        <f t="shared" si="1"/>
        <v>4:19.75</v>
      </c>
      <c r="N218" s="9">
        <f>IFERROR(__xludf.DUMMYFUNCTION("LET(
  gen,$A218, ev,$B218, t,$M218,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219">
      <c r="A219" s="10" t="s">
        <v>14</v>
      </c>
      <c r="B219" s="11" t="s">
        <v>182</v>
      </c>
      <c r="C219" s="11">
        <v>18.0</v>
      </c>
      <c r="D219" s="11">
        <v>2.0</v>
      </c>
      <c r="E219" s="16" t="s">
        <v>193</v>
      </c>
      <c r="F219" s="13">
        <f>IFERROR(__xludf.DUMMYFUNCTION("IF(
  REGEXMATCH(E219, "":""),
  60*VALUE(INDEX(SPLIT(E219, "":""),1,1)) + VALUE(INDEX(SPLIT(E219, "":""),1,2)),
  VALUE(E219)
)"),251.6)</f>
        <v>251.6</v>
      </c>
      <c r="G219" s="13">
        <f>average(F215-F218,F216-F219,F217-F220)</f>
        <v>1.556666667</v>
      </c>
      <c r="H219" s="13">
        <v>1.556666666666672</v>
      </c>
      <c r="I219" s="11">
        <f>C209</f>
        <v>14</v>
      </c>
      <c r="J219" s="11">
        <f>C226</f>
        <v>22</v>
      </c>
      <c r="K219" s="11">
        <f t="array" ref="K219">INDEX('Podium Target Times'!$C:$C, MATCH(A219&amp;B219, 'Podium Target Times'!$A:$A&amp;'Podium Target Times'!$B:$B, 0))
</f>
        <v>257.55</v>
      </c>
      <c r="L219" s="13">
        <f>L221+G221</f>
        <v>259.75</v>
      </c>
      <c r="M219" s="11" t="str">
        <f t="shared" si="1"/>
        <v>4:19.75</v>
      </c>
      <c r="N219" s="14">
        <f>IFERROR(__xludf.DUMMYFUNCTION("LET(
  gen,$A219, ev,$B219, t,$M219,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220">
      <c r="A220" s="5" t="s">
        <v>14</v>
      </c>
      <c r="B220" s="6" t="s">
        <v>182</v>
      </c>
      <c r="C220" s="6">
        <v>18.0</v>
      </c>
      <c r="D220" s="6">
        <v>3.0</v>
      </c>
      <c r="E220" s="15" t="s">
        <v>194</v>
      </c>
      <c r="F220" s="8">
        <f>IFERROR(__xludf.DUMMYFUNCTION("IF(
  REGEXMATCH(E220, "":""),
  60*VALUE(INDEX(SPLIT(E220, "":""),1,1)) + VALUE(INDEX(SPLIT(E220, "":""),1,2)),
  VALUE(E220)
)"),252.07)</f>
        <v>252.07</v>
      </c>
      <c r="G220" s="8">
        <f>average(F215-F218,F216-F219,F217-F220)</f>
        <v>1.556666667</v>
      </c>
      <c r="H220" s="8">
        <v>1.556666666666672</v>
      </c>
      <c r="I220" s="6">
        <f>C209</f>
        <v>14</v>
      </c>
      <c r="J220" s="6">
        <f>C226</f>
        <v>22</v>
      </c>
      <c r="K220" s="6">
        <f t="array" ref="K220">INDEX('Podium Target Times'!$C:$C, MATCH(A220&amp;B220, 'Podium Target Times'!$A:$A&amp;'Podium Target Times'!$B:$B, 0))
</f>
        <v>257.55</v>
      </c>
      <c r="L220" s="8">
        <f>L221+G221</f>
        <v>259.75</v>
      </c>
      <c r="M220" s="6" t="str">
        <f t="shared" si="1"/>
        <v>4:19.75</v>
      </c>
      <c r="N220" s="9">
        <f>IFERROR(__xludf.DUMMYFUNCTION("LET(
  gen,$A220, ev,$B220, t,$M220,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221">
      <c r="A221" s="10" t="s">
        <v>14</v>
      </c>
      <c r="B221" s="11" t="s">
        <v>182</v>
      </c>
      <c r="C221" s="11">
        <v>19.0</v>
      </c>
      <c r="D221" s="11">
        <v>2.0</v>
      </c>
      <c r="E221" s="12" t="s">
        <v>195</v>
      </c>
      <c r="F221" s="13">
        <f>IFERROR(__xludf.DUMMYFUNCTION("IF(
  REGEXMATCH(E221, "":""),
  60*VALUE(INDEX(SPLIT(E221, "":""),1,1)) + VALUE(INDEX(SPLIT(E221, "":""),1,2)),
  VALUE(E221)
)"),250.74)</f>
        <v>250.74</v>
      </c>
      <c r="G221" s="13">
        <f>average(F219-F221,F220-F222)</f>
        <v>0.86</v>
      </c>
      <c r="H221" s="13">
        <v>0.8599999999999852</v>
      </c>
      <c r="I221" s="11">
        <f>C209</f>
        <v>14</v>
      </c>
      <c r="J221" s="11">
        <f>C226</f>
        <v>22</v>
      </c>
      <c r="K221" s="11">
        <f t="array" ref="K221">INDEX('Podium Target Times'!$C:$C, MATCH(A221&amp;B221, 'Podium Target Times'!$A:$A&amp;'Podium Target Times'!$B:$B, 0))
</f>
        <v>257.55</v>
      </c>
      <c r="L221" s="13">
        <f>L223+G223</f>
        <v>258.89</v>
      </c>
      <c r="M221" s="11" t="str">
        <f t="shared" si="1"/>
        <v>4:18.89</v>
      </c>
      <c r="N221" s="14">
        <f>IFERROR(__xludf.DUMMYFUNCTION("LET(
  gen,$A221, ev,$B221, t,$M221,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)"),751.0)</f>
        <v>751</v>
      </c>
    </row>
    <row r="222">
      <c r="A222" s="5" t="s">
        <v>14</v>
      </c>
      <c r="B222" s="6" t="s">
        <v>182</v>
      </c>
      <c r="C222" s="6">
        <v>19.0</v>
      </c>
      <c r="D222" s="6">
        <v>3.0</v>
      </c>
      <c r="E222" s="7" t="s">
        <v>196</v>
      </c>
      <c r="F222" s="8">
        <f>IFERROR(__xludf.DUMMYFUNCTION("IF(
  REGEXMATCH(E222, "":""),
  60*VALUE(INDEX(SPLIT(E222, "":""),1,1)) + VALUE(INDEX(SPLIT(E222, "":""),1,2)),
  VALUE(E222)
)"),251.21)</f>
        <v>251.21</v>
      </c>
      <c r="G222" s="8">
        <f>average(F219-F221,F220-F222)</f>
        <v>0.86</v>
      </c>
      <c r="H222" s="8">
        <v>0.8599999999999852</v>
      </c>
      <c r="I222" s="6">
        <f>C209</f>
        <v>14</v>
      </c>
      <c r="J222" s="6">
        <f>C226</f>
        <v>22</v>
      </c>
      <c r="K222" s="6">
        <f t="array" ref="K222">INDEX('Podium Target Times'!$C:$C, MATCH(A222&amp;B222, 'Podium Target Times'!$A:$A&amp;'Podium Target Times'!$B:$B, 0))
</f>
        <v>257.55</v>
      </c>
      <c r="L222" s="8">
        <f>L223+G223</f>
        <v>258.89</v>
      </c>
      <c r="M222" s="6" t="str">
        <f t="shared" si="1"/>
        <v>4:18.89</v>
      </c>
      <c r="N222" s="9">
        <f>IFERROR(__xludf.DUMMYFUNCTION("LET(
  gen,$A222, ev,$B222, t,$M222,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)"),751.0)</f>
        <v>751</v>
      </c>
    </row>
    <row r="223">
      <c r="A223" s="10" t="s">
        <v>14</v>
      </c>
      <c r="B223" s="11" t="s">
        <v>182</v>
      </c>
      <c r="C223" s="11">
        <v>20.0</v>
      </c>
      <c r="D223" s="11">
        <v>2.0</v>
      </c>
      <c r="E223" s="12" t="s">
        <v>192</v>
      </c>
      <c r="F223" s="13">
        <f>IFERROR(__xludf.DUMMYFUNCTION("IF(
  REGEXMATCH(E223, "":""),
  60*VALUE(INDEX(SPLIT(E223, "":""),1,1)) + VALUE(INDEX(SPLIT(E223, "":""),1,2)),
  VALUE(E223)
)"),250.23)</f>
        <v>250.23</v>
      </c>
      <c r="G223" s="13">
        <f>average(F221-F223,F222-F224)</f>
        <v>0.51</v>
      </c>
      <c r="H223" s="13">
        <v>0.5100000000000193</v>
      </c>
      <c r="I223" s="11">
        <f>C209</f>
        <v>14</v>
      </c>
      <c r="J223" s="11">
        <f>C226</f>
        <v>22</v>
      </c>
      <c r="K223" s="11">
        <f t="array" ref="K223">INDEX('Podium Target Times'!$C:$C, MATCH(A223&amp;B223, 'Podium Target Times'!$A:$A&amp;'Podium Target Times'!$B:$B, 0))
</f>
        <v>257.55</v>
      </c>
      <c r="L223" s="13">
        <f>L225+G225</f>
        <v>258.38</v>
      </c>
      <c r="M223" s="11" t="str">
        <f t="shared" si="1"/>
        <v>4:18.38</v>
      </c>
      <c r="N223" s="14">
        <f>IFERROR(__xludf.DUMMYFUNCTION("LET(
  gen,$A223, ev,$B223, t,$M223,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24">
      <c r="A224" s="5" t="s">
        <v>14</v>
      </c>
      <c r="B224" s="6" t="s">
        <v>182</v>
      </c>
      <c r="C224" s="6">
        <v>20.0</v>
      </c>
      <c r="D224" s="6">
        <v>3.0</v>
      </c>
      <c r="E224" s="7" t="s">
        <v>197</v>
      </c>
      <c r="F224" s="8">
        <f>IFERROR(__xludf.DUMMYFUNCTION("IF(
  REGEXMATCH(E224, "":""),
  60*VALUE(INDEX(SPLIT(E224, "":""),1,1)) + VALUE(INDEX(SPLIT(E224, "":""),1,2)),
  VALUE(E224)
)"),250.7)</f>
        <v>250.7</v>
      </c>
      <c r="G224" s="8">
        <f>average(F221-F223,F222-F224)</f>
        <v>0.51</v>
      </c>
      <c r="H224" s="8">
        <v>0.5100000000000193</v>
      </c>
      <c r="I224" s="6">
        <f>C209</f>
        <v>14</v>
      </c>
      <c r="J224" s="6">
        <f>C226</f>
        <v>22</v>
      </c>
      <c r="K224" s="6">
        <f t="array" ref="K224">INDEX('Podium Target Times'!$C:$C, MATCH(A224&amp;B224, 'Podium Target Times'!$A:$A&amp;'Podium Target Times'!$B:$B, 0))
</f>
        <v>257.55</v>
      </c>
      <c r="L224" s="8">
        <f t="shared" ref="L224:L225" si="24">L225+G225</f>
        <v>258.38</v>
      </c>
      <c r="M224" s="6" t="str">
        <f t="shared" si="1"/>
        <v>4:18.38</v>
      </c>
      <c r="N224" s="9">
        <f>IFERROR(__xludf.DUMMYFUNCTION("LET(
  gen,$A224, ev,$B224, t,$M224,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25">
      <c r="A225" s="10" t="s">
        <v>14</v>
      </c>
      <c r="B225" s="11" t="s">
        <v>182</v>
      </c>
      <c r="C225" s="11">
        <v>21.0</v>
      </c>
      <c r="D225" s="11">
        <v>3.0</v>
      </c>
      <c r="E225" s="12" t="s">
        <v>198</v>
      </c>
      <c r="F225" s="13">
        <f>IFERROR(__xludf.DUMMYFUNCTION("IF(
  REGEXMATCH(E225, "":""),
  60*VALUE(INDEX(SPLIT(E225, "":""),1,1)) + VALUE(INDEX(SPLIT(E225, "":""),1,2)),
  VALUE(E225)
)"),250.35)</f>
        <v>250.35</v>
      </c>
      <c r="G225" s="13">
        <f t="shared" ref="G225:G226" si="25">F224-F225</f>
        <v>0.35</v>
      </c>
      <c r="H225" s="13">
        <v>0.3499999999999943</v>
      </c>
      <c r="I225" s="11">
        <f>C209</f>
        <v>14</v>
      </c>
      <c r="J225" s="11">
        <f>C226</f>
        <v>22</v>
      </c>
      <c r="K225" s="11">
        <f t="array" ref="K225">INDEX('Podium Target Times'!$C:$C, MATCH(A225&amp;B225, 'Podium Target Times'!$A:$A&amp;'Podium Target Times'!$B:$B, 0))
</f>
        <v>257.55</v>
      </c>
      <c r="L225" s="13">
        <f t="shared" si="24"/>
        <v>258.03</v>
      </c>
      <c r="M225" s="11" t="str">
        <f t="shared" si="1"/>
        <v>4:18.03</v>
      </c>
      <c r="N225" s="14">
        <f>IFERROR(__xludf.DUMMYFUNCTION("LET(
  gen,$A225, ev,$B225, t,$M225,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)"),759.0)</f>
        <v>759</v>
      </c>
    </row>
    <row r="226">
      <c r="A226" s="5" t="s">
        <v>14</v>
      </c>
      <c r="B226" s="6" t="s">
        <v>182</v>
      </c>
      <c r="C226" s="6">
        <v>22.0</v>
      </c>
      <c r="D226" s="6">
        <v>3.0</v>
      </c>
      <c r="E226" s="7" t="s">
        <v>192</v>
      </c>
      <c r="F226" s="8">
        <f>IFERROR(__xludf.DUMMYFUNCTION("IF(
  REGEXMATCH(E226, "":""),
  60*VALUE(INDEX(SPLIT(E226, "":""),1,1)) + VALUE(INDEX(SPLIT(E226, "":""),1,2)),
  VALUE(E226)
)"),250.23)</f>
        <v>250.23</v>
      </c>
      <c r="G226" s="8">
        <f t="shared" si="25"/>
        <v>0.12</v>
      </c>
      <c r="H226" s="8">
        <v>0.12000000000000455</v>
      </c>
      <c r="I226" s="6">
        <f>C209</f>
        <v>14</v>
      </c>
      <c r="J226" s="6">
        <f>C226</f>
        <v>22</v>
      </c>
      <c r="K226" s="6">
        <f t="array" ref="K226">INDEX('Podium Target Times'!$C:$C, MATCH(A226&amp;B226, 'Podium Target Times'!$A:$A&amp;'Podium Target Times'!$B:$B, 0))
</f>
        <v>257.55</v>
      </c>
      <c r="L226" s="8">
        <f>G226+L227</f>
        <v>257.91</v>
      </c>
      <c r="M226" s="6" t="str">
        <f t="shared" si="1"/>
        <v>4:17.91</v>
      </c>
      <c r="N226" s="9">
        <f>IFERROR(__xludf.DUMMYFUNCTION("LET(
  gen,$A226, ev,$B226, t,$M226,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27">
      <c r="A227" s="10" t="s">
        <v>14</v>
      </c>
      <c r="B227" s="11" t="s">
        <v>182</v>
      </c>
      <c r="C227" s="11">
        <v>23.0</v>
      </c>
      <c r="D227" s="11"/>
      <c r="E227" s="12"/>
      <c r="F227" s="13">
        <f>IFERROR(__xludf.DUMMYFUNCTION("IF(
  REGEXMATCH(E227, "":""),
  60*VALUE(INDEX(SPLIT(E227, "":""),1,1)) + VALUE(INDEX(SPLIT(E227, "":""),1,2)),
  VALUE(E227)
)"),0.0)</f>
        <v>0</v>
      </c>
      <c r="G227" s="13"/>
      <c r="H227" s="13"/>
      <c r="I227" s="11">
        <f>C209</f>
        <v>14</v>
      </c>
      <c r="J227" s="11">
        <f>C226</f>
        <v>22</v>
      </c>
      <c r="K227" s="11">
        <f t="array" ref="K227">INDEX('Podium Target Times'!$C:$C, MATCH(A227&amp;B227, 'Podium Target Times'!$A:$A&amp;'Podium Target Times'!$B:$B, 0))
</f>
        <v>257.55</v>
      </c>
      <c r="L227" s="13">
        <f>G226+L228</f>
        <v>257.79</v>
      </c>
      <c r="M227" s="11" t="str">
        <f t="shared" si="1"/>
        <v>4:17.79</v>
      </c>
      <c r="N227" s="14">
        <f>IFERROR(__xludf.DUMMYFUNCTION("LET(
  gen,$A227, ev,$B227, t,$M227,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228">
      <c r="A228" s="5" t="s">
        <v>14</v>
      </c>
      <c r="B228" s="6" t="s">
        <v>182</v>
      </c>
      <c r="C228" s="6">
        <v>24.0</v>
      </c>
      <c r="D228" s="6"/>
      <c r="E228" s="7"/>
      <c r="F228" s="8">
        <f>IFERROR(__xludf.DUMMYFUNCTION("IF(
  REGEXMATCH(E228, "":""),
  60*VALUE(INDEX(SPLIT(E228, "":""),1,1)) + VALUE(INDEX(SPLIT(E228, "":""),1,2)),
  VALUE(E228)
)"),0.0)</f>
        <v>0</v>
      </c>
      <c r="G228" s="8"/>
      <c r="H228" s="8"/>
      <c r="I228" s="6">
        <f>C209</f>
        <v>14</v>
      </c>
      <c r="J228" s="6">
        <f>C226</f>
        <v>22</v>
      </c>
      <c r="K228" s="6">
        <f t="array" ref="K228">INDEX('Podium Target Times'!$C:$C, MATCH(A228&amp;B228, 'Podium Target Times'!$A:$A&amp;'Podium Target Times'!$B:$B, 0))
</f>
        <v>257.55</v>
      </c>
      <c r="L228" s="8">
        <f>G226+L229</f>
        <v>257.67</v>
      </c>
      <c r="M228" s="6" t="str">
        <f t="shared" si="1"/>
        <v>4:17.67</v>
      </c>
      <c r="N228" s="9">
        <f>IFERROR(__xludf.DUMMYFUNCTION("LET(
  gen,$A228, ev,$B228, t,$M228,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229">
      <c r="A229" s="10" t="s">
        <v>14</v>
      </c>
      <c r="B229" s="11" t="s">
        <v>182</v>
      </c>
      <c r="C229" s="11">
        <v>25.0</v>
      </c>
      <c r="D229" s="11"/>
      <c r="E229" s="12"/>
      <c r="F229" s="13">
        <f>IFERROR(__xludf.DUMMYFUNCTION("IF(
  REGEXMATCH(E229, "":""),
  60*VALUE(INDEX(SPLIT(E229, "":""),1,1)) + VALUE(INDEX(SPLIT(E229, "":""),1,2)),
  VALUE(E229)
)"),0.0)</f>
        <v>0</v>
      </c>
      <c r="G229" s="13"/>
      <c r="H229" s="13"/>
      <c r="I229" s="11">
        <f>C209</f>
        <v>14</v>
      </c>
      <c r="J229" s="11">
        <f>C226</f>
        <v>22</v>
      </c>
      <c r="K229" s="11">
        <f t="array" ref="K229">INDEX('Podium Target Times'!$C:$C, MATCH(A229&amp;B229, 'Podium Target Times'!$A:$A&amp;'Podium Target Times'!$B:$B, 0))
</f>
        <v>257.55</v>
      </c>
      <c r="L229" s="11">
        <f>K229</f>
        <v>257.55</v>
      </c>
      <c r="M229" s="11" t="str">
        <f t="shared" si="1"/>
        <v>4:17.55</v>
      </c>
      <c r="N229" s="14">
        <f>IFERROR(__xludf.DUMMYFUNCTION("LET(
  gen,$A229, ev,$B229, t,$M229,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230">
      <c r="A230" s="5" t="s">
        <v>14</v>
      </c>
      <c r="B230" s="6" t="s">
        <v>199</v>
      </c>
      <c r="C230" s="6">
        <v>13.0</v>
      </c>
      <c r="D230" s="6">
        <v>1.0</v>
      </c>
      <c r="E230" s="7" t="s">
        <v>200</v>
      </c>
      <c r="F230" s="8">
        <f>IFERROR(__xludf.DUMMYFUNCTION("IF(
  REGEXMATCH(E230, "":""),
  60*VALUE(INDEX(SPLIT(E230, "":""),1,1)) + VALUE(INDEX(SPLIT(E230, "":""),1,2)),
  VALUE(E230)
)"),309.36)</f>
        <v>309.36</v>
      </c>
      <c r="G230" s="8">
        <v>0.0</v>
      </c>
      <c r="H230" s="8">
        <v>0.0</v>
      </c>
      <c r="I230" s="6">
        <f>C230</f>
        <v>13</v>
      </c>
      <c r="J230" s="6">
        <f>C247</f>
        <v>21</v>
      </c>
      <c r="K230" s="6">
        <f t="array" ref="K230">INDEX('Podium Target Times'!$C:$C, MATCH(A230&amp;B230, 'Podium Target Times'!$A:$A&amp;'Podium Target Times'!$B:$B, 0))
</f>
        <v>292.08</v>
      </c>
      <c r="L230" s="8">
        <f>L231+G231</f>
        <v>322.745</v>
      </c>
      <c r="M230" s="6" t="str">
        <f t="shared" si="1"/>
        <v>5:22.75</v>
      </c>
      <c r="N230" s="9">
        <f>IFERROR(__xludf.DUMMYFUNCTION("LET(
  gen,$A230, ev,$B230, t,$M230,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)"),549.0)</f>
        <v>549</v>
      </c>
    </row>
    <row r="231">
      <c r="A231" s="10" t="s">
        <v>14</v>
      </c>
      <c r="B231" s="11" t="s">
        <v>199</v>
      </c>
      <c r="C231" s="11">
        <v>14.0</v>
      </c>
      <c r="D231" s="11">
        <v>1.0</v>
      </c>
      <c r="E231" s="12" t="s">
        <v>201</v>
      </c>
      <c r="F231" s="13">
        <f>IFERROR(__xludf.DUMMYFUNCTION("IF(
  REGEXMATCH(E231, "":""),
  60*VALUE(INDEX(SPLIT(E231, "":""),1,1)) + VALUE(INDEX(SPLIT(E231, "":""),1,2)),
  VALUE(E231)
)"),298.88)</f>
        <v>298.88</v>
      </c>
      <c r="G231" s="13">
        <f>F230-F231</f>
        <v>10.48</v>
      </c>
      <c r="H231" s="13">
        <v>10.480000000000018</v>
      </c>
      <c r="I231" s="11">
        <f>C230</f>
        <v>13</v>
      </c>
      <c r="J231" s="11">
        <f>C247</f>
        <v>21</v>
      </c>
      <c r="K231" s="11">
        <f t="array" ref="K231">INDEX('Podium Target Times'!$C:$C, MATCH(A231&amp;B231, 'Podium Target Times'!$A:$A&amp;'Podium Target Times'!$B:$B, 0))
</f>
        <v>292.08</v>
      </c>
      <c r="L231" s="13">
        <f>L233+G233</f>
        <v>312.265</v>
      </c>
      <c r="M231" s="11" t="str">
        <f t="shared" si="1"/>
        <v>5:12.27</v>
      </c>
      <c r="N231" s="14">
        <f>IFERROR(__xludf.DUMMYFUNCTION("LET(
  gen,$A231, ev,$B231, t,$M231,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)"),606.0)</f>
        <v>606</v>
      </c>
    </row>
    <row r="232">
      <c r="A232" s="5" t="s">
        <v>14</v>
      </c>
      <c r="B232" s="6" t="s">
        <v>199</v>
      </c>
      <c r="C232" s="6">
        <v>14.0</v>
      </c>
      <c r="D232" s="6">
        <v>2.0</v>
      </c>
      <c r="E232" s="7" t="s">
        <v>202</v>
      </c>
      <c r="F232" s="8">
        <f>IFERROR(__xludf.DUMMYFUNCTION("IF(
  REGEXMATCH(E232, "":""),
  60*VALUE(INDEX(SPLIT(E232, "":""),1,1)) + VALUE(INDEX(SPLIT(E232, "":""),1,2)),
  VALUE(E232)
)"),301.95)</f>
        <v>301.95</v>
      </c>
      <c r="G232" s="8">
        <f>F230-F231</f>
        <v>10.48</v>
      </c>
      <c r="H232" s="8">
        <v>10.480000000000018</v>
      </c>
      <c r="I232" s="6">
        <f>C230</f>
        <v>13</v>
      </c>
      <c r="J232" s="6">
        <f>C247</f>
        <v>21</v>
      </c>
      <c r="K232" s="6">
        <f t="array" ref="K232">INDEX('Podium Target Times'!$C:$C, MATCH(A232&amp;B232, 'Podium Target Times'!$A:$A&amp;'Podium Target Times'!$B:$B, 0))
</f>
        <v>292.08</v>
      </c>
      <c r="L232" s="8">
        <f>L233+G233</f>
        <v>312.265</v>
      </c>
      <c r="M232" s="6" t="str">
        <f t="shared" si="1"/>
        <v>5:12.27</v>
      </c>
      <c r="N232" s="9">
        <f>IFERROR(__xludf.DUMMYFUNCTION("LET(
  gen,$A232, ev,$B232, t,$M232,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)"),606.0)</f>
        <v>606</v>
      </c>
    </row>
    <row r="233">
      <c r="A233" s="10" t="s">
        <v>14</v>
      </c>
      <c r="B233" s="11" t="s">
        <v>199</v>
      </c>
      <c r="C233" s="11">
        <v>15.0</v>
      </c>
      <c r="D233" s="11">
        <v>1.0</v>
      </c>
      <c r="E233" s="12" t="s">
        <v>203</v>
      </c>
      <c r="F233" s="13">
        <f>IFERROR(__xludf.DUMMYFUNCTION("IF(
  REGEXMATCH(E233, "":""),
  60*VALUE(INDEX(SPLIT(E233, "":""),1,1)) + VALUE(INDEX(SPLIT(E233, "":""),1,2)),
  VALUE(E233)
)"),291.23)</f>
        <v>291.23</v>
      </c>
      <c r="G233" s="13">
        <f>average(F231-F233,F232-F234)</f>
        <v>7.685</v>
      </c>
      <c r="H233" s="13">
        <v>7.684999999999974</v>
      </c>
      <c r="I233" s="11">
        <f>C230</f>
        <v>13</v>
      </c>
      <c r="J233" s="11">
        <f>C247</f>
        <v>21</v>
      </c>
      <c r="K233" s="11">
        <f t="array" ref="K233">INDEX('Podium Target Times'!$C:$C, MATCH(A233&amp;B233, 'Podium Target Times'!$A:$A&amp;'Podium Target Times'!$B:$B, 0))
</f>
        <v>292.08</v>
      </c>
      <c r="L233" s="13">
        <f>L236+G236</f>
        <v>304.58</v>
      </c>
      <c r="M233" s="11" t="str">
        <f t="shared" si="1"/>
        <v>5:04.58</v>
      </c>
      <c r="N233" s="14">
        <f>IFERROR(__xludf.DUMMYFUNCTION("LET(
  gen,$A233, ev,$B233, t,$M233,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234">
      <c r="A234" s="5" t="s">
        <v>14</v>
      </c>
      <c r="B234" s="6" t="s">
        <v>199</v>
      </c>
      <c r="C234" s="6">
        <v>15.0</v>
      </c>
      <c r="D234" s="6">
        <v>2.0</v>
      </c>
      <c r="E234" s="7" t="s">
        <v>204</v>
      </c>
      <c r="F234" s="8">
        <f>IFERROR(__xludf.DUMMYFUNCTION("IF(
  REGEXMATCH(E234, "":""),
  60*VALUE(INDEX(SPLIT(E234, "":""),1,1)) + VALUE(INDEX(SPLIT(E234, "":""),1,2)),
  VALUE(E234)
)"),294.23)</f>
        <v>294.23</v>
      </c>
      <c r="G234" s="8">
        <f>average(F231-F233,F232-F234)</f>
        <v>7.685</v>
      </c>
      <c r="H234" s="8">
        <v>7.684999999999974</v>
      </c>
      <c r="I234" s="6">
        <f>C230</f>
        <v>13</v>
      </c>
      <c r="J234" s="6">
        <f>C247</f>
        <v>21</v>
      </c>
      <c r="K234" s="6">
        <f t="array" ref="K234">INDEX('Podium Target Times'!$C:$C, MATCH(A234&amp;B234, 'Podium Target Times'!$A:$A&amp;'Podium Target Times'!$B:$B, 0))
</f>
        <v>292.08</v>
      </c>
      <c r="L234" s="8">
        <f>L236+G236</f>
        <v>304.58</v>
      </c>
      <c r="M234" s="6" t="str">
        <f t="shared" si="1"/>
        <v>5:04.58</v>
      </c>
      <c r="N234" s="9">
        <f>IFERROR(__xludf.DUMMYFUNCTION("LET(
  gen,$A234, ev,$B234, t,$M234,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235">
      <c r="A235" s="10" t="s">
        <v>14</v>
      </c>
      <c r="B235" s="11" t="s">
        <v>199</v>
      </c>
      <c r="C235" s="11">
        <v>15.0</v>
      </c>
      <c r="D235" s="11">
        <v>3.0</v>
      </c>
      <c r="E235" s="12" t="s">
        <v>205</v>
      </c>
      <c r="F235" s="13">
        <f>IFERROR(__xludf.DUMMYFUNCTION("IF(
  REGEXMATCH(E235, "":""),
  60*VALUE(INDEX(SPLIT(E235, "":""),1,1)) + VALUE(INDEX(SPLIT(E235, "":""),1,2)),
  VALUE(E235)
)"),294.88)</f>
        <v>294.88</v>
      </c>
      <c r="G235" s="13">
        <f>average(F231-F233,F232-F234)</f>
        <v>7.685</v>
      </c>
      <c r="H235" s="13">
        <v>7.684999999999974</v>
      </c>
      <c r="I235" s="11">
        <f>C230</f>
        <v>13</v>
      </c>
      <c r="J235" s="11">
        <f>C247</f>
        <v>21</v>
      </c>
      <c r="K235" s="11">
        <f t="array" ref="K235">INDEX('Podium Target Times'!$C:$C, MATCH(A235&amp;B235, 'Podium Target Times'!$A:$A&amp;'Podium Target Times'!$B:$B, 0))
</f>
        <v>292.08</v>
      </c>
      <c r="L235" s="13">
        <f>L236+G236</f>
        <v>304.58</v>
      </c>
      <c r="M235" s="11" t="str">
        <f t="shared" si="1"/>
        <v>5:04.58</v>
      </c>
      <c r="N235" s="14">
        <f>IFERROR(__xludf.DUMMYFUNCTION("LET(
  gen,$A235, ev,$B235, t,$M235,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)"),654.0)</f>
        <v>654</v>
      </c>
    </row>
    <row r="236">
      <c r="A236" s="5" t="s">
        <v>14</v>
      </c>
      <c r="B236" s="6" t="s">
        <v>199</v>
      </c>
      <c r="C236" s="6">
        <v>16.0</v>
      </c>
      <c r="D236" s="6">
        <v>1.0</v>
      </c>
      <c r="E236" s="7" t="s">
        <v>206</v>
      </c>
      <c r="F236" s="8">
        <f>IFERROR(__xludf.DUMMYFUNCTION("IF(
  REGEXMATCH(E236, "":""),
  60*VALUE(INDEX(SPLIT(E236, "":""),1,1)) + VALUE(INDEX(SPLIT(E236, "":""),1,2)),
  VALUE(E236)
)"),286.2)</f>
        <v>286.2</v>
      </c>
      <c r="G236" s="8">
        <f>average(F233-F236,F234-F237,F235-F238)</f>
        <v>5.066666667</v>
      </c>
      <c r="H236" s="8">
        <v>5.0666666666666815</v>
      </c>
      <c r="I236" s="6">
        <f>C230</f>
        <v>13</v>
      </c>
      <c r="J236" s="6">
        <f>C247</f>
        <v>21</v>
      </c>
      <c r="K236" s="6">
        <f t="array" ref="K236">INDEX('Podium Target Times'!$C:$C, MATCH(A236&amp;B236, 'Podium Target Times'!$A:$A&amp;'Podium Target Times'!$B:$B, 0))
</f>
        <v>292.08</v>
      </c>
      <c r="L236" s="8">
        <f>L239+G239</f>
        <v>299.5133333</v>
      </c>
      <c r="M236" s="6" t="str">
        <f t="shared" si="1"/>
        <v>4:59.51</v>
      </c>
      <c r="N236" s="9">
        <f>IFERROR(__xludf.DUMMYFUNCTION("LET(
  gen,$A236, ev,$B236, t,$M236,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)"),687.0)</f>
        <v>687</v>
      </c>
    </row>
    <row r="237">
      <c r="A237" s="10" t="s">
        <v>14</v>
      </c>
      <c r="B237" s="11" t="s">
        <v>199</v>
      </c>
      <c r="C237" s="11">
        <v>16.0</v>
      </c>
      <c r="D237" s="11">
        <v>2.0</v>
      </c>
      <c r="E237" s="12" t="s">
        <v>207</v>
      </c>
      <c r="F237" s="13">
        <f>IFERROR(__xludf.DUMMYFUNCTION("IF(
  REGEXMATCH(E237, "":""),
  60*VALUE(INDEX(SPLIT(E237, "":""),1,1)) + VALUE(INDEX(SPLIT(E237, "":""),1,2)),
  VALUE(E237)
)"),289.15)</f>
        <v>289.15</v>
      </c>
      <c r="G237" s="13">
        <f>average(F233-F236,F234-F237,F235-F238)</f>
        <v>5.066666667</v>
      </c>
      <c r="H237" s="13">
        <v>5.0666666666666815</v>
      </c>
      <c r="I237" s="11">
        <f>C230</f>
        <v>13</v>
      </c>
      <c r="J237" s="11">
        <f>C247</f>
        <v>21</v>
      </c>
      <c r="K237" s="11">
        <f t="array" ref="K237">INDEX('Podium Target Times'!$C:$C, MATCH(A237&amp;B237, 'Podium Target Times'!$A:$A&amp;'Podium Target Times'!$B:$B, 0))
</f>
        <v>292.08</v>
      </c>
      <c r="L237" s="13">
        <f>L239+G239</f>
        <v>299.5133333</v>
      </c>
      <c r="M237" s="11" t="str">
        <f t="shared" si="1"/>
        <v>4:59.51</v>
      </c>
      <c r="N237" s="14">
        <f>IFERROR(__xludf.DUMMYFUNCTION("LET(
  gen,$A237, ev,$B237, t,$M237,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)"),687.0)</f>
        <v>687</v>
      </c>
    </row>
    <row r="238">
      <c r="A238" s="5" t="s">
        <v>14</v>
      </c>
      <c r="B238" s="6" t="s">
        <v>199</v>
      </c>
      <c r="C238" s="6">
        <v>16.0</v>
      </c>
      <c r="D238" s="6">
        <v>3.0</v>
      </c>
      <c r="E238" s="7" t="s">
        <v>208</v>
      </c>
      <c r="F238" s="8">
        <f>IFERROR(__xludf.DUMMYFUNCTION("IF(
  REGEXMATCH(E238, "":""),
  60*VALUE(INDEX(SPLIT(E238, "":""),1,1)) + VALUE(INDEX(SPLIT(E238, "":""),1,2)),
  VALUE(E238)
)"),289.79)</f>
        <v>289.79</v>
      </c>
      <c r="G238" s="8">
        <f>average(F233-F236,F234-F237,F235-F238)</f>
        <v>5.066666667</v>
      </c>
      <c r="H238" s="8">
        <v>5.0666666666666815</v>
      </c>
      <c r="I238" s="6">
        <f>C230</f>
        <v>13</v>
      </c>
      <c r="J238" s="6">
        <f>C247</f>
        <v>21</v>
      </c>
      <c r="K238" s="6">
        <f t="array" ref="K238">INDEX('Podium Target Times'!$C:$C, MATCH(A238&amp;B238, 'Podium Target Times'!$A:$A&amp;'Podium Target Times'!$B:$B, 0))
</f>
        <v>292.08</v>
      </c>
      <c r="L238" s="8">
        <f>L239+G239</f>
        <v>299.5133333</v>
      </c>
      <c r="M238" s="6" t="str">
        <f t="shared" si="1"/>
        <v>4:59.51</v>
      </c>
      <c r="N238" s="9">
        <f>IFERROR(__xludf.DUMMYFUNCTION("LET(
  gen,$A238, ev,$B238, t,$M238,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)"),687.0)</f>
        <v>687</v>
      </c>
    </row>
    <row r="239">
      <c r="A239" s="10" t="s">
        <v>14</v>
      </c>
      <c r="B239" s="11" t="s">
        <v>199</v>
      </c>
      <c r="C239" s="11">
        <v>17.0</v>
      </c>
      <c r="D239" s="11">
        <v>1.0</v>
      </c>
      <c r="E239" s="12" t="s">
        <v>209</v>
      </c>
      <c r="F239" s="13">
        <f>IFERROR(__xludf.DUMMYFUNCTION("IF(
  REGEXMATCH(E239, "":""),
  60*VALUE(INDEX(SPLIT(E239, "":""),1,1)) + VALUE(INDEX(SPLIT(E239, "":""),1,2)),
  VALUE(E239)
)"),283.06)</f>
        <v>283.06</v>
      </c>
      <c r="G239" s="13">
        <f>average(F236-F239,F237-F240,F238-F241)</f>
        <v>3.163333333</v>
      </c>
      <c r="H239" s="13">
        <v>3.1633333333333176</v>
      </c>
      <c r="I239" s="11">
        <f>C230</f>
        <v>13</v>
      </c>
      <c r="J239" s="11">
        <f>C247</f>
        <v>21</v>
      </c>
      <c r="K239" s="11">
        <f t="array" ref="K239">INDEX('Podium Target Times'!$C:$C, MATCH(A239&amp;B239, 'Podium Target Times'!$A:$A&amp;'Podium Target Times'!$B:$B, 0))
</f>
        <v>292.08</v>
      </c>
      <c r="L239" s="13">
        <f>L242+G242</f>
        <v>296.35</v>
      </c>
      <c r="M239" s="11" t="str">
        <f t="shared" si="1"/>
        <v>4:56.35</v>
      </c>
      <c r="N239" s="14">
        <f>IFERROR(__xludf.DUMMYFUNCTION("LET(
  gen,$A239, ev,$B239, t,$M239,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240">
      <c r="A240" s="5" t="s">
        <v>14</v>
      </c>
      <c r="B240" s="6" t="s">
        <v>199</v>
      </c>
      <c r="C240" s="6">
        <v>17.0</v>
      </c>
      <c r="D240" s="6">
        <v>2.0</v>
      </c>
      <c r="E240" s="7" t="s">
        <v>210</v>
      </c>
      <c r="F240" s="8">
        <f>IFERROR(__xludf.DUMMYFUNCTION("IF(
  REGEXMATCH(E240, "":""),
  60*VALUE(INDEX(SPLIT(E240, "":""),1,1)) + VALUE(INDEX(SPLIT(E240, "":""),1,2)),
  VALUE(E240)
)"),285.98)</f>
        <v>285.98</v>
      </c>
      <c r="G240" s="8">
        <f>average(F236-F239,F237-F240,F238-F241)</f>
        <v>3.163333333</v>
      </c>
      <c r="H240" s="8">
        <v>3.1633333333333176</v>
      </c>
      <c r="I240" s="6">
        <f>C230</f>
        <v>13</v>
      </c>
      <c r="J240" s="6">
        <f>C247</f>
        <v>21</v>
      </c>
      <c r="K240" s="6">
        <f t="array" ref="K240">INDEX('Podium Target Times'!$C:$C, MATCH(A240&amp;B240, 'Podium Target Times'!$A:$A&amp;'Podium Target Times'!$B:$B, 0))
</f>
        <v>292.08</v>
      </c>
      <c r="L240" s="8">
        <f>L242+G242</f>
        <v>296.35</v>
      </c>
      <c r="M240" s="6" t="str">
        <f t="shared" si="1"/>
        <v>4:56.35</v>
      </c>
      <c r="N240" s="9">
        <f>IFERROR(__xludf.DUMMYFUNCTION("LET(
  gen,$A240, ev,$B240, t,$M240,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241">
      <c r="A241" s="10" t="s">
        <v>14</v>
      </c>
      <c r="B241" s="11" t="s">
        <v>199</v>
      </c>
      <c r="C241" s="11">
        <v>17.0</v>
      </c>
      <c r="D241" s="11">
        <v>3.0</v>
      </c>
      <c r="E241" s="12" t="s">
        <v>211</v>
      </c>
      <c r="F241" s="13">
        <f>IFERROR(__xludf.DUMMYFUNCTION("IF(
  REGEXMATCH(E241, "":""),
  60*VALUE(INDEX(SPLIT(E241, "":""),1,1)) + VALUE(INDEX(SPLIT(E241, "":""),1,2)),
  VALUE(E241)
)"),286.61)</f>
        <v>286.61</v>
      </c>
      <c r="G241" s="13">
        <f>average(F236-F239,F237-F240,F238-F241)</f>
        <v>3.163333333</v>
      </c>
      <c r="H241" s="13">
        <v>3.1633333333333176</v>
      </c>
      <c r="I241" s="11">
        <f>C230</f>
        <v>13</v>
      </c>
      <c r="J241" s="11">
        <f>C247</f>
        <v>21</v>
      </c>
      <c r="K241" s="11">
        <f t="array" ref="K241">INDEX('Podium Target Times'!$C:$C, MATCH(A241&amp;B241, 'Podium Target Times'!$A:$A&amp;'Podium Target Times'!$B:$B, 0))
</f>
        <v>292.08</v>
      </c>
      <c r="L241" s="13">
        <f>L242+G242</f>
        <v>296.35</v>
      </c>
      <c r="M241" s="11" t="str">
        <f t="shared" si="1"/>
        <v>4:56.35</v>
      </c>
      <c r="N241" s="14">
        <f>IFERROR(__xludf.DUMMYFUNCTION("LET(
  gen,$A241, ev,$B241, t,$M241,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)"),710.0)</f>
        <v>710</v>
      </c>
    </row>
    <row r="242">
      <c r="A242" s="5" t="s">
        <v>14</v>
      </c>
      <c r="B242" s="6" t="s">
        <v>199</v>
      </c>
      <c r="C242" s="6">
        <v>18.0</v>
      </c>
      <c r="D242" s="6">
        <v>2.0</v>
      </c>
      <c r="E242" s="7" t="s">
        <v>212</v>
      </c>
      <c r="F242" s="8">
        <f>IFERROR(__xludf.DUMMYFUNCTION("IF(
  REGEXMATCH(E242, "":""),
  60*VALUE(INDEX(SPLIT(E242, "":""),1,1)) + VALUE(INDEX(SPLIT(E242, "":""),1,2)),
  VALUE(E242)
)"),284.11)</f>
        <v>284.11</v>
      </c>
      <c r="G242" s="8">
        <f>average(F240-F242,F241-F243)</f>
        <v>1.87</v>
      </c>
      <c r="H242" s="8">
        <v>1.8700000000000045</v>
      </c>
      <c r="I242" s="6">
        <f>C230</f>
        <v>13</v>
      </c>
      <c r="J242" s="6">
        <f>C247</f>
        <v>21</v>
      </c>
      <c r="K242" s="6">
        <f t="array" ref="K242">INDEX('Podium Target Times'!$C:$C, MATCH(A242&amp;B242, 'Podium Target Times'!$A:$A&amp;'Podium Target Times'!$B:$B, 0))
</f>
        <v>292.08</v>
      </c>
      <c r="L242" s="8">
        <f>L244+G244</f>
        <v>294.48</v>
      </c>
      <c r="M242" s="6" t="str">
        <f t="shared" si="1"/>
        <v>4:54.48</v>
      </c>
      <c r="N242" s="9">
        <f>IFERROR(__xludf.DUMMYFUNCTION("LET(
  gen,$A242, ev,$B242, t,$M242,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)"),723.0)</f>
        <v>723</v>
      </c>
    </row>
    <row r="243">
      <c r="A243" s="10" t="s">
        <v>14</v>
      </c>
      <c r="B243" s="11" t="s">
        <v>199</v>
      </c>
      <c r="C243" s="11">
        <v>18.0</v>
      </c>
      <c r="D243" s="11">
        <v>3.0</v>
      </c>
      <c r="E243" s="12" t="s">
        <v>213</v>
      </c>
      <c r="F243" s="13">
        <f>IFERROR(__xludf.DUMMYFUNCTION("IF(
  REGEXMATCH(E243, "":""),
  60*VALUE(INDEX(SPLIT(E243, "":""),1,1)) + VALUE(INDEX(SPLIT(E243, "":""),1,2)),
  VALUE(E243)
)"),284.74)</f>
        <v>284.74</v>
      </c>
      <c r="G243" s="13">
        <f>average(F240-F242,F241-F243)</f>
        <v>1.87</v>
      </c>
      <c r="H243" s="13">
        <v>1.8700000000000045</v>
      </c>
      <c r="I243" s="11">
        <f>C230</f>
        <v>13</v>
      </c>
      <c r="J243" s="11">
        <f>C247</f>
        <v>21</v>
      </c>
      <c r="K243" s="11">
        <f t="array" ref="K243">INDEX('Podium Target Times'!$C:$C, MATCH(A243&amp;B243, 'Podium Target Times'!$A:$A&amp;'Podium Target Times'!$B:$B, 0))
</f>
        <v>292.08</v>
      </c>
      <c r="L243" s="13">
        <f>L244+G244</f>
        <v>294.48</v>
      </c>
      <c r="M243" s="11" t="str">
        <f t="shared" si="1"/>
        <v>4:54.48</v>
      </c>
      <c r="N243" s="14">
        <f>IFERROR(__xludf.DUMMYFUNCTION("LET(
  gen,$A243, ev,$B243, t,$M243,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)"),723.0)</f>
        <v>723</v>
      </c>
    </row>
    <row r="244">
      <c r="A244" s="5" t="s">
        <v>14</v>
      </c>
      <c r="B244" s="6" t="s">
        <v>199</v>
      </c>
      <c r="C244" s="6">
        <v>19.0</v>
      </c>
      <c r="D244" s="6">
        <v>2.0</v>
      </c>
      <c r="E244" s="7" t="s">
        <v>209</v>
      </c>
      <c r="F244" s="8">
        <f>IFERROR(__xludf.DUMMYFUNCTION("IF(
  REGEXMATCH(E244, "":""),
  60*VALUE(INDEX(SPLIT(E244, "":""),1,1)) + VALUE(INDEX(SPLIT(E244, "":""),1,2)),
  VALUE(E244)
)"),283.06)</f>
        <v>283.06</v>
      </c>
      <c r="G244" s="8">
        <f>average(F242-F244,F243-F245)</f>
        <v>1.05</v>
      </c>
      <c r="H244" s="8">
        <v>1.0500000000000114</v>
      </c>
      <c r="I244" s="6">
        <f>C230</f>
        <v>13</v>
      </c>
      <c r="J244" s="6">
        <f>C247</f>
        <v>21</v>
      </c>
      <c r="K244" s="6">
        <f t="array" ref="K244">INDEX('Podium Target Times'!$C:$C, MATCH(A244&amp;B244, 'Podium Target Times'!$A:$A&amp;'Podium Target Times'!$B:$B, 0))
</f>
        <v>292.08</v>
      </c>
      <c r="L244" s="8">
        <f>L246+G246</f>
        <v>293.43</v>
      </c>
      <c r="M244" s="6" t="str">
        <f t="shared" si="1"/>
        <v>4:53.43</v>
      </c>
      <c r="N244" s="9">
        <f>IFERROR(__xludf.DUMMYFUNCTION("LET(
  gen,$A244, ev,$B244, t,$M244,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)"),731.0)</f>
        <v>731</v>
      </c>
    </row>
    <row r="245">
      <c r="A245" s="10" t="s">
        <v>14</v>
      </c>
      <c r="B245" s="11" t="s">
        <v>199</v>
      </c>
      <c r="C245" s="11">
        <v>19.0</v>
      </c>
      <c r="D245" s="11">
        <v>3.0</v>
      </c>
      <c r="E245" s="12" t="s">
        <v>214</v>
      </c>
      <c r="F245" s="13">
        <f>IFERROR(__xludf.DUMMYFUNCTION("IF(
  REGEXMATCH(E245, "":""),
  60*VALUE(INDEX(SPLIT(E245, "":""),1,1)) + VALUE(INDEX(SPLIT(E245, "":""),1,2)),
  VALUE(E245)
)"),283.69)</f>
        <v>283.69</v>
      </c>
      <c r="G245" s="13">
        <f>average(F242-F244,F243-F245)</f>
        <v>1.05</v>
      </c>
      <c r="H245" s="13">
        <v>1.0500000000000114</v>
      </c>
      <c r="I245" s="11">
        <f>C230</f>
        <v>13</v>
      </c>
      <c r="J245" s="11">
        <f>C247</f>
        <v>21</v>
      </c>
      <c r="K245" s="11">
        <f t="array" ref="K245">INDEX('Podium Target Times'!$C:$C, MATCH(A245&amp;B245, 'Podium Target Times'!$A:$A&amp;'Podium Target Times'!$B:$B, 0))
</f>
        <v>292.08</v>
      </c>
      <c r="L245" s="13">
        <f t="shared" ref="L245:L246" si="26">L246+G246</f>
        <v>293.43</v>
      </c>
      <c r="M245" s="11" t="str">
        <f t="shared" si="1"/>
        <v>4:53.43</v>
      </c>
      <c r="N245" s="14">
        <f>IFERROR(__xludf.DUMMYFUNCTION("LET(
  gen,$A245, ev,$B245, t,$M245,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)"),731.0)</f>
        <v>731</v>
      </c>
    </row>
    <row r="246">
      <c r="A246" s="5" t="s">
        <v>14</v>
      </c>
      <c r="B246" s="6" t="s">
        <v>199</v>
      </c>
      <c r="C246" s="6">
        <v>20.0</v>
      </c>
      <c r="D246" s="6">
        <v>3.0</v>
      </c>
      <c r="E246" s="7" t="s">
        <v>215</v>
      </c>
      <c r="F246" s="8">
        <f>IFERROR(__xludf.DUMMYFUNCTION("IF(
  REGEXMATCH(E246, "":""),
  60*VALUE(INDEX(SPLIT(E246, "":""),1,1)) + VALUE(INDEX(SPLIT(E246, "":""),1,2)),
  VALUE(E246)
)"),283.24)</f>
        <v>283.24</v>
      </c>
      <c r="G246" s="8">
        <f t="shared" ref="G246:G247" si="27">F245-F246</f>
        <v>0.45</v>
      </c>
      <c r="H246" s="8">
        <v>0.44999999999998863</v>
      </c>
      <c r="I246" s="6">
        <f>C230</f>
        <v>13</v>
      </c>
      <c r="J246" s="6">
        <f>C247</f>
        <v>21</v>
      </c>
      <c r="K246" s="6">
        <f t="array" ref="K246">INDEX('Podium Target Times'!$C:$C, MATCH(A246&amp;B246, 'Podium Target Times'!$A:$A&amp;'Podium Target Times'!$B:$B, 0))
</f>
        <v>292.08</v>
      </c>
      <c r="L246" s="8">
        <f t="shared" si="26"/>
        <v>292.98</v>
      </c>
      <c r="M246" s="6" t="str">
        <f t="shared" si="1"/>
        <v>4:52.98</v>
      </c>
      <c r="N246" s="9">
        <f>IFERROR(__xludf.DUMMYFUNCTION("LET(
  gen,$A246, ev,$B246, t,$M246,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247">
      <c r="A247" s="10" t="s">
        <v>14</v>
      </c>
      <c r="B247" s="11" t="s">
        <v>199</v>
      </c>
      <c r="C247" s="11">
        <v>21.0</v>
      </c>
      <c r="D247" s="11">
        <v>3.0</v>
      </c>
      <c r="E247" s="12" t="s">
        <v>209</v>
      </c>
      <c r="F247" s="13">
        <f>IFERROR(__xludf.DUMMYFUNCTION("IF(
  REGEXMATCH(E247, "":""),
  60*VALUE(INDEX(SPLIT(E247, "":""),1,1)) + VALUE(INDEX(SPLIT(E247, "":""),1,2)),
  VALUE(E247)
)"),283.06)</f>
        <v>283.06</v>
      </c>
      <c r="G247" s="13">
        <f t="shared" si="27"/>
        <v>0.18</v>
      </c>
      <c r="H247" s="13">
        <v>0.18000000000000682</v>
      </c>
      <c r="I247" s="11">
        <f>C230</f>
        <v>13</v>
      </c>
      <c r="J247" s="11">
        <f>C247</f>
        <v>21</v>
      </c>
      <c r="K247" s="11">
        <f t="array" ref="K247">INDEX('Podium Target Times'!$C:$C, MATCH(A247&amp;B247, 'Podium Target Times'!$A:$A&amp;'Podium Target Times'!$B:$B, 0))
</f>
        <v>292.08</v>
      </c>
      <c r="L247" s="13">
        <f>G247+L248</f>
        <v>292.8</v>
      </c>
      <c r="M247" s="11" t="str">
        <f t="shared" si="1"/>
        <v>4:52.80</v>
      </c>
      <c r="N247" s="14">
        <f>IFERROR(__xludf.DUMMYFUNCTION("LET(
  gen,$A247, ev,$B247, t,$M247,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248">
      <c r="A248" s="5" t="s">
        <v>14</v>
      </c>
      <c r="B248" s="6" t="s">
        <v>199</v>
      </c>
      <c r="C248" s="6">
        <v>22.0</v>
      </c>
      <c r="D248" s="6"/>
      <c r="E248" s="7"/>
      <c r="F248" s="8">
        <f>IFERROR(__xludf.DUMMYFUNCTION("IF(
  REGEXMATCH(E248, "":""),
  60*VALUE(INDEX(SPLIT(E248, "":""),1,1)) + VALUE(INDEX(SPLIT(E248, "":""),1,2)),
  VALUE(E248)
)"),0.0)</f>
        <v>0</v>
      </c>
      <c r="G248" s="8"/>
      <c r="H248" s="8"/>
      <c r="I248" s="6">
        <f>C230</f>
        <v>13</v>
      </c>
      <c r="J248" s="6">
        <f>C247</f>
        <v>21</v>
      </c>
      <c r="K248" s="6">
        <f t="array" ref="K248">INDEX('Podium Target Times'!$C:$C, MATCH(A248&amp;B248, 'Podium Target Times'!$A:$A&amp;'Podium Target Times'!$B:$B, 0))
</f>
        <v>292.08</v>
      </c>
      <c r="L248" s="8">
        <f>G247+L249</f>
        <v>292.62</v>
      </c>
      <c r="M248" s="6" t="str">
        <f t="shared" si="1"/>
        <v>4:52.62</v>
      </c>
      <c r="N248" s="9">
        <f>IFERROR(__xludf.DUMMYFUNCTION("LET(
  gen,$A248, ev,$B248, t,$M248,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)"),737.0)</f>
        <v>737</v>
      </c>
    </row>
    <row r="249">
      <c r="A249" s="10" t="s">
        <v>14</v>
      </c>
      <c r="B249" s="11" t="s">
        <v>199</v>
      </c>
      <c r="C249" s="11">
        <v>23.0</v>
      </c>
      <c r="D249" s="11"/>
      <c r="E249" s="12"/>
      <c r="F249" s="13">
        <f>IFERROR(__xludf.DUMMYFUNCTION("IF(
  REGEXMATCH(E249, "":""),
  60*VALUE(INDEX(SPLIT(E249, "":""),1,1)) + VALUE(INDEX(SPLIT(E249, "":""),1,2)),
  VALUE(E249)
)"),0.0)</f>
        <v>0</v>
      </c>
      <c r="G249" s="13"/>
      <c r="H249" s="13"/>
      <c r="I249" s="11">
        <f>C230</f>
        <v>13</v>
      </c>
      <c r="J249" s="11">
        <f>C247</f>
        <v>21</v>
      </c>
      <c r="K249" s="11">
        <f t="array" ref="K249">INDEX('Podium Target Times'!$C:$C, MATCH(A249&amp;B249, 'Podium Target Times'!$A:$A&amp;'Podium Target Times'!$B:$B, 0))
</f>
        <v>292.08</v>
      </c>
      <c r="L249" s="13">
        <f>G247+L250</f>
        <v>292.44</v>
      </c>
      <c r="M249" s="11" t="str">
        <f t="shared" si="1"/>
        <v>4:52.44</v>
      </c>
      <c r="N249" s="14">
        <f>IFERROR(__xludf.DUMMYFUNCTION("LET(
  gen,$A249, ev,$B249, t,$M249,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250">
      <c r="A250" s="5" t="s">
        <v>14</v>
      </c>
      <c r="B250" s="6" t="s">
        <v>199</v>
      </c>
      <c r="C250" s="6">
        <v>24.0</v>
      </c>
      <c r="D250" s="6"/>
      <c r="E250" s="7"/>
      <c r="F250" s="8">
        <f>IFERROR(__xludf.DUMMYFUNCTION("IF(
  REGEXMATCH(E250, "":""),
  60*VALUE(INDEX(SPLIT(E250, "":""),1,1)) + VALUE(INDEX(SPLIT(E250, "":""),1,2)),
  VALUE(E250)
)"),0.0)</f>
        <v>0</v>
      </c>
      <c r="G250" s="8"/>
      <c r="H250" s="8"/>
      <c r="I250" s="6">
        <f>C230</f>
        <v>13</v>
      </c>
      <c r="J250" s="6">
        <f>C247</f>
        <v>21</v>
      </c>
      <c r="K250" s="6">
        <f t="array" ref="K250">INDEX('Podium Target Times'!$C:$C, MATCH(A250&amp;B250, 'Podium Target Times'!$A:$A&amp;'Podium Target Times'!$B:$B, 0))
</f>
        <v>292.08</v>
      </c>
      <c r="L250" s="8">
        <f>G247+L251</f>
        <v>292.26</v>
      </c>
      <c r="M250" s="6" t="str">
        <f t="shared" si="1"/>
        <v>4:52.26</v>
      </c>
      <c r="N250" s="9">
        <f>IFERROR(__xludf.DUMMYFUNCTION("LET(
  gen,$A250, ev,$B250, t,$M250,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251">
      <c r="A251" s="10" t="s">
        <v>14</v>
      </c>
      <c r="B251" s="11" t="s">
        <v>199</v>
      </c>
      <c r="C251" s="11">
        <v>25.0</v>
      </c>
      <c r="D251" s="11"/>
      <c r="E251" s="12"/>
      <c r="F251" s="13">
        <f>IFERROR(__xludf.DUMMYFUNCTION("IF(
  REGEXMATCH(E251, "":""),
  60*VALUE(INDEX(SPLIT(E251, "":""),1,1)) + VALUE(INDEX(SPLIT(E251, "":""),1,2)),
  VALUE(E251)
)"),0.0)</f>
        <v>0</v>
      </c>
      <c r="G251" s="13"/>
      <c r="H251" s="13"/>
      <c r="I251" s="11">
        <f>C230</f>
        <v>13</v>
      </c>
      <c r="J251" s="11">
        <f>C247</f>
        <v>21</v>
      </c>
      <c r="K251" s="11">
        <f t="array" ref="K251">INDEX('Podium Target Times'!$C:$C, MATCH(A251&amp;B251, 'Podium Target Times'!$A:$A&amp;'Podium Target Times'!$B:$B, 0))
</f>
        <v>292.08</v>
      </c>
      <c r="L251" s="11">
        <f>K251</f>
        <v>292.08</v>
      </c>
      <c r="M251" s="11" t="str">
        <f t="shared" si="1"/>
        <v>4:52.08</v>
      </c>
      <c r="N251" s="14">
        <f>IFERROR(__xludf.DUMMYFUNCTION("LET(
  gen,$A251, ev,$B251, t,$M251,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252">
      <c r="A252" s="5" t="s">
        <v>14</v>
      </c>
      <c r="B252" s="6" t="s">
        <v>216</v>
      </c>
      <c r="C252" s="6">
        <v>15.0</v>
      </c>
      <c r="D252" s="6">
        <v>1.0</v>
      </c>
      <c r="E252" s="7" t="s">
        <v>217</v>
      </c>
      <c r="F252" s="8">
        <f>IFERROR(__xludf.DUMMYFUNCTION("IF(
  REGEXMATCH(E252, "":""),
  60*VALUE(INDEX(SPLIT(E252, "":""),1,1)) + VALUE(INDEX(SPLIT(E252, "":""),1,2)),
  VALUE(E252)
)"),29.29)</f>
        <v>29.29</v>
      </c>
      <c r="G252" s="8">
        <v>0.0</v>
      </c>
      <c r="H252" s="8">
        <v>0.0</v>
      </c>
      <c r="I252" s="6">
        <f>C252</f>
        <v>15</v>
      </c>
      <c r="J252" s="6">
        <f>C271</f>
        <v>23</v>
      </c>
      <c r="K252" s="6">
        <f t="array" ref="K252">INDEX('Podium Target Times'!$C:$C, MATCH(A252&amp;B252, 'Podium Target Times'!$A:$A&amp;'Podium Target Times'!$B:$B, 0))
</f>
        <v>28.99</v>
      </c>
      <c r="L252" s="8">
        <f>L253+G253</f>
        <v>30.55333333</v>
      </c>
      <c r="M252" s="6" t="str">
        <f t="shared" si="1"/>
        <v>30.55</v>
      </c>
      <c r="N252" s="9">
        <f>IFERROR(__xludf.DUMMYFUNCTION("LET(
  gen,$A252, ev,$B252, t,$M252,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)"),679.0)</f>
        <v>679</v>
      </c>
    </row>
    <row r="253">
      <c r="A253" s="10" t="s">
        <v>14</v>
      </c>
      <c r="B253" s="11" t="s">
        <v>216</v>
      </c>
      <c r="C253" s="11">
        <v>16.0</v>
      </c>
      <c r="D253" s="11">
        <v>1.0</v>
      </c>
      <c r="E253" s="12" t="s">
        <v>218</v>
      </c>
      <c r="F253" s="13">
        <f>IFERROR(__xludf.DUMMYFUNCTION("IF(
  REGEXMATCH(E253, "":""),
  60*VALUE(INDEX(SPLIT(E253, "":""),1,1)) + VALUE(INDEX(SPLIT(E253, "":""),1,2)),
  VALUE(E253)
)"),28.78)</f>
        <v>28.78</v>
      </c>
      <c r="G253" s="13">
        <f>F252-F253</f>
        <v>0.51</v>
      </c>
      <c r="H253" s="13">
        <v>0.509999999999998</v>
      </c>
      <c r="I253" s="11">
        <f>C252</f>
        <v>15</v>
      </c>
      <c r="J253" s="11">
        <f>C271</f>
        <v>23</v>
      </c>
      <c r="K253" s="11">
        <f t="array" ref="K253">INDEX('Podium Target Times'!$C:$C, MATCH(A253&amp;B253, 'Podium Target Times'!$A:$A&amp;'Podium Target Times'!$B:$B, 0))
</f>
        <v>28.99</v>
      </c>
      <c r="L253" s="13">
        <f>L255+G255</f>
        <v>30.04333333</v>
      </c>
      <c r="M253" s="11" t="str">
        <f t="shared" si="1"/>
        <v>30.04</v>
      </c>
      <c r="N253" s="14">
        <f>IFERROR(__xludf.DUMMYFUNCTION("LET(
  gen,$A253, ev,$B253, t,$M253,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254">
      <c r="A254" s="5" t="s">
        <v>14</v>
      </c>
      <c r="B254" s="6" t="s">
        <v>216</v>
      </c>
      <c r="C254" s="6">
        <v>16.0</v>
      </c>
      <c r="D254" s="6">
        <v>2.0</v>
      </c>
      <c r="E254" s="7" t="s">
        <v>219</v>
      </c>
      <c r="F254" s="8">
        <f>IFERROR(__xludf.DUMMYFUNCTION("IF(
  REGEXMATCH(E254, "":""),
  60*VALUE(INDEX(SPLIT(E254, "":""),1,1)) + VALUE(INDEX(SPLIT(E254, "":""),1,2)),
  VALUE(E254)
)"),29.02)</f>
        <v>29.02</v>
      </c>
      <c r="G254" s="8">
        <f>F252-F253</f>
        <v>0.51</v>
      </c>
      <c r="H254" s="8">
        <v>0.509999999999998</v>
      </c>
      <c r="I254" s="6">
        <f>C252</f>
        <v>15</v>
      </c>
      <c r="J254" s="6">
        <f>C271</f>
        <v>23</v>
      </c>
      <c r="K254" s="6">
        <f t="array" ref="K254">INDEX('Podium Target Times'!$C:$C, MATCH(A254&amp;B254, 'Podium Target Times'!$A:$A&amp;'Podium Target Times'!$B:$B, 0))
</f>
        <v>28.99</v>
      </c>
      <c r="L254" s="8">
        <f>L255+G255</f>
        <v>30.04333333</v>
      </c>
      <c r="M254" s="6" t="str">
        <f t="shared" si="1"/>
        <v>30.04</v>
      </c>
      <c r="N254" s="9">
        <f>IFERROR(__xludf.DUMMYFUNCTION("LET(
  gen,$A254, ev,$B254, t,$M254,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255">
      <c r="A255" s="10" t="s">
        <v>14</v>
      </c>
      <c r="B255" s="11" t="s">
        <v>216</v>
      </c>
      <c r="C255" s="11">
        <v>17.0</v>
      </c>
      <c r="D255" s="11">
        <v>1.0</v>
      </c>
      <c r="E255" s="12" t="s">
        <v>220</v>
      </c>
      <c r="F255" s="13">
        <f>IFERROR(__xludf.DUMMYFUNCTION("IF(
  REGEXMATCH(E255, "":""),
  60*VALUE(INDEX(SPLIT(E255, "":""),1,1)) + VALUE(INDEX(SPLIT(E255, "":""),1,2)),
  VALUE(E255)
)"),28.52)</f>
        <v>28.52</v>
      </c>
      <c r="G255" s="13">
        <f>average(F253-F255,F254-F256)</f>
        <v>0.26</v>
      </c>
      <c r="H255" s="13">
        <v>0.2599999999999998</v>
      </c>
      <c r="I255" s="11">
        <f>C252</f>
        <v>15</v>
      </c>
      <c r="J255" s="11">
        <f>C271</f>
        <v>23</v>
      </c>
      <c r="K255" s="11">
        <f t="array" ref="K255">INDEX('Podium Target Times'!$C:$C, MATCH(A255&amp;B255, 'Podium Target Times'!$A:$A&amp;'Podium Target Times'!$B:$B, 0))
</f>
        <v>28.99</v>
      </c>
      <c r="L255" s="13">
        <f>L258+G258</f>
        <v>29.78333333</v>
      </c>
      <c r="M255" s="11" t="str">
        <f t="shared" si="1"/>
        <v>29.78</v>
      </c>
      <c r="N255" s="14">
        <f>IFERROR(__xludf.DUMMYFUNCTION("LET(
  gen,$A255, ev,$B255, t,$M255,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256">
      <c r="A256" s="5" t="s">
        <v>14</v>
      </c>
      <c r="B256" s="6" t="s">
        <v>216</v>
      </c>
      <c r="C256" s="6">
        <v>17.0</v>
      </c>
      <c r="D256" s="6">
        <v>2.0</v>
      </c>
      <c r="E256" s="7" t="s">
        <v>221</v>
      </c>
      <c r="F256" s="8">
        <f>IFERROR(__xludf.DUMMYFUNCTION("IF(
  REGEXMATCH(E256, "":""),
  60*VALUE(INDEX(SPLIT(E256, "":""),1,1)) + VALUE(INDEX(SPLIT(E256, "":""),1,2)),
  VALUE(E256)
)"),28.76)</f>
        <v>28.76</v>
      </c>
      <c r="G256" s="8">
        <f>average(F253-F255,F254-F256)</f>
        <v>0.26</v>
      </c>
      <c r="H256" s="8">
        <v>0.2599999999999998</v>
      </c>
      <c r="I256" s="6">
        <f>C252</f>
        <v>15</v>
      </c>
      <c r="J256" s="6">
        <f>C271</f>
        <v>23</v>
      </c>
      <c r="K256" s="6">
        <f t="array" ref="K256">INDEX('Podium Target Times'!$C:$C, MATCH(A256&amp;B256, 'Podium Target Times'!$A:$A&amp;'Podium Target Times'!$B:$B, 0))
</f>
        <v>28.99</v>
      </c>
      <c r="L256" s="8">
        <f>L258+G258</f>
        <v>29.78333333</v>
      </c>
      <c r="M256" s="6" t="str">
        <f t="shared" si="1"/>
        <v>29.78</v>
      </c>
      <c r="N256" s="9">
        <f>IFERROR(__xludf.DUMMYFUNCTION("LET(
  gen,$A256, ev,$B256, t,$M256,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257">
      <c r="A257" s="10" t="s">
        <v>14</v>
      </c>
      <c r="B257" s="11" t="s">
        <v>216</v>
      </c>
      <c r="C257" s="11">
        <v>17.0</v>
      </c>
      <c r="D257" s="11">
        <v>3.0</v>
      </c>
      <c r="E257" s="12" t="s">
        <v>222</v>
      </c>
      <c r="F257" s="13">
        <f>IFERROR(__xludf.DUMMYFUNCTION("IF(
  REGEXMATCH(E257, "":""),
  60*VALUE(INDEX(SPLIT(E257, "":""),1,1)) + VALUE(INDEX(SPLIT(E257, "":""),1,2)),
  VALUE(E257)
)"),28.9)</f>
        <v>28.9</v>
      </c>
      <c r="G257" s="13">
        <f>average(F253-F255,F254-F256)</f>
        <v>0.26</v>
      </c>
      <c r="H257" s="13">
        <v>0.2599999999999998</v>
      </c>
      <c r="I257" s="11">
        <f>C252</f>
        <v>15</v>
      </c>
      <c r="J257" s="11">
        <f>C271</f>
        <v>23</v>
      </c>
      <c r="K257" s="11">
        <f t="array" ref="K257">INDEX('Podium Target Times'!$C:$C, MATCH(A257&amp;B257, 'Podium Target Times'!$A:$A&amp;'Podium Target Times'!$B:$B, 0))
</f>
        <v>28.99</v>
      </c>
      <c r="L257" s="13">
        <f>L258+G258</f>
        <v>29.78333333</v>
      </c>
      <c r="M257" s="11" t="str">
        <f t="shared" si="1"/>
        <v>29.78</v>
      </c>
      <c r="N257" s="14">
        <f>IFERROR(__xludf.DUMMYFUNCTION("LET(
  gen,$A257, ev,$B257, t,$M257,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258">
      <c r="A258" s="5" t="s">
        <v>14</v>
      </c>
      <c r="B258" s="6" t="s">
        <v>216</v>
      </c>
      <c r="C258" s="6">
        <v>18.0</v>
      </c>
      <c r="D258" s="6">
        <v>1.0</v>
      </c>
      <c r="E258" s="7" t="s">
        <v>223</v>
      </c>
      <c r="F258" s="8">
        <f>IFERROR(__xludf.DUMMYFUNCTION("IF(
  REGEXMATCH(E258, "":""),
  60*VALUE(INDEX(SPLIT(E258, "":""),1,1)) + VALUE(INDEX(SPLIT(E258, "":""),1,2)),
  VALUE(E258)
)"),28.36)</f>
        <v>28.36</v>
      </c>
      <c r="G258" s="8">
        <f>average(F255-F258,F256-F259,F257-F260)</f>
        <v>0.1633333333</v>
      </c>
      <c r="H258" s="8">
        <v>0.1633333333333328</v>
      </c>
      <c r="I258" s="6">
        <f>C252</f>
        <v>15</v>
      </c>
      <c r="J258" s="6">
        <f>C271</f>
        <v>23</v>
      </c>
      <c r="K258" s="6">
        <f t="array" ref="K258">INDEX('Podium Target Times'!$C:$C, MATCH(A258&amp;B258, 'Podium Target Times'!$A:$A&amp;'Podium Target Times'!$B:$B, 0))
</f>
        <v>28.99</v>
      </c>
      <c r="L258" s="8">
        <f>L261+G261</f>
        <v>29.62</v>
      </c>
      <c r="M258" s="6" t="str">
        <f t="shared" si="1"/>
        <v>29.62</v>
      </c>
      <c r="N258" s="9">
        <f>IFERROR(__xludf.DUMMYFUNCTION("LET(
  gen,$A258, ev,$B258, t,$M258,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259">
      <c r="A259" s="10" t="s">
        <v>14</v>
      </c>
      <c r="B259" s="11" t="s">
        <v>216</v>
      </c>
      <c r="C259" s="11">
        <v>18.0</v>
      </c>
      <c r="D259" s="11">
        <v>2.0</v>
      </c>
      <c r="E259" s="12" t="s">
        <v>224</v>
      </c>
      <c r="F259" s="13">
        <f>IFERROR(__xludf.DUMMYFUNCTION("IF(
  REGEXMATCH(E259, "":""),
  60*VALUE(INDEX(SPLIT(E259, "":""),1,1)) + VALUE(INDEX(SPLIT(E259, "":""),1,2)),
  VALUE(E259)
)"),28.6)</f>
        <v>28.6</v>
      </c>
      <c r="G259" s="13">
        <f>average(F255-F258,F256-F259,F257-F260)</f>
        <v>0.1633333333</v>
      </c>
      <c r="H259" s="13">
        <v>0.1633333333333328</v>
      </c>
      <c r="I259" s="11">
        <f>C252</f>
        <v>15</v>
      </c>
      <c r="J259" s="11">
        <f>C271</f>
        <v>23</v>
      </c>
      <c r="K259" s="11">
        <f t="array" ref="K259">INDEX('Podium Target Times'!$C:$C, MATCH(A259&amp;B259, 'Podium Target Times'!$A:$A&amp;'Podium Target Times'!$B:$B, 0))
</f>
        <v>28.99</v>
      </c>
      <c r="L259" s="13">
        <f>L261+G261</f>
        <v>29.62</v>
      </c>
      <c r="M259" s="11" t="str">
        <f t="shared" si="1"/>
        <v>29.62</v>
      </c>
      <c r="N259" s="14">
        <f>IFERROR(__xludf.DUMMYFUNCTION("LET(
  gen,$A259, ev,$B259, t,$M259,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260">
      <c r="A260" s="5" t="s">
        <v>14</v>
      </c>
      <c r="B260" s="6" t="s">
        <v>216</v>
      </c>
      <c r="C260" s="6">
        <v>18.0</v>
      </c>
      <c r="D260" s="6">
        <v>3.0</v>
      </c>
      <c r="E260" s="7" t="s">
        <v>225</v>
      </c>
      <c r="F260" s="8">
        <f>IFERROR(__xludf.DUMMYFUNCTION("IF(
  REGEXMATCH(E260, "":""),
  60*VALUE(INDEX(SPLIT(E260, "":""),1,1)) + VALUE(INDEX(SPLIT(E260, "":""),1,2)),
  VALUE(E260)
)"),28.73)</f>
        <v>28.73</v>
      </c>
      <c r="G260" s="8">
        <f>average(F255-F258,F256-F259,F257-F260)</f>
        <v>0.1633333333</v>
      </c>
      <c r="H260" s="8">
        <v>0.1633333333333328</v>
      </c>
      <c r="I260" s="6">
        <f>C252</f>
        <v>15</v>
      </c>
      <c r="J260" s="6">
        <f>C271</f>
        <v>23</v>
      </c>
      <c r="K260" s="6">
        <f t="array" ref="K260">INDEX('Podium Target Times'!$C:$C, MATCH(A260&amp;B260, 'Podium Target Times'!$A:$A&amp;'Podium Target Times'!$B:$B, 0))
</f>
        <v>28.99</v>
      </c>
      <c r="L260" s="8">
        <f>L261+G261</f>
        <v>29.62</v>
      </c>
      <c r="M260" s="6" t="str">
        <f t="shared" si="1"/>
        <v>29.62</v>
      </c>
      <c r="N260" s="9">
        <f>IFERROR(__xludf.DUMMYFUNCTION("LET(
  gen,$A260, ev,$B260, t,$M260,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261">
      <c r="A261" s="10" t="s">
        <v>14</v>
      </c>
      <c r="B261" s="11" t="s">
        <v>216</v>
      </c>
      <c r="C261" s="11">
        <v>19.0</v>
      </c>
      <c r="D261" s="11">
        <v>1.0</v>
      </c>
      <c r="E261" s="12" t="s">
        <v>226</v>
      </c>
      <c r="F261" s="13">
        <f>IFERROR(__xludf.DUMMYFUNCTION("IF(
  REGEXMATCH(E261, "":""),
  60*VALUE(INDEX(SPLIT(E261, "":""),1,1)) + VALUE(INDEX(SPLIT(E261, "":""),1,2)),
  VALUE(E261)
)"),28.22)</f>
        <v>28.22</v>
      </c>
      <c r="G261" s="13">
        <f>average(F258-F261,F259-F262,F260-F263)</f>
        <v>0.14</v>
      </c>
      <c r="H261" s="13">
        <v>0.14000000000000057</v>
      </c>
      <c r="I261" s="11">
        <f>C252</f>
        <v>15</v>
      </c>
      <c r="J261" s="11">
        <f>C271</f>
        <v>23</v>
      </c>
      <c r="K261" s="11">
        <f t="array" ref="K261">INDEX('Podium Target Times'!$C:$C, MATCH(A261&amp;B261, 'Podium Target Times'!$A:$A&amp;'Podium Target Times'!$B:$B, 0))
</f>
        <v>28.99</v>
      </c>
      <c r="L261" s="13">
        <f>L264+G264</f>
        <v>29.48</v>
      </c>
      <c r="M261" s="11" t="str">
        <f t="shared" si="1"/>
        <v>29.48</v>
      </c>
      <c r="N261" s="14">
        <f>IFERROR(__xludf.DUMMYFUNCTION("LET(
  gen,$A261, ev,$B261, t,$M261,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62">
      <c r="A262" s="5" t="s">
        <v>14</v>
      </c>
      <c r="B262" s="6" t="s">
        <v>216</v>
      </c>
      <c r="C262" s="6">
        <v>19.0</v>
      </c>
      <c r="D262" s="6">
        <v>2.0</v>
      </c>
      <c r="E262" s="7" t="s">
        <v>227</v>
      </c>
      <c r="F262" s="8">
        <f>IFERROR(__xludf.DUMMYFUNCTION("IF(
  REGEXMATCH(E262, "":""),
  60*VALUE(INDEX(SPLIT(E262, "":""),1,1)) + VALUE(INDEX(SPLIT(E262, "":""),1,2)),
  VALUE(E262)
)"),28.46)</f>
        <v>28.46</v>
      </c>
      <c r="G262" s="8">
        <f>average(F258-F261,F259-F262,F260-F263)</f>
        <v>0.14</v>
      </c>
      <c r="H262" s="8">
        <v>0.14000000000000057</v>
      </c>
      <c r="I262" s="6">
        <f>C252</f>
        <v>15</v>
      </c>
      <c r="J262" s="6">
        <f>C271</f>
        <v>23</v>
      </c>
      <c r="K262" s="6">
        <f t="array" ref="K262">INDEX('Podium Target Times'!$C:$C, MATCH(A262&amp;B262, 'Podium Target Times'!$A:$A&amp;'Podium Target Times'!$B:$B, 0))
</f>
        <v>28.99</v>
      </c>
      <c r="L262" s="8">
        <f>L264+G264</f>
        <v>29.48</v>
      </c>
      <c r="M262" s="6" t="str">
        <f t="shared" si="1"/>
        <v>29.48</v>
      </c>
      <c r="N262" s="9">
        <f>IFERROR(__xludf.DUMMYFUNCTION("LET(
  gen,$A262, ev,$B262, t,$M262,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63">
      <c r="A263" s="10" t="s">
        <v>14</v>
      </c>
      <c r="B263" s="11" t="s">
        <v>216</v>
      </c>
      <c r="C263" s="11">
        <v>19.0</v>
      </c>
      <c r="D263" s="11">
        <v>3.0</v>
      </c>
      <c r="E263" s="12" t="s">
        <v>228</v>
      </c>
      <c r="F263" s="13">
        <f>IFERROR(__xludf.DUMMYFUNCTION("IF(
  REGEXMATCH(E263, "":""),
  60*VALUE(INDEX(SPLIT(E263, "":""),1,1)) + VALUE(INDEX(SPLIT(E263, "":""),1,2)),
  VALUE(E263)
)"),28.59)</f>
        <v>28.59</v>
      </c>
      <c r="G263" s="13">
        <f>average(F258-F261,F259-F262,F260-F263)</f>
        <v>0.14</v>
      </c>
      <c r="H263" s="13">
        <v>0.14000000000000057</v>
      </c>
      <c r="I263" s="11">
        <f>C252</f>
        <v>15</v>
      </c>
      <c r="J263" s="11">
        <f>C271</f>
        <v>23</v>
      </c>
      <c r="K263" s="11">
        <f t="array" ref="K263">INDEX('Podium Target Times'!$C:$C, MATCH(A263&amp;B263, 'Podium Target Times'!$A:$A&amp;'Podium Target Times'!$B:$B, 0))
</f>
        <v>28.99</v>
      </c>
      <c r="L263" s="13">
        <f>L264+G264</f>
        <v>29.48</v>
      </c>
      <c r="M263" s="11" t="str">
        <f t="shared" si="1"/>
        <v>29.48</v>
      </c>
      <c r="N263" s="14">
        <f>IFERROR(__xludf.DUMMYFUNCTION("LET(
  gen,$A263, ev,$B263, t,$M263,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264">
      <c r="A264" s="5" t="s">
        <v>14</v>
      </c>
      <c r="B264" s="6" t="s">
        <v>216</v>
      </c>
      <c r="C264" s="6">
        <v>20.0</v>
      </c>
      <c r="D264" s="6">
        <v>2.0</v>
      </c>
      <c r="E264" s="7" t="s">
        <v>229</v>
      </c>
      <c r="F264" s="8">
        <f>IFERROR(__xludf.DUMMYFUNCTION("IF(
  REGEXMATCH(E264, "":""),
  60*VALUE(INDEX(SPLIT(E264, "":""),1,1)) + VALUE(INDEX(SPLIT(E264, "":""),1,2)),
  VALUE(E264)
)"),28.32)</f>
        <v>28.32</v>
      </c>
      <c r="G264" s="8">
        <f>average(F262-F264,F263-F265)</f>
        <v>0.135</v>
      </c>
      <c r="H264" s="8">
        <v>0.1349999999999998</v>
      </c>
      <c r="I264" s="6">
        <f>C252</f>
        <v>15</v>
      </c>
      <c r="J264" s="6">
        <f>C271</f>
        <v>23</v>
      </c>
      <c r="K264" s="6">
        <f t="array" ref="K264">INDEX('Podium Target Times'!$C:$C, MATCH(A264&amp;B264, 'Podium Target Times'!$A:$A&amp;'Podium Target Times'!$B:$B, 0))
</f>
        <v>28.99</v>
      </c>
      <c r="L264" s="8">
        <f>L266+G266</f>
        <v>29.345</v>
      </c>
      <c r="M264" s="6" t="str">
        <f t="shared" si="1"/>
        <v>29.35</v>
      </c>
      <c r="N264" s="9">
        <f>IFERROR(__xludf.DUMMYFUNCTION("LET(
  gen,$A264, ev,$B264, t,$M264,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265">
      <c r="A265" s="10" t="s">
        <v>14</v>
      </c>
      <c r="B265" s="11" t="s">
        <v>216</v>
      </c>
      <c r="C265" s="11">
        <v>20.0</v>
      </c>
      <c r="D265" s="11">
        <v>3.0</v>
      </c>
      <c r="E265" s="12" t="s">
        <v>227</v>
      </c>
      <c r="F265" s="13">
        <f>IFERROR(__xludf.DUMMYFUNCTION("IF(
  REGEXMATCH(E265, "":""),
  60*VALUE(INDEX(SPLIT(E265, "":""),1,1)) + VALUE(INDEX(SPLIT(E265, "":""),1,2)),
  VALUE(E265)
)"),28.46)</f>
        <v>28.46</v>
      </c>
      <c r="G265" s="13">
        <f>average(F262-F264,F263-F265)</f>
        <v>0.135</v>
      </c>
      <c r="H265" s="13">
        <v>0.1349999999999998</v>
      </c>
      <c r="I265" s="11">
        <f>C252</f>
        <v>15</v>
      </c>
      <c r="J265" s="11">
        <f>C271</f>
        <v>23</v>
      </c>
      <c r="K265" s="11">
        <f t="array" ref="K265">INDEX('Podium Target Times'!$C:$C, MATCH(A265&amp;B265, 'Podium Target Times'!$A:$A&amp;'Podium Target Times'!$B:$B, 0))
</f>
        <v>28.99</v>
      </c>
      <c r="L265" s="13">
        <f>L266+G266</f>
        <v>29.345</v>
      </c>
      <c r="M265" s="11" t="str">
        <f t="shared" si="1"/>
        <v>29.35</v>
      </c>
      <c r="N265" s="14">
        <f>IFERROR(__xludf.DUMMYFUNCTION("LET(
  gen,$A265, ev,$B265, t,$M265,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266">
      <c r="A266" s="5" t="s">
        <v>14</v>
      </c>
      <c r="B266" s="6" t="s">
        <v>216</v>
      </c>
      <c r="C266" s="6">
        <v>21.0</v>
      </c>
      <c r="D266" s="6">
        <v>2.0</v>
      </c>
      <c r="E266" s="7" t="s">
        <v>226</v>
      </c>
      <c r="F266" s="8">
        <f>IFERROR(__xludf.DUMMYFUNCTION("IF(
  REGEXMATCH(E266, "":""),
  60*VALUE(INDEX(SPLIT(E266, "":""),1,1)) + VALUE(INDEX(SPLIT(E266, "":""),1,2)),
  VALUE(E266)
)"),28.22)</f>
        <v>28.22</v>
      </c>
      <c r="G266" s="8">
        <f>average(F264-F266,F265-F267)</f>
        <v>0.105</v>
      </c>
      <c r="H266" s="8">
        <v>0.10500000000000043</v>
      </c>
      <c r="I266" s="6">
        <f>C252</f>
        <v>15</v>
      </c>
      <c r="J266" s="6">
        <f>C271</f>
        <v>23</v>
      </c>
      <c r="K266" s="6">
        <f t="array" ref="K266">INDEX('Podium Target Times'!$C:$C, MATCH(A266&amp;B266, 'Podium Target Times'!$A:$A&amp;'Podium Target Times'!$B:$B, 0))
</f>
        <v>28.99</v>
      </c>
      <c r="L266" s="8">
        <f>L268+G268</f>
        <v>29.24</v>
      </c>
      <c r="M266" s="6" t="str">
        <f t="shared" si="1"/>
        <v>29.24</v>
      </c>
      <c r="N266" s="9">
        <f>IFERROR(__xludf.DUMMYFUNCTION("LET(
  gen,$A266, ev,$B266, t,$M266,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267">
      <c r="A267" s="10" t="s">
        <v>14</v>
      </c>
      <c r="B267" s="11" t="s">
        <v>216</v>
      </c>
      <c r="C267" s="11">
        <v>21.0</v>
      </c>
      <c r="D267" s="11">
        <v>3.0</v>
      </c>
      <c r="E267" s="12" t="s">
        <v>230</v>
      </c>
      <c r="F267" s="13">
        <f>IFERROR(__xludf.DUMMYFUNCTION("IF(
  REGEXMATCH(E267, "":""),
  60*VALUE(INDEX(SPLIT(E267, "":""),1,1)) + VALUE(INDEX(SPLIT(E267, "":""),1,2)),
  VALUE(E267)
)"),28.35)</f>
        <v>28.35</v>
      </c>
      <c r="G267" s="13">
        <f>average(F264-F266,F265-F267)</f>
        <v>0.105</v>
      </c>
      <c r="H267" s="13">
        <v>0.10500000000000043</v>
      </c>
      <c r="I267" s="11">
        <f>C252</f>
        <v>15</v>
      </c>
      <c r="J267" s="11">
        <f>C271</f>
        <v>23</v>
      </c>
      <c r="K267" s="11">
        <f t="array" ref="K267">INDEX('Podium Target Times'!$C:$C, MATCH(A267&amp;B267, 'Podium Target Times'!$A:$A&amp;'Podium Target Times'!$B:$B, 0))
</f>
        <v>28.99</v>
      </c>
      <c r="L267" s="13">
        <f>L268+G268</f>
        <v>29.24</v>
      </c>
      <c r="M267" s="11" t="str">
        <f t="shared" si="1"/>
        <v>29.24</v>
      </c>
      <c r="N267" s="14">
        <f>IFERROR(__xludf.DUMMYFUNCTION("LET(
  gen,$A267, ev,$B267, t,$M267,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268">
      <c r="A268" s="5" t="s">
        <v>14</v>
      </c>
      <c r="B268" s="6" t="s">
        <v>216</v>
      </c>
      <c r="C268" s="6">
        <v>22.0</v>
      </c>
      <c r="D268" s="6">
        <v>3.0</v>
      </c>
      <c r="E268" s="7" t="s">
        <v>231</v>
      </c>
      <c r="F268" s="8">
        <f>IFERROR(__xludf.DUMMYFUNCTION("IF(
  REGEXMATCH(E268, "":""),
  60*VALUE(INDEX(SPLIT(E268, "":""),1,1)) + VALUE(INDEX(SPLIT(E268, "":""),1,2)),
  VALUE(E268)
)"),28.28)</f>
        <v>28.28</v>
      </c>
      <c r="G268" s="8">
        <f t="shared" ref="G268:G269" si="28">F267-F268</f>
        <v>0.07</v>
      </c>
      <c r="H268" s="8">
        <v>0.07000000000000028</v>
      </c>
      <c r="I268" s="6">
        <f>C252</f>
        <v>15</v>
      </c>
      <c r="J268" s="6">
        <f>C271</f>
        <v>23</v>
      </c>
      <c r="K268" s="6">
        <f t="array" ref="K268">INDEX('Podium Target Times'!$C:$C, MATCH(A268&amp;B268, 'Podium Target Times'!$A:$A&amp;'Podium Target Times'!$B:$B, 0))
</f>
        <v>28.99</v>
      </c>
      <c r="L268" s="8">
        <f>G269+L269</f>
        <v>29.17</v>
      </c>
      <c r="M268" s="6" t="str">
        <f t="shared" si="1"/>
        <v>29.17</v>
      </c>
      <c r="N268" s="9">
        <f>IFERROR(__xludf.DUMMYFUNCTION("LET(
  gen,$A268, ev,$B268, t,$M268,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269">
      <c r="A269" s="10" t="s">
        <v>14</v>
      </c>
      <c r="B269" s="11" t="s">
        <v>216</v>
      </c>
      <c r="C269" s="11">
        <v>23.0</v>
      </c>
      <c r="D269" s="11">
        <v>3.0</v>
      </c>
      <c r="E269" s="12" t="s">
        <v>226</v>
      </c>
      <c r="F269" s="13">
        <f>IFERROR(__xludf.DUMMYFUNCTION("IF(
  REGEXMATCH(E269, "":""),
  60*VALUE(INDEX(SPLIT(E269, "":""),1,1)) + VALUE(INDEX(SPLIT(E269, "":""),1,2)),
  VALUE(E269)
)"),28.22)</f>
        <v>28.22</v>
      </c>
      <c r="G269" s="13">
        <f t="shared" si="28"/>
        <v>0.06</v>
      </c>
      <c r="H269" s="13"/>
      <c r="I269" s="11">
        <f>C252</f>
        <v>15</v>
      </c>
      <c r="J269" s="11">
        <f>C271</f>
        <v>23</v>
      </c>
      <c r="K269" s="11">
        <f t="array" ref="K269">INDEX('Podium Target Times'!$C:$C, MATCH(A269&amp;B269, 'Podium Target Times'!$A:$A&amp;'Podium Target Times'!$B:$B, 0))
</f>
        <v>28.99</v>
      </c>
      <c r="L269" s="13">
        <f>G269+L270</f>
        <v>29.11</v>
      </c>
      <c r="M269" s="11" t="str">
        <f t="shared" si="1"/>
        <v>29.11</v>
      </c>
      <c r="N269" s="14">
        <f>IFERROR(__xludf.DUMMYFUNCTION("LET(
  gen,$A269, ev,$B269, t,$M269,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)"),785.0)</f>
        <v>785</v>
      </c>
    </row>
    <row r="270">
      <c r="A270" s="5" t="s">
        <v>14</v>
      </c>
      <c r="B270" s="6" t="s">
        <v>216</v>
      </c>
      <c r="C270" s="6">
        <v>24.0</v>
      </c>
      <c r="D270" s="6"/>
      <c r="E270" s="7"/>
      <c r="F270" s="8">
        <f>IFERROR(__xludf.DUMMYFUNCTION("IF(
  REGEXMATCH(E270, "":""),
  60*VALUE(INDEX(SPLIT(E270, "":""),1,1)) + VALUE(INDEX(SPLIT(E270, "":""),1,2)),
  VALUE(E270)
)"),0.0)</f>
        <v>0</v>
      </c>
      <c r="G270" s="8"/>
      <c r="H270" s="8"/>
      <c r="I270" s="6">
        <f>C252</f>
        <v>15</v>
      </c>
      <c r="J270" s="6">
        <f>C271</f>
        <v>23</v>
      </c>
      <c r="K270" s="6">
        <f t="array" ref="K270">INDEX('Podium Target Times'!$C:$C, MATCH(A270&amp;B270, 'Podium Target Times'!$A:$A&amp;'Podium Target Times'!$B:$B, 0))
</f>
        <v>28.99</v>
      </c>
      <c r="L270" s="8">
        <f>G269+L271</f>
        <v>29.05</v>
      </c>
      <c r="M270" s="6" t="str">
        <f t="shared" si="1"/>
        <v>29.05</v>
      </c>
      <c r="N270" s="9">
        <f>IFERROR(__xludf.DUMMYFUNCTION("LET(
  gen,$A270, ev,$B270, t,$M270,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)"),790.0)</f>
        <v>790</v>
      </c>
    </row>
    <row r="271">
      <c r="A271" s="10" t="s">
        <v>14</v>
      </c>
      <c r="B271" s="11" t="s">
        <v>216</v>
      </c>
      <c r="C271" s="11">
        <v>23.0</v>
      </c>
      <c r="D271" s="11"/>
      <c r="E271" s="12"/>
      <c r="F271" s="13">
        <f>IFERROR(__xludf.DUMMYFUNCTION("IF(
  REGEXMATCH(E271, "":""),
  60*VALUE(INDEX(SPLIT(E271, "":""),1,1)) + VALUE(INDEX(SPLIT(E271, "":""),1,2)),
  VALUE(E271)
)"),0.0)</f>
        <v>0</v>
      </c>
      <c r="G271" s="13"/>
      <c r="H271" s="13"/>
      <c r="I271" s="11">
        <f>C252</f>
        <v>15</v>
      </c>
      <c r="J271" s="11">
        <f>C271</f>
        <v>23</v>
      </c>
      <c r="K271" s="11">
        <f t="array" ref="K271">INDEX('Podium Target Times'!$C:$C, MATCH(A271&amp;B271, 'Podium Target Times'!$A:$A&amp;'Podium Target Times'!$B:$B, 0))
</f>
        <v>28.99</v>
      </c>
      <c r="L271" s="11">
        <f>K271</f>
        <v>28.99</v>
      </c>
      <c r="M271" s="11" t="str">
        <f t="shared" si="1"/>
        <v>28.99</v>
      </c>
      <c r="N271" s="14">
        <f>IFERROR(__xludf.DUMMYFUNCTION("LET(
  gen,$A271, ev,$B271, t,$M271,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)"),795.0)</f>
        <v>795</v>
      </c>
    </row>
    <row r="272">
      <c r="A272" s="5" t="s">
        <v>14</v>
      </c>
      <c r="B272" s="6" t="s">
        <v>232</v>
      </c>
      <c r="C272" s="6">
        <v>16.0</v>
      </c>
      <c r="D272" s="6">
        <v>1.0</v>
      </c>
      <c r="E272" s="7" t="s">
        <v>233</v>
      </c>
      <c r="F272" s="8">
        <f>IFERROR(__xludf.DUMMYFUNCTION("IF(
  REGEXMATCH(E272, "":""),
  60*VALUE(INDEX(SPLIT(E272, "":""),1,1)) + VALUE(INDEX(SPLIT(E272, "":""),1,2)),
  VALUE(E272)
)"),31.56)</f>
        <v>31.56</v>
      </c>
      <c r="G272" s="8">
        <v>0.0</v>
      </c>
      <c r="H272" s="8">
        <v>0.0</v>
      </c>
      <c r="I272" s="6">
        <f>C272</f>
        <v>16</v>
      </c>
      <c r="J272" s="6">
        <f>C289</f>
        <v>24</v>
      </c>
      <c r="K272" s="6">
        <f t="array" ref="K272">INDEX('Podium Target Times'!$C:$C, MATCH(A272&amp;B272, 'Podium Target Times'!$A:$A&amp;'Podium Target Times'!$B:$B, 0))
</f>
        <v>31.94</v>
      </c>
      <c r="L272" s="8">
        <f>L273+G273</f>
        <v>32.94</v>
      </c>
      <c r="M272" s="6" t="str">
        <f t="shared" si="1"/>
        <v>32.94</v>
      </c>
      <c r="N272" s="9">
        <f>IFERROR(__xludf.DUMMYFUNCTION("LET(
  gen,$A272, ev,$B272, t,$M272,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)"),693.0)</f>
        <v>693</v>
      </c>
    </row>
    <row r="273">
      <c r="A273" s="10" t="s">
        <v>14</v>
      </c>
      <c r="B273" s="11" t="s">
        <v>232</v>
      </c>
      <c r="C273" s="11">
        <v>17.0</v>
      </c>
      <c r="D273" s="11">
        <v>1.0</v>
      </c>
      <c r="E273" s="12" t="s">
        <v>234</v>
      </c>
      <c r="F273" s="13">
        <f>IFERROR(__xludf.DUMMYFUNCTION("IF(
  REGEXMATCH(E273, "":""),
  60*VALUE(INDEX(SPLIT(E273, "":""),1,1)) + VALUE(INDEX(SPLIT(E273, "":""),1,2)),
  VALUE(E273)
)"),31.2)</f>
        <v>31.2</v>
      </c>
      <c r="G273" s="13">
        <f>F272-F273</f>
        <v>0.36</v>
      </c>
      <c r="H273" s="13">
        <v>0.35999999999999943</v>
      </c>
      <c r="I273" s="11">
        <f>C272</f>
        <v>16</v>
      </c>
      <c r="J273" s="11">
        <f>C289</f>
        <v>24</v>
      </c>
      <c r="K273" s="11">
        <f t="array" ref="K273">INDEX('Podium Target Times'!$C:$C, MATCH(A273&amp;B273, 'Podium Target Times'!$A:$A&amp;'Podium Target Times'!$B:$B, 0))
</f>
        <v>31.94</v>
      </c>
      <c r="L273" s="13">
        <f>L275+G275</f>
        <v>32.58</v>
      </c>
      <c r="M273" s="11" t="str">
        <f t="shared" si="1"/>
        <v>32.58</v>
      </c>
      <c r="N273" s="14">
        <f>IFERROR(__xludf.DUMMYFUNCTION("LET(
  gen,$A273, ev,$B273, t,$M273,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274">
      <c r="A274" s="5" t="s">
        <v>14</v>
      </c>
      <c r="B274" s="6" t="s">
        <v>232</v>
      </c>
      <c r="C274" s="6">
        <v>17.0</v>
      </c>
      <c r="D274" s="6">
        <v>2.0</v>
      </c>
      <c r="E274" s="7" t="s">
        <v>235</v>
      </c>
      <c r="F274" s="8">
        <f>IFERROR(__xludf.DUMMYFUNCTION("IF(
  REGEXMATCH(E274, "":""),
  60*VALUE(INDEX(SPLIT(E274, "":""),1,1)) + VALUE(INDEX(SPLIT(E274, "":""),1,2)),
  VALUE(E274)
)"),31.35)</f>
        <v>31.35</v>
      </c>
      <c r="G274" s="8">
        <f>F272-F273</f>
        <v>0.36</v>
      </c>
      <c r="H274" s="8">
        <v>0.35999999999999943</v>
      </c>
      <c r="I274" s="6">
        <f>C272</f>
        <v>16</v>
      </c>
      <c r="J274" s="6">
        <f>C289</f>
        <v>24</v>
      </c>
      <c r="K274" s="6">
        <f t="array" ref="K274">INDEX('Podium Target Times'!$C:$C, MATCH(A274&amp;B274, 'Podium Target Times'!$A:$A&amp;'Podium Target Times'!$B:$B, 0))
</f>
        <v>31.94</v>
      </c>
      <c r="L274" s="8">
        <f>L275+G275</f>
        <v>32.58</v>
      </c>
      <c r="M274" s="6" t="str">
        <f t="shared" si="1"/>
        <v>32.58</v>
      </c>
      <c r="N274" s="9">
        <f>IFERROR(__xludf.DUMMYFUNCTION("LET(
  gen,$A274, ev,$B274, t,$M274,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275">
      <c r="A275" s="10" t="s">
        <v>14</v>
      </c>
      <c r="B275" s="11" t="s">
        <v>232</v>
      </c>
      <c r="C275" s="11">
        <v>18.0</v>
      </c>
      <c r="D275" s="11">
        <v>1.0</v>
      </c>
      <c r="E275" s="12" t="s">
        <v>236</v>
      </c>
      <c r="F275" s="13">
        <f>IFERROR(__xludf.DUMMYFUNCTION("IF(
  REGEXMATCH(E275, "":""),
  60*VALUE(INDEX(SPLIT(E275, "":""),1,1)) + VALUE(INDEX(SPLIT(E275, "":""),1,2)),
  VALUE(E275)
)"),31.0)</f>
        <v>31</v>
      </c>
      <c r="G275" s="13">
        <f>average(F273-F275,F274-F276)</f>
        <v>0.2</v>
      </c>
      <c r="H275" s="13">
        <v>0.20000000000000107</v>
      </c>
      <c r="I275" s="11">
        <f>C272</f>
        <v>16</v>
      </c>
      <c r="J275" s="11">
        <f>C289</f>
        <v>24</v>
      </c>
      <c r="K275" s="11">
        <f t="array" ref="K275">INDEX('Podium Target Times'!$C:$C, MATCH(A275&amp;B275, 'Podium Target Times'!$A:$A&amp;'Podium Target Times'!$B:$B, 0))
</f>
        <v>31.94</v>
      </c>
      <c r="L275" s="13">
        <f>L278+G278</f>
        <v>32.38</v>
      </c>
      <c r="M275" s="11" t="str">
        <f t="shared" si="1"/>
        <v>32.38</v>
      </c>
      <c r="N275" s="14">
        <f>IFERROR(__xludf.DUMMYFUNCTION("LET(
  gen,$A275, ev,$B275, t,$M275,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76">
      <c r="A276" s="5" t="s">
        <v>14</v>
      </c>
      <c r="B276" s="6" t="s">
        <v>232</v>
      </c>
      <c r="C276" s="6">
        <v>18.0</v>
      </c>
      <c r="D276" s="6">
        <v>2.0</v>
      </c>
      <c r="E276" s="7" t="s">
        <v>237</v>
      </c>
      <c r="F276" s="8">
        <f>IFERROR(__xludf.DUMMYFUNCTION("IF(
  REGEXMATCH(E276, "":""),
  60*VALUE(INDEX(SPLIT(E276, "":""),1,1)) + VALUE(INDEX(SPLIT(E276, "":""),1,2)),
  VALUE(E276)
)"),31.15)</f>
        <v>31.15</v>
      </c>
      <c r="G276" s="8">
        <f>average(F273-F275,F274-F276)</f>
        <v>0.2</v>
      </c>
      <c r="H276" s="8">
        <v>0.20000000000000107</v>
      </c>
      <c r="I276" s="6">
        <f>C272</f>
        <v>16</v>
      </c>
      <c r="J276" s="6">
        <f>C289</f>
        <v>24</v>
      </c>
      <c r="K276" s="6">
        <f t="array" ref="K276">INDEX('Podium Target Times'!$C:$C, MATCH(A276&amp;B276, 'Podium Target Times'!$A:$A&amp;'Podium Target Times'!$B:$B, 0))
</f>
        <v>31.94</v>
      </c>
      <c r="L276" s="8">
        <f>L278+G278</f>
        <v>32.38</v>
      </c>
      <c r="M276" s="6" t="str">
        <f t="shared" si="1"/>
        <v>32.38</v>
      </c>
      <c r="N276" s="9">
        <f>IFERROR(__xludf.DUMMYFUNCTION("LET(
  gen,$A276, ev,$B276, t,$M276,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77">
      <c r="A277" s="10" t="s">
        <v>14</v>
      </c>
      <c r="B277" s="11" t="s">
        <v>232</v>
      </c>
      <c r="C277" s="11">
        <v>18.0</v>
      </c>
      <c r="D277" s="11">
        <v>3.0</v>
      </c>
      <c r="E277" s="12" t="s">
        <v>238</v>
      </c>
      <c r="F277" s="13">
        <f>IFERROR(__xludf.DUMMYFUNCTION("IF(
  REGEXMATCH(E277, "":""),
  60*VALUE(INDEX(SPLIT(E277, "":""),1,1)) + VALUE(INDEX(SPLIT(E277, "":""),1,2)),
  VALUE(E277)
)"),31.19)</f>
        <v>31.19</v>
      </c>
      <c r="G277" s="13">
        <f>average(F273-F275,F274-F276)</f>
        <v>0.2</v>
      </c>
      <c r="H277" s="13">
        <v>0.20000000000000107</v>
      </c>
      <c r="I277" s="11">
        <f>C272</f>
        <v>16</v>
      </c>
      <c r="J277" s="11">
        <f>C289</f>
        <v>24</v>
      </c>
      <c r="K277" s="11">
        <f t="array" ref="K277">INDEX('Podium Target Times'!$C:$C, MATCH(A277&amp;B277, 'Podium Target Times'!$A:$A&amp;'Podium Target Times'!$B:$B, 0))
</f>
        <v>31.94</v>
      </c>
      <c r="L277" s="13">
        <f>L278+G278</f>
        <v>32.38</v>
      </c>
      <c r="M277" s="11" t="str">
        <f t="shared" si="1"/>
        <v>32.38</v>
      </c>
      <c r="N277" s="14">
        <f>IFERROR(__xludf.DUMMYFUNCTION("LET(
  gen,$A277, ev,$B277, t,$M277,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278">
      <c r="A278" s="5" t="s">
        <v>14</v>
      </c>
      <c r="B278" s="6" t="s">
        <v>232</v>
      </c>
      <c r="C278" s="6">
        <v>19.0</v>
      </c>
      <c r="D278" s="6">
        <v>1.0</v>
      </c>
      <c r="E278" s="7" t="s">
        <v>239</v>
      </c>
      <c r="F278" s="8">
        <f>IFERROR(__xludf.DUMMYFUNCTION("IF(
  REGEXMATCH(E278, "":""),
  60*VALUE(INDEX(SPLIT(E278, "":""),1,1)) + VALUE(INDEX(SPLIT(E278, "":""),1,2)),
  VALUE(E278)
)"),30.86)</f>
        <v>30.86</v>
      </c>
      <c r="G278" s="8">
        <f>average(F275-F278,F276-F279,F277-F280)</f>
        <v>0.14</v>
      </c>
      <c r="H278" s="8">
        <v>0.13999999999999937</v>
      </c>
      <c r="I278" s="6">
        <f>C272</f>
        <v>16</v>
      </c>
      <c r="J278" s="6">
        <f>C289</f>
        <v>24</v>
      </c>
      <c r="K278" s="6">
        <f t="array" ref="K278">INDEX('Podium Target Times'!$C:$C, MATCH(A278&amp;B278, 'Podium Target Times'!$A:$A&amp;'Podium Target Times'!$B:$B, 0))
</f>
        <v>31.94</v>
      </c>
      <c r="L278" s="8">
        <f>L281+G281</f>
        <v>32.24</v>
      </c>
      <c r="M278" s="6" t="str">
        <f t="shared" si="1"/>
        <v>32.24</v>
      </c>
      <c r="N278" s="9">
        <f>IFERROR(__xludf.DUMMYFUNCTION("LET(
  gen,$A278, ev,$B278, t,$M278,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279">
      <c r="A279" s="10" t="s">
        <v>14</v>
      </c>
      <c r="B279" s="11" t="s">
        <v>232</v>
      </c>
      <c r="C279" s="11">
        <v>19.0</v>
      </c>
      <c r="D279" s="11">
        <v>2.0</v>
      </c>
      <c r="E279" s="12" t="s">
        <v>240</v>
      </c>
      <c r="F279" s="13">
        <f>IFERROR(__xludf.DUMMYFUNCTION("IF(
  REGEXMATCH(E279, "":""),
  60*VALUE(INDEX(SPLIT(E279, "":""),1,1)) + VALUE(INDEX(SPLIT(E279, "":""),1,2)),
  VALUE(E279)
)"),31.01)</f>
        <v>31.01</v>
      </c>
      <c r="G279" s="13">
        <f>average(F275-F278,F276-F279,F277-F280)</f>
        <v>0.14</v>
      </c>
      <c r="H279" s="13">
        <v>0.13999999999999937</v>
      </c>
      <c r="I279" s="11">
        <f>C272</f>
        <v>16</v>
      </c>
      <c r="J279" s="11">
        <f>C289</f>
        <v>24</v>
      </c>
      <c r="K279" s="11">
        <f t="array" ref="K279">INDEX('Podium Target Times'!$C:$C, MATCH(A279&amp;B279, 'Podium Target Times'!$A:$A&amp;'Podium Target Times'!$B:$B, 0))
</f>
        <v>31.94</v>
      </c>
      <c r="L279" s="13">
        <f>L281+G281</f>
        <v>32.24</v>
      </c>
      <c r="M279" s="11" t="str">
        <f t="shared" si="1"/>
        <v>32.24</v>
      </c>
      <c r="N279" s="14">
        <f>IFERROR(__xludf.DUMMYFUNCTION("LET(
  gen,$A279, ev,$B279, t,$M279,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280">
      <c r="A280" s="5" t="s">
        <v>14</v>
      </c>
      <c r="B280" s="6" t="s">
        <v>232</v>
      </c>
      <c r="C280" s="6">
        <v>19.0</v>
      </c>
      <c r="D280" s="6">
        <v>3.0</v>
      </c>
      <c r="E280" s="7" t="s">
        <v>241</v>
      </c>
      <c r="F280" s="8">
        <f>IFERROR(__xludf.DUMMYFUNCTION("IF(
  REGEXMATCH(E280, "":""),
  60*VALUE(INDEX(SPLIT(E280, "":""),1,1)) + VALUE(INDEX(SPLIT(E280, "":""),1,2)),
  VALUE(E280)
)"),31.05)</f>
        <v>31.05</v>
      </c>
      <c r="G280" s="8">
        <f>average(F275-F278,F276-F279,F277-F280)</f>
        <v>0.14</v>
      </c>
      <c r="H280" s="8">
        <v>0.13999999999999937</v>
      </c>
      <c r="I280" s="6">
        <f>C272</f>
        <v>16</v>
      </c>
      <c r="J280" s="6">
        <f>C289</f>
        <v>24</v>
      </c>
      <c r="K280" s="6">
        <f t="array" ref="K280">INDEX('Podium Target Times'!$C:$C, MATCH(A280&amp;B280, 'Podium Target Times'!$A:$A&amp;'Podium Target Times'!$B:$B, 0))
</f>
        <v>31.94</v>
      </c>
      <c r="L280" s="8">
        <f>L281+G281</f>
        <v>32.24</v>
      </c>
      <c r="M280" s="6" t="str">
        <f t="shared" si="1"/>
        <v>32.24</v>
      </c>
      <c r="N280" s="9">
        <f>IFERROR(__xludf.DUMMYFUNCTION("LET(
  gen,$A280, ev,$B280, t,$M280,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281">
      <c r="A281" s="10" t="s">
        <v>14</v>
      </c>
      <c r="B281" s="11" t="s">
        <v>232</v>
      </c>
      <c r="C281" s="11">
        <v>20.0</v>
      </c>
      <c r="D281" s="11">
        <v>1.0</v>
      </c>
      <c r="E281" s="12" t="s">
        <v>242</v>
      </c>
      <c r="F281" s="13">
        <f>IFERROR(__xludf.DUMMYFUNCTION("IF(
  REGEXMATCH(E281, "":""),
  60*VALUE(INDEX(SPLIT(E281, "":""),1,1)) + VALUE(INDEX(SPLIT(E281, "":""),1,2)),
  VALUE(E281)
)"),30.75)</f>
        <v>30.75</v>
      </c>
      <c r="G281" s="13">
        <f>average(F278-F281,F279-F282,F280-F283)</f>
        <v>0.11</v>
      </c>
      <c r="H281" s="13">
        <v>0.11000000000000061</v>
      </c>
      <c r="I281" s="11">
        <f>C272</f>
        <v>16</v>
      </c>
      <c r="J281" s="11">
        <f>C289</f>
        <v>24</v>
      </c>
      <c r="K281" s="11">
        <f t="array" ref="K281">INDEX('Podium Target Times'!$C:$C, MATCH(A281&amp;B281, 'Podium Target Times'!$A:$A&amp;'Podium Target Times'!$B:$B, 0))
</f>
        <v>31.94</v>
      </c>
      <c r="L281" s="13">
        <f>L284+G284</f>
        <v>32.13</v>
      </c>
      <c r="M281" s="11" t="str">
        <f t="shared" si="1"/>
        <v>32.13</v>
      </c>
      <c r="N281" s="14">
        <f>IFERROR(__xludf.DUMMYFUNCTION("LET(
  gen,$A281, ev,$B281, t,$M281,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)"),747.0)</f>
        <v>747</v>
      </c>
    </row>
    <row r="282">
      <c r="A282" s="5" t="s">
        <v>14</v>
      </c>
      <c r="B282" s="6" t="s">
        <v>232</v>
      </c>
      <c r="C282" s="6">
        <v>20.0</v>
      </c>
      <c r="D282" s="6">
        <v>2.0</v>
      </c>
      <c r="E282" s="7" t="s">
        <v>243</v>
      </c>
      <c r="F282" s="8">
        <f>IFERROR(__xludf.DUMMYFUNCTION("IF(
  REGEXMATCH(E282, "":""),
  60*VALUE(INDEX(SPLIT(E282, "":""),1,1)) + VALUE(INDEX(SPLIT(E282, "":""),1,2)),
  VALUE(E282)
)"),30.9)</f>
        <v>30.9</v>
      </c>
      <c r="G282" s="8">
        <f>average(F278-F281,F279-F282,F280-F283)</f>
        <v>0.11</v>
      </c>
      <c r="H282" s="8">
        <v>0.11000000000000061</v>
      </c>
      <c r="I282" s="6">
        <f>C272</f>
        <v>16</v>
      </c>
      <c r="J282" s="6">
        <f>C289</f>
        <v>24</v>
      </c>
      <c r="K282" s="6">
        <f t="array" ref="K282">INDEX('Podium Target Times'!$C:$C, MATCH(A282&amp;B282, 'Podium Target Times'!$A:$A&amp;'Podium Target Times'!$B:$B, 0))
</f>
        <v>31.94</v>
      </c>
      <c r="L282" s="8">
        <f>L284+G284</f>
        <v>32.13</v>
      </c>
      <c r="M282" s="6" t="str">
        <f t="shared" si="1"/>
        <v>32.13</v>
      </c>
      <c r="N282" s="9">
        <f>IFERROR(__xludf.DUMMYFUNCTION("LET(
  gen,$A282, ev,$B282, t,$M282,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)"),747.0)</f>
        <v>747</v>
      </c>
    </row>
    <row r="283">
      <c r="A283" s="10" t="s">
        <v>14</v>
      </c>
      <c r="B283" s="11" t="s">
        <v>232</v>
      </c>
      <c r="C283" s="11">
        <v>20.0</v>
      </c>
      <c r="D283" s="11">
        <v>3.0</v>
      </c>
      <c r="E283" s="12" t="s">
        <v>244</v>
      </c>
      <c r="F283" s="13">
        <f>IFERROR(__xludf.DUMMYFUNCTION("IF(
  REGEXMATCH(E283, "":""),
  60*VALUE(INDEX(SPLIT(E283, "":""),1,1)) + VALUE(INDEX(SPLIT(E283, "":""),1,2)),
  VALUE(E283)
)"),30.94)</f>
        <v>30.94</v>
      </c>
      <c r="G283" s="13">
        <f>average(F278-F281,F279-F282,F280-F283)</f>
        <v>0.11</v>
      </c>
      <c r="H283" s="13">
        <v>0.11000000000000061</v>
      </c>
      <c r="I283" s="11">
        <f>C272</f>
        <v>16</v>
      </c>
      <c r="J283" s="11">
        <f>C289</f>
        <v>24</v>
      </c>
      <c r="K283" s="11">
        <f t="array" ref="K283">INDEX('Podium Target Times'!$C:$C, MATCH(A283&amp;B283, 'Podium Target Times'!$A:$A&amp;'Podium Target Times'!$B:$B, 0))
</f>
        <v>31.94</v>
      </c>
      <c r="L283" s="13">
        <f>L284+G284</f>
        <v>32.13</v>
      </c>
      <c r="M283" s="11" t="str">
        <f t="shared" si="1"/>
        <v>32.13</v>
      </c>
      <c r="N283" s="14">
        <f>IFERROR(__xludf.DUMMYFUNCTION("LET(
  gen,$A283, ev,$B283, t,$M283,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)"),747.0)</f>
        <v>747</v>
      </c>
    </row>
    <row r="284">
      <c r="A284" s="5" t="s">
        <v>14</v>
      </c>
      <c r="B284" s="6" t="s">
        <v>232</v>
      </c>
      <c r="C284" s="6">
        <v>21.0</v>
      </c>
      <c r="D284" s="6">
        <v>2.0</v>
      </c>
      <c r="E284" s="7" t="s">
        <v>245</v>
      </c>
      <c r="F284" s="8">
        <f>IFERROR(__xludf.DUMMYFUNCTION("IF(
  REGEXMATCH(E284, "":""),
  60*VALUE(INDEX(SPLIT(E284, "":""),1,1)) + VALUE(INDEX(SPLIT(E284, "":""),1,2)),
  VALUE(E284)
)"),30.81)</f>
        <v>30.81</v>
      </c>
      <c r="G284" s="8">
        <f>average(F282-F284,F283-F285)</f>
        <v>0.09</v>
      </c>
      <c r="H284" s="8">
        <v>0.08999999999999986</v>
      </c>
      <c r="I284" s="6">
        <f>C272</f>
        <v>16</v>
      </c>
      <c r="J284" s="6">
        <f>C289</f>
        <v>24</v>
      </c>
      <c r="K284" s="6">
        <f t="array" ref="K284">INDEX('Podium Target Times'!$C:$C, MATCH(A284&amp;B284, 'Podium Target Times'!$A:$A&amp;'Podium Target Times'!$B:$B, 0))
</f>
        <v>31.94</v>
      </c>
      <c r="L284" s="8">
        <f>L286+G286</f>
        <v>32.04</v>
      </c>
      <c r="M284" s="6" t="str">
        <f t="shared" si="1"/>
        <v>32.04</v>
      </c>
      <c r="N284" s="9">
        <f>IFERROR(__xludf.DUMMYFUNCTION("LET(
  gen,$A284, ev,$B284, t,$M284,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285">
      <c r="A285" s="10" t="s">
        <v>14</v>
      </c>
      <c r="B285" s="11" t="s">
        <v>232</v>
      </c>
      <c r="C285" s="11">
        <v>21.0</v>
      </c>
      <c r="D285" s="11">
        <v>3.0</v>
      </c>
      <c r="E285" s="12" t="s">
        <v>246</v>
      </c>
      <c r="F285" s="13">
        <f>IFERROR(__xludf.DUMMYFUNCTION("IF(
  REGEXMATCH(E285, "":""),
  60*VALUE(INDEX(SPLIT(E285, "":""),1,1)) + VALUE(INDEX(SPLIT(E285, "":""),1,2)),
  VALUE(E285)
)"),30.85)</f>
        <v>30.85</v>
      </c>
      <c r="G285" s="13">
        <f>average(F282-F284,F283-F285)</f>
        <v>0.09</v>
      </c>
      <c r="H285" s="13">
        <v>0.08999999999999986</v>
      </c>
      <c r="I285" s="11">
        <f>C272</f>
        <v>16</v>
      </c>
      <c r="J285" s="11">
        <f>C289</f>
        <v>24</v>
      </c>
      <c r="K285" s="11">
        <f t="array" ref="K285">INDEX('Podium Target Times'!$C:$C, MATCH(A285&amp;B285, 'Podium Target Times'!$A:$A&amp;'Podium Target Times'!$B:$B, 0))
</f>
        <v>31.94</v>
      </c>
      <c r="L285" s="13">
        <f>L286+G286</f>
        <v>32.04</v>
      </c>
      <c r="M285" s="11" t="str">
        <f t="shared" si="1"/>
        <v>32.04</v>
      </c>
      <c r="N285" s="14">
        <f>IFERROR(__xludf.DUMMYFUNCTION("LET(
  gen,$A285, ev,$B285, t,$M285,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286">
      <c r="A286" s="5" t="s">
        <v>14</v>
      </c>
      <c r="B286" s="6" t="s">
        <v>232</v>
      </c>
      <c r="C286" s="6">
        <v>22.0</v>
      </c>
      <c r="D286" s="6">
        <v>2.0</v>
      </c>
      <c r="E286" s="7" t="s">
        <v>242</v>
      </c>
      <c r="F286" s="8">
        <f>IFERROR(__xludf.DUMMYFUNCTION("IF(
  REGEXMATCH(E286, "":""),
  60*VALUE(INDEX(SPLIT(E286, "":""),1,1)) + VALUE(INDEX(SPLIT(E286, "":""),1,2)),
  VALUE(E286)
)"),30.75)</f>
        <v>30.75</v>
      </c>
      <c r="G286" s="8">
        <f>average(F284-F286,F285-F287)</f>
        <v>0.06</v>
      </c>
      <c r="H286" s="8">
        <v>0.0600000000000005</v>
      </c>
      <c r="I286" s="6">
        <f>C272</f>
        <v>16</v>
      </c>
      <c r="J286" s="6">
        <f>C289</f>
        <v>24</v>
      </c>
      <c r="K286" s="6">
        <f t="array" ref="K286">INDEX('Podium Target Times'!$C:$C, MATCH(A286&amp;B286, 'Podium Target Times'!$A:$A&amp;'Podium Target Times'!$B:$B, 0))
</f>
        <v>31.94</v>
      </c>
      <c r="L286" s="8">
        <f>L288+G288</f>
        <v>31.98</v>
      </c>
      <c r="M286" s="6" t="str">
        <f t="shared" si="1"/>
        <v>31.98</v>
      </c>
      <c r="N286" s="9">
        <f>IFERROR(__xludf.DUMMYFUNCTION("LET(
  gen,$A286, ev,$B286, t,$M286,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)"),758.0)</f>
        <v>758</v>
      </c>
    </row>
    <row r="287">
      <c r="A287" s="10" t="s">
        <v>14</v>
      </c>
      <c r="B287" s="11" t="s">
        <v>232</v>
      </c>
      <c r="C287" s="11">
        <v>22.0</v>
      </c>
      <c r="D287" s="11">
        <v>3.0</v>
      </c>
      <c r="E287" s="12" t="s">
        <v>247</v>
      </c>
      <c r="F287" s="13">
        <f>IFERROR(__xludf.DUMMYFUNCTION("IF(
  REGEXMATCH(E287, "":""),
  60*VALUE(INDEX(SPLIT(E287, "":""),1,1)) + VALUE(INDEX(SPLIT(E287, "":""),1,2)),
  VALUE(E287)
)"),30.79)</f>
        <v>30.79</v>
      </c>
      <c r="G287" s="13">
        <f>average(F284-F286,F285-F287)</f>
        <v>0.06</v>
      </c>
      <c r="H287" s="13">
        <v>0.0600000000000005</v>
      </c>
      <c r="I287" s="11">
        <f>C272</f>
        <v>16</v>
      </c>
      <c r="J287" s="11">
        <f>C289</f>
        <v>24</v>
      </c>
      <c r="K287" s="11">
        <f t="array" ref="K287">INDEX('Podium Target Times'!$C:$C, MATCH(A287&amp;B287, 'Podium Target Times'!$A:$A&amp;'Podium Target Times'!$B:$B, 0))
</f>
        <v>31.94</v>
      </c>
      <c r="L287" s="13">
        <f t="shared" ref="L287:L288" si="29">L288+G288</f>
        <v>31.98</v>
      </c>
      <c r="M287" s="11" t="str">
        <f t="shared" si="1"/>
        <v>31.98</v>
      </c>
      <c r="N287" s="14">
        <f>IFERROR(__xludf.DUMMYFUNCTION("LET(
  gen,$A287, ev,$B287, t,$M287,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)"),758.0)</f>
        <v>758</v>
      </c>
    </row>
    <row r="288">
      <c r="A288" s="5" t="s">
        <v>14</v>
      </c>
      <c r="B288" s="6" t="s">
        <v>232</v>
      </c>
      <c r="C288" s="6">
        <v>23.0</v>
      </c>
      <c r="D288" s="6">
        <v>3.0</v>
      </c>
      <c r="E288" s="7" t="s">
        <v>242</v>
      </c>
      <c r="F288" s="8">
        <f>IFERROR(__xludf.DUMMYFUNCTION("IF(
  REGEXMATCH(E288, "":""),
  60*VALUE(INDEX(SPLIT(E288, "":""),1,1)) + VALUE(INDEX(SPLIT(E288, "":""),1,2)),
  VALUE(E288)
)"),30.75)</f>
        <v>30.75</v>
      </c>
      <c r="G288" s="8">
        <f t="shared" ref="G288:G290" si="30">F287-F288</f>
        <v>0.04</v>
      </c>
      <c r="H288" s="8">
        <v>0.03999999999999915</v>
      </c>
      <c r="I288" s="6">
        <f>C272</f>
        <v>16</v>
      </c>
      <c r="J288" s="6">
        <f>C289</f>
        <v>24</v>
      </c>
      <c r="K288" s="6">
        <f t="array" ref="K288">INDEX('Podium Target Times'!$C:$C, MATCH(A288&amp;B288, 'Podium Target Times'!$A:$A&amp;'Podium Target Times'!$B:$B, 0))
</f>
        <v>31.94</v>
      </c>
      <c r="L288" s="8">
        <f t="shared" si="29"/>
        <v>31.94</v>
      </c>
      <c r="M288" s="6" t="str">
        <f t="shared" si="1"/>
        <v>31.94</v>
      </c>
      <c r="N288" s="9">
        <f>IFERROR(__xludf.DUMMYFUNCTION("LET(
  gen,$A288, ev,$B288, t,$M288,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89">
      <c r="A289" s="10" t="s">
        <v>14</v>
      </c>
      <c r="B289" s="11" t="s">
        <v>232</v>
      </c>
      <c r="C289" s="11">
        <v>24.0</v>
      </c>
      <c r="D289" s="11">
        <v>3.0</v>
      </c>
      <c r="E289" s="12" t="s">
        <v>242</v>
      </c>
      <c r="F289" s="13">
        <f>IFERROR(__xludf.DUMMYFUNCTION("IF(
  REGEXMATCH(E289, "":""),
  60*VALUE(INDEX(SPLIT(E289, "":""),1,1)) + VALUE(INDEX(SPLIT(E289, "":""),1,2)),
  VALUE(E289)
)"),30.75)</f>
        <v>30.75</v>
      </c>
      <c r="G289" s="13">
        <f t="shared" si="30"/>
        <v>0</v>
      </c>
      <c r="H289" s="13">
        <v>0.0</v>
      </c>
      <c r="I289" s="11">
        <f>C272</f>
        <v>16</v>
      </c>
      <c r="J289" s="11">
        <f>C289</f>
        <v>24</v>
      </c>
      <c r="K289" s="11">
        <f t="array" ref="K289">INDEX('Podium Target Times'!$C:$C, MATCH(A289&amp;B289, 'Podium Target Times'!$A:$A&amp;'Podium Target Times'!$B:$B, 0))
</f>
        <v>31.94</v>
      </c>
      <c r="L289" s="13">
        <f>G289+L290</f>
        <v>31.94</v>
      </c>
      <c r="M289" s="11" t="str">
        <f t="shared" si="1"/>
        <v>31.94</v>
      </c>
      <c r="N289" s="14">
        <f>IFERROR(__xludf.DUMMYFUNCTION("LET(
  gen,$A289, ev,$B289, t,$M289,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90">
      <c r="A290" s="5" t="s">
        <v>14</v>
      </c>
      <c r="B290" s="6" t="s">
        <v>232</v>
      </c>
      <c r="C290" s="6">
        <v>25.0</v>
      </c>
      <c r="D290" s="6"/>
      <c r="E290" s="7"/>
      <c r="F290" s="8">
        <f>IFERROR(__xludf.DUMMYFUNCTION("IF(
  REGEXMATCH(E290, "":""),
  60*VALUE(INDEX(SPLIT(E290, "":""),1,1)) + VALUE(INDEX(SPLIT(E290, "":""),1,2)),
  VALUE(E290)
)"),0.0)</f>
        <v>0</v>
      </c>
      <c r="G290" s="8">
        <f t="shared" si="30"/>
        <v>30.75</v>
      </c>
      <c r="H290" s="8"/>
      <c r="I290" s="6">
        <f>C272</f>
        <v>16</v>
      </c>
      <c r="J290" s="6">
        <f>C289</f>
        <v>24</v>
      </c>
      <c r="K290" s="6">
        <f t="array" ref="K290">INDEX('Podium Target Times'!$C:$C, MATCH(A290&amp;B290, 'Podium Target Times'!$A:$A&amp;'Podium Target Times'!$B:$B, 0))
</f>
        <v>31.94</v>
      </c>
      <c r="L290" s="6">
        <f>K290</f>
        <v>31.94</v>
      </c>
      <c r="M290" s="6" t="str">
        <f t="shared" si="1"/>
        <v>31.94</v>
      </c>
      <c r="N290" s="9">
        <f>IFERROR(__xludf.DUMMYFUNCTION("LET(
  gen,$A290, ev,$B290, t,$M290,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291">
      <c r="A291" s="10" t="s">
        <v>14</v>
      </c>
      <c r="B291" s="11" t="s">
        <v>248</v>
      </c>
      <c r="C291" s="11">
        <v>17.0</v>
      </c>
      <c r="D291" s="11">
        <v>1.0</v>
      </c>
      <c r="E291" s="12" t="s">
        <v>249</v>
      </c>
      <c r="F291" s="13">
        <f>IFERROR(__xludf.DUMMYFUNCTION("IF(
  REGEXMATCH(E291, "":""),
  60*VALUE(INDEX(SPLIT(E291, "":""),1,1)) + VALUE(INDEX(SPLIT(E291, "":""),1,2)),
  VALUE(E291)
)"),26.98)</f>
        <v>26.98</v>
      </c>
      <c r="G291" s="13">
        <v>0.0</v>
      </c>
      <c r="H291" s="13">
        <v>0.0</v>
      </c>
      <c r="I291" s="11">
        <f>C291</f>
        <v>17</v>
      </c>
      <c r="J291" s="11">
        <f>C308</f>
        <v>25</v>
      </c>
      <c r="K291" s="11">
        <f t="array" ref="K291">INDEX('Podium Target Times'!$C:$C, MATCH(A291&amp;B291, 'Podium Target Times'!$A:$A&amp;'Podium Target Times'!$B:$B, 0))
</f>
        <v>27.02</v>
      </c>
      <c r="L291" s="13">
        <f>L292+G292</f>
        <v>27.88</v>
      </c>
      <c r="M291" s="11" t="str">
        <f t="shared" si="1"/>
        <v>27.88</v>
      </c>
      <c r="N291" s="14">
        <f>IFERROR(__xludf.DUMMYFUNCTION("LET(
  gen,$A291, ev,$B291, t,$M291,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)"),672.0)</f>
        <v>672</v>
      </c>
    </row>
    <row r="292">
      <c r="A292" s="5" t="s">
        <v>14</v>
      </c>
      <c r="B292" s="6" t="s">
        <v>248</v>
      </c>
      <c r="C292" s="6">
        <v>18.0</v>
      </c>
      <c r="D292" s="6">
        <v>1.0</v>
      </c>
      <c r="E292" s="7" t="s">
        <v>250</v>
      </c>
      <c r="F292" s="8">
        <f>IFERROR(__xludf.DUMMYFUNCTION("IF(
  REGEXMATCH(E292, "":""),
  60*VALUE(INDEX(SPLIT(E292, "":""),1,1)) + VALUE(INDEX(SPLIT(E292, "":""),1,2)),
  VALUE(E292)
)"),26.71)</f>
        <v>26.71</v>
      </c>
      <c r="G292" s="8">
        <f>F291-F292</f>
        <v>0.27</v>
      </c>
      <c r="H292" s="8">
        <v>0.2699999999999996</v>
      </c>
      <c r="I292" s="6">
        <f>C291</f>
        <v>17</v>
      </c>
      <c r="J292" s="6">
        <f>C308</f>
        <v>25</v>
      </c>
      <c r="K292" s="6">
        <f t="array" ref="K292">INDEX('Podium Target Times'!$C:$C, MATCH(A292&amp;B292, 'Podium Target Times'!$A:$A&amp;'Podium Target Times'!$B:$B, 0))
</f>
        <v>27.02</v>
      </c>
      <c r="L292" s="8">
        <f>L294+G294</f>
        <v>27.61</v>
      </c>
      <c r="M292" s="6" t="str">
        <f t="shared" si="1"/>
        <v>27.61</v>
      </c>
      <c r="N292" s="9">
        <f>IFERROR(__xludf.DUMMYFUNCTION("LET(
  gen,$A292, ev,$B292, t,$M292,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293">
      <c r="A293" s="10" t="s">
        <v>14</v>
      </c>
      <c r="B293" s="11" t="s">
        <v>248</v>
      </c>
      <c r="C293" s="11">
        <v>18.0</v>
      </c>
      <c r="D293" s="11">
        <v>2.0</v>
      </c>
      <c r="E293" s="12" t="s">
        <v>251</v>
      </c>
      <c r="F293" s="13">
        <f>IFERROR(__xludf.DUMMYFUNCTION("IF(
  REGEXMATCH(E293, "":""),
  60*VALUE(INDEX(SPLIT(E293, "":""),1,1)) + VALUE(INDEX(SPLIT(E293, "":""),1,2)),
  VALUE(E293)
)"),26.81)</f>
        <v>26.81</v>
      </c>
      <c r="G293" s="13">
        <f>F291-F292</f>
        <v>0.27</v>
      </c>
      <c r="H293" s="13">
        <v>0.2699999999999996</v>
      </c>
      <c r="I293" s="11">
        <f>C291</f>
        <v>17</v>
      </c>
      <c r="J293" s="11">
        <f>C308</f>
        <v>25</v>
      </c>
      <c r="K293" s="11">
        <f t="array" ref="K293">INDEX('Podium Target Times'!$C:$C, MATCH(A293&amp;B293, 'Podium Target Times'!$A:$A&amp;'Podium Target Times'!$B:$B, 0))
</f>
        <v>27.02</v>
      </c>
      <c r="L293" s="13">
        <f>L294+G294</f>
        <v>27.61</v>
      </c>
      <c r="M293" s="11" t="str">
        <f t="shared" si="1"/>
        <v>27.61</v>
      </c>
      <c r="N293" s="14">
        <f>IFERROR(__xludf.DUMMYFUNCTION("LET(
  gen,$A293, ev,$B293, t,$M293,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)"),692.0)</f>
        <v>692</v>
      </c>
    </row>
    <row r="294">
      <c r="A294" s="5" t="s">
        <v>14</v>
      </c>
      <c r="B294" s="6" t="s">
        <v>248</v>
      </c>
      <c r="C294" s="6">
        <v>19.0</v>
      </c>
      <c r="D294" s="6">
        <v>1.0</v>
      </c>
      <c r="E294" s="7" t="s">
        <v>252</v>
      </c>
      <c r="F294" s="8">
        <f>IFERROR(__xludf.DUMMYFUNCTION("IF(
  REGEXMATCH(E294, "":""),
  60*VALUE(INDEX(SPLIT(E294, "":""),1,1)) + VALUE(INDEX(SPLIT(E294, "":""),1,2)),
  VALUE(E294)
)"),26.5)</f>
        <v>26.5</v>
      </c>
      <c r="G294" s="8">
        <f>average(F292-F294,F293-F295)</f>
        <v>0.21</v>
      </c>
      <c r="H294" s="8">
        <v>0.20999999999999908</v>
      </c>
      <c r="I294" s="6">
        <f>C291</f>
        <v>17</v>
      </c>
      <c r="J294" s="6">
        <f>C308</f>
        <v>25</v>
      </c>
      <c r="K294" s="6">
        <f t="array" ref="K294">INDEX('Podium Target Times'!$C:$C, MATCH(A294&amp;B294, 'Podium Target Times'!$A:$A&amp;'Podium Target Times'!$B:$B, 0))
</f>
        <v>27.02</v>
      </c>
      <c r="L294" s="8">
        <f>L297+G297</f>
        <v>27.4</v>
      </c>
      <c r="M294" s="6" t="str">
        <f t="shared" si="1"/>
        <v>27.40</v>
      </c>
      <c r="N294" s="9">
        <f>IFERROR(__xludf.DUMMYFUNCTION("LET(
  gen,$A294, ev,$B294, t,$M294,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95">
      <c r="A295" s="10" t="s">
        <v>14</v>
      </c>
      <c r="B295" s="11" t="s">
        <v>248</v>
      </c>
      <c r="C295" s="11">
        <v>19.0</v>
      </c>
      <c r="D295" s="11">
        <v>2.0</v>
      </c>
      <c r="E295" s="12" t="s">
        <v>253</v>
      </c>
      <c r="F295" s="13">
        <f>IFERROR(__xludf.DUMMYFUNCTION("IF(
  REGEXMATCH(E295, "":""),
  60*VALUE(INDEX(SPLIT(E295, "":""),1,1)) + VALUE(INDEX(SPLIT(E295, "":""),1,2)),
  VALUE(E295)
)"),26.6)</f>
        <v>26.6</v>
      </c>
      <c r="G295" s="13">
        <f>average(F292-F294,F293-F295)</f>
        <v>0.21</v>
      </c>
      <c r="H295" s="13">
        <v>0.20999999999999908</v>
      </c>
      <c r="I295" s="11">
        <f>C291</f>
        <v>17</v>
      </c>
      <c r="J295" s="11">
        <f>C308</f>
        <v>25</v>
      </c>
      <c r="K295" s="11">
        <f t="array" ref="K295">INDEX('Podium Target Times'!$C:$C, MATCH(A295&amp;B295, 'Podium Target Times'!$A:$A&amp;'Podium Target Times'!$B:$B, 0))
</f>
        <v>27.02</v>
      </c>
      <c r="L295" s="13">
        <f>L297+G297</f>
        <v>27.4</v>
      </c>
      <c r="M295" s="11" t="str">
        <f t="shared" si="1"/>
        <v>27.40</v>
      </c>
      <c r="N295" s="14">
        <f>IFERROR(__xludf.DUMMYFUNCTION("LET(
  gen,$A295, ev,$B295, t,$M295,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96">
      <c r="A296" s="5" t="s">
        <v>14</v>
      </c>
      <c r="B296" s="6" t="s">
        <v>248</v>
      </c>
      <c r="C296" s="6">
        <v>19.0</v>
      </c>
      <c r="D296" s="6">
        <v>3.0</v>
      </c>
      <c r="E296" s="7" t="s">
        <v>254</v>
      </c>
      <c r="F296" s="8">
        <f>IFERROR(__xludf.DUMMYFUNCTION("IF(
  REGEXMATCH(E296, "":""),
  60*VALUE(INDEX(SPLIT(E296, "":""),1,1)) + VALUE(INDEX(SPLIT(E296, "":""),1,2)),
  VALUE(E296)
)"),26.61)</f>
        <v>26.61</v>
      </c>
      <c r="G296" s="8">
        <f>average(F292-F294,F293-F295)</f>
        <v>0.21</v>
      </c>
      <c r="H296" s="8">
        <v>0.20999999999999908</v>
      </c>
      <c r="I296" s="6">
        <f>C291</f>
        <v>17</v>
      </c>
      <c r="J296" s="6">
        <f>C308</f>
        <v>25</v>
      </c>
      <c r="K296" s="6">
        <f t="array" ref="K296">INDEX('Podium Target Times'!$C:$C, MATCH(A296&amp;B296, 'Podium Target Times'!$A:$A&amp;'Podium Target Times'!$B:$B, 0))
</f>
        <v>27.02</v>
      </c>
      <c r="L296" s="8">
        <f>L297+G297</f>
        <v>27.4</v>
      </c>
      <c r="M296" s="6" t="str">
        <f t="shared" si="1"/>
        <v>27.40</v>
      </c>
      <c r="N296" s="9">
        <f>IFERROR(__xludf.DUMMYFUNCTION("LET(
  gen,$A296, ev,$B296, t,$M296,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297">
      <c r="A297" s="10" t="s">
        <v>14</v>
      </c>
      <c r="B297" s="11" t="s">
        <v>248</v>
      </c>
      <c r="C297" s="11">
        <v>20.0</v>
      </c>
      <c r="D297" s="11">
        <v>1.0</v>
      </c>
      <c r="E297" s="12" t="s">
        <v>255</v>
      </c>
      <c r="F297" s="13">
        <f>IFERROR(__xludf.DUMMYFUNCTION("IF(
  REGEXMATCH(E297, "":""),
  60*VALUE(INDEX(SPLIT(E297, "":""),1,1)) + VALUE(INDEX(SPLIT(E297, "":""),1,2)),
  VALUE(E297)
)"),26.34)</f>
        <v>26.34</v>
      </c>
      <c r="G297" s="13">
        <f>average(F294-F297,F295-F298,F296-F299)</f>
        <v>0.1633333333</v>
      </c>
      <c r="H297" s="13">
        <v>0.163333333333334</v>
      </c>
      <c r="I297" s="11">
        <f>C291</f>
        <v>17</v>
      </c>
      <c r="J297" s="11">
        <f>C308</f>
        <v>25</v>
      </c>
      <c r="K297" s="11">
        <f t="array" ref="K297">INDEX('Podium Target Times'!$C:$C, MATCH(A297&amp;B297, 'Podium Target Times'!$A:$A&amp;'Podium Target Times'!$B:$B, 0))
</f>
        <v>27.02</v>
      </c>
      <c r="L297" s="13">
        <f>L300+G300</f>
        <v>27.23666667</v>
      </c>
      <c r="M297" s="11" t="str">
        <f t="shared" si="1"/>
        <v>27.24</v>
      </c>
      <c r="N297" s="14">
        <f>IFERROR(__xludf.DUMMYFUNCTION("LET(
  gen,$A297, ev,$B297, t,$M297,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298">
      <c r="A298" s="5" t="s">
        <v>14</v>
      </c>
      <c r="B298" s="6" t="s">
        <v>248</v>
      </c>
      <c r="C298" s="6">
        <v>20.0</v>
      </c>
      <c r="D298" s="6">
        <v>2.0</v>
      </c>
      <c r="E298" s="7" t="s">
        <v>256</v>
      </c>
      <c r="F298" s="8">
        <f>IFERROR(__xludf.DUMMYFUNCTION("IF(
  REGEXMATCH(E298, "":""),
  60*VALUE(INDEX(SPLIT(E298, "":""),1,1)) + VALUE(INDEX(SPLIT(E298, "":""),1,2)),
  VALUE(E298)
)"),26.43)</f>
        <v>26.43</v>
      </c>
      <c r="G298" s="8">
        <f>average(F294-F297,F295-F298,F296-F299)</f>
        <v>0.1633333333</v>
      </c>
      <c r="H298" s="8">
        <v>0.163333333333334</v>
      </c>
      <c r="I298" s="6">
        <f>C291</f>
        <v>17</v>
      </c>
      <c r="J298" s="6">
        <f>C308</f>
        <v>25</v>
      </c>
      <c r="K298" s="6">
        <f t="array" ref="K298">INDEX('Podium Target Times'!$C:$C, MATCH(A298&amp;B298, 'Podium Target Times'!$A:$A&amp;'Podium Target Times'!$B:$B, 0))
</f>
        <v>27.02</v>
      </c>
      <c r="L298" s="8">
        <f>L300+G300</f>
        <v>27.23666667</v>
      </c>
      <c r="M298" s="6" t="str">
        <f t="shared" si="1"/>
        <v>27.24</v>
      </c>
      <c r="N298" s="9">
        <f>IFERROR(__xludf.DUMMYFUNCTION("LET(
  gen,$A298, ev,$B298, t,$M298,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299">
      <c r="A299" s="10" t="s">
        <v>14</v>
      </c>
      <c r="B299" s="11" t="s">
        <v>248</v>
      </c>
      <c r="C299" s="11">
        <v>20.0</v>
      </c>
      <c r="D299" s="11">
        <v>3.0</v>
      </c>
      <c r="E299" s="12" t="s">
        <v>257</v>
      </c>
      <c r="F299" s="13">
        <f>IFERROR(__xludf.DUMMYFUNCTION("IF(
  REGEXMATCH(E299, "":""),
  60*VALUE(INDEX(SPLIT(E299, "":""),1,1)) + VALUE(INDEX(SPLIT(E299, "":""),1,2)),
  VALUE(E299)
)"),26.45)</f>
        <v>26.45</v>
      </c>
      <c r="G299" s="13">
        <f>average(F294-F297,F295-F298,F296-F299)</f>
        <v>0.1633333333</v>
      </c>
      <c r="H299" s="13">
        <v>0.163333333333334</v>
      </c>
      <c r="I299" s="11">
        <f>C291</f>
        <v>17</v>
      </c>
      <c r="J299" s="11">
        <f>C308</f>
        <v>25</v>
      </c>
      <c r="K299" s="11">
        <f t="array" ref="K299">INDEX('Podium Target Times'!$C:$C, MATCH(A299&amp;B299, 'Podium Target Times'!$A:$A&amp;'Podium Target Times'!$B:$B, 0))
</f>
        <v>27.02</v>
      </c>
      <c r="L299" s="13">
        <f>L300+G300</f>
        <v>27.23666667</v>
      </c>
      <c r="M299" s="11" t="str">
        <f t="shared" si="1"/>
        <v>27.24</v>
      </c>
      <c r="N299" s="14">
        <f>IFERROR(__xludf.DUMMYFUNCTION("LET(
  gen,$A299, ev,$B299, t,$M299,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300">
      <c r="A300" s="5" t="s">
        <v>14</v>
      </c>
      <c r="B300" s="6" t="s">
        <v>248</v>
      </c>
      <c r="C300" s="6">
        <v>21.0</v>
      </c>
      <c r="D300" s="6">
        <v>1.0</v>
      </c>
      <c r="E300" s="7" t="s">
        <v>258</v>
      </c>
      <c r="F300" s="8">
        <f>IFERROR(__xludf.DUMMYFUNCTION("IF(
  REGEXMATCH(E300, "":""),
  60*VALUE(INDEX(SPLIT(E300, "":""),1,1)) + VALUE(INDEX(SPLIT(E300, "":""),1,2)),
  VALUE(E300)
)"),26.23)</f>
        <v>26.23</v>
      </c>
      <c r="G300" s="8">
        <f>average(F297-F300,F298-F301,F299-F302)</f>
        <v>0.1066666667</v>
      </c>
      <c r="H300" s="8">
        <v>0.10666666666666676</v>
      </c>
      <c r="I300" s="6">
        <f>C291</f>
        <v>17</v>
      </c>
      <c r="J300" s="6">
        <f>C308</f>
        <v>25</v>
      </c>
      <c r="K300" s="6">
        <f t="array" ref="K300">INDEX('Podium Target Times'!$C:$C, MATCH(A300&amp;B300, 'Podium Target Times'!$A:$A&amp;'Podium Target Times'!$B:$B, 0))
</f>
        <v>27.02</v>
      </c>
      <c r="L300" s="8">
        <f>L303+G303</f>
        <v>27.13</v>
      </c>
      <c r="M300" s="6" t="str">
        <f t="shared" si="1"/>
        <v>27.13</v>
      </c>
      <c r="N300" s="9">
        <f>IFERROR(__xludf.DUMMYFUNCTION("LET(
  gen,$A300, ev,$B300, t,$M300,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301">
      <c r="A301" s="10" t="s">
        <v>14</v>
      </c>
      <c r="B301" s="11" t="s">
        <v>248</v>
      </c>
      <c r="C301" s="11">
        <v>21.0</v>
      </c>
      <c r="D301" s="11">
        <v>2.0</v>
      </c>
      <c r="E301" s="12" t="s">
        <v>259</v>
      </c>
      <c r="F301" s="13">
        <f>IFERROR(__xludf.DUMMYFUNCTION("IF(
  REGEXMATCH(E301, "":""),
  60*VALUE(INDEX(SPLIT(E301, "":""),1,1)) + VALUE(INDEX(SPLIT(E301, "":""),1,2)),
  VALUE(E301)
)"),26.33)</f>
        <v>26.33</v>
      </c>
      <c r="G301" s="13">
        <f>average(F297-F300,F298-F301,F299-F302)</f>
        <v>0.1066666667</v>
      </c>
      <c r="H301" s="13">
        <v>0.10666666666666676</v>
      </c>
      <c r="I301" s="11">
        <f>C291</f>
        <v>17</v>
      </c>
      <c r="J301" s="11">
        <f>C308</f>
        <v>25</v>
      </c>
      <c r="K301" s="11">
        <f t="array" ref="K301">INDEX('Podium Target Times'!$C:$C, MATCH(A301&amp;B301, 'Podium Target Times'!$A:$A&amp;'Podium Target Times'!$B:$B, 0))
</f>
        <v>27.02</v>
      </c>
      <c r="L301" s="13">
        <f>L303+G303</f>
        <v>27.13</v>
      </c>
      <c r="M301" s="11" t="str">
        <f t="shared" si="1"/>
        <v>27.13</v>
      </c>
      <c r="N301" s="14">
        <f>IFERROR(__xludf.DUMMYFUNCTION("LET(
  gen,$A301, ev,$B301, t,$M301,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302">
      <c r="A302" s="5" t="s">
        <v>14</v>
      </c>
      <c r="B302" s="6" t="s">
        <v>248</v>
      </c>
      <c r="C302" s="6">
        <v>21.0</v>
      </c>
      <c r="D302" s="6">
        <v>3.0</v>
      </c>
      <c r="E302" s="7" t="s">
        <v>255</v>
      </c>
      <c r="F302" s="8">
        <f>IFERROR(__xludf.DUMMYFUNCTION("IF(
  REGEXMATCH(E302, "":""),
  60*VALUE(INDEX(SPLIT(E302, "":""),1,1)) + VALUE(INDEX(SPLIT(E302, "":""),1,2)),
  VALUE(E302)
)"),26.34)</f>
        <v>26.34</v>
      </c>
      <c r="G302" s="8">
        <f>average(F297-F300,F298-F301,F299-F302)</f>
        <v>0.1066666667</v>
      </c>
      <c r="H302" s="8">
        <v>0.10666666666666676</v>
      </c>
      <c r="I302" s="6">
        <f>C291</f>
        <v>17</v>
      </c>
      <c r="J302" s="6">
        <f>C308</f>
        <v>25</v>
      </c>
      <c r="K302" s="6">
        <f t="array" ref="K302">INDEX('Podium Target Times'!$C:$C, MATCH(A302&amp;B302, 'Podium Target Times'!$A:$A&amp;'Podium Target Times'!$B:$B, 0))
</f>
        <v>27.02</v>
      </c>
      <c r="L302" s="8">
        <f>L303+G303</f>
        <v>27.13</v>
      </c>
      <c r="M302" s="6" t="str">
        <f t="shared" si="1"/>
        <v>27.13</v>
      </c>
      <c r="N302" s="9">
        <f>IFERROR(__xludf.DUMMYFUNCTION("LET(
  gen,$A302, ev,$B302, t,$M302,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303">
      <c r="A303" s="10" t="s">
        <v>14</v>
      </c>
      <c r="B303" s="11" t="s">
        <v>248</v>
      </c>
      <c r="C303" s="11">
        <v>22.0</v>
      </c>
      <c r="D303" s="11">
        <v>2.0</v>
      </c>
      <c r="E303" s="12" t="s">
        <v>260</v>
      </c>
      <c r="F303" s="13">
        <f>IFERROR(__xludf.DUMMYFUNCTION("IF(
  REGEXMATCH(E303, "":""),
  60*VALUE(INDEX(SPLIT(E303, "":""),1,1)) + VALUE(INDEX(SPLIT(E303, "":""),1,2)),
  VALUE(E303)
)"),26.27)</f>
        <v>26.27</v>
      </c>
      <c r="G303" s="13">
        <f>average(F301-F303,F302-F304)</f>
        <v>0.06</v>
      </c>
      <c r="H303" s="13">
        <v>0.05999999999999872</v>
      </c>
      <c r="I303" s="11">
        <f>C291</f>
        <v>17</v>
      </c>
      <c r="J303" s="11">
        <f>C308</f>
        <v>25</v>
      </c>
      <c r="K303" s="11">
        <f t="array" ref="K303">INDEX('Podium Target Times'!$C:$C, MATCH(A303&amp;B303, 'Podium Target Times'!$A:$A&amp;'Podium Target Times'!$B:$B, 0))
</f>
        <v>27.02</v>
      </c>
      <c r="L303" s="13">
        <f>L305+G305</f>
        <v>27.07</v>
      </c>
      <c r="M303" s="11" t="str">
        <f t="shared" si="1"/>
        <v>27.07</v>
      </c>
      <c r="N303" s="14">
        <f>IFERROR(__xludf.DUMMYFUNCTION("LET(
  gen,$A303, ev,$B303, t,$M303,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)"),735.0)</f>
        <v>735</v>
      </c>
    </row>
    <row r="304">
      <c r="A304" s="5" t="s">
        <v>14</v>
      </c>
      <c r="B304" s="6" t="s">
        <v>248</v>
      </c>
      <c r="C304" s="6">
        <v>22.0</v>
      </c>
      <c r="D304" s="6">
        <v>3.0</v>
      </c>
      <c r="E304" s="7" t="s">
        <v>261</v>
      </c>
      <c r="F304" s="8">
        <f>IFERROR(__xludf.DUMMYFUNCTION("IF(
  REGEXMATCH(E304, "":""),
  60*VALUE(INDEX(SPLIT(E304, "":""),1,1)) + VALUE(INDEX(SPLIT(E304, "":""),1,2)),
  VALUE(E304)
)"),26.28)</f>
        <v>26.28</v>
      </c>
      <c r="G304" s="8">
        <f>average(F301-F303,F302-F304)</f>
        <v>0.06</v>
      </c>
      <c r="H304" s="8">
        <v>0.05999999999999872</v>
      </c>
      <c r="I304" s="6">
        <f>C291</f>
        <v>17</v>
      </c>
      <c r="J304" s="6">
        <f>C308</f>
        <v>25</v>
      </c>
      <c r="K304" s="6">
        <f t="array" ref="K304">INDEX('Podium Target Times'!$C:$C, MATCH(A304&amp;B304, 'Podium Target Times'!$A:$A&amp;'Podium Target Times'!$B:$B, 0))
</f>
        <v>27.02</v>
      </c>
      <c r="L304" s="8">
        <f>L305+G305</f>
        <v>27.07</v>
      </c>
      <c r="M304" s="6" t="str">
        <f t="shared" si="1"/>
        <v>27.07</v>
      </c>
      <c r="N304" s="9">
        <f>IFERROR(__xludf.DUMMYFUNCTION("LET(
  gen,$A304, ev,$B304, t,$M304,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)"),735.0)</f>
        <v>735</v>
      </c>
    </row>
    <row r="305">
      <c r="A305" s="10" t="s">
        <v>14</v>
      </c>
      <c r="B305" s="11" t="s">
        <v>248</v>
      </c>
      <c r="C305" s="11">
        <v>23.0</v>
      </c>
      <c r="D305" s="11">
        <v>2.0</v>
      </c>
      <c r="E305" s="12" t="s">
        <v>258</v>
      </c>
      <c r="F305" s="13">
        <f>IFERROR(__xludf.DUMMYFUNCTION("IF(
  REGEXMATCH(E305, "":""),
  60*VALUE(INDEX(SPLIT(E305, "":""),1,1)) + VALUE(INDEX(SPLIT(E305, "":""),1,2)),
  VALUE(E305)
)"),26.23)</f>
        <v>26.23</v>
      </c>
      <c r="G305" s="13">
        <f>average(F303-F305,F304-F306)</f>
        <v>0.04</v>
      </c>
      <c r="H305" s="13">
        <v>0.040000000000000924</v>
      </c>
      <c r="I305" s="11">
        <f>C291</f>
        <v>17</v>
      </c>
      <c r="J305" s="11">
        <f>C308</f>
        <v>25</v>
      </c>
      <c r="K305" s="11">
        <f t="array" ref="K305">INDEX('Podium Target Times'!$C:$C, MATCH(A305&amp;B305, 'Podium Target Times'!$A:$A&amp;'Podium Target Times'!$B:$B, 0))
</f>
        <v>27.02</v>
      </c>
      <c r="L305" s="13">
        <f>L307+G307</f>
        <v>27.03</v>
      </c>
      <c r="M305" s="11" t="str">
        <f t="shared" si="1"/>
        <v>27.03</v>
      </c>
      <c r="N305" s="14">
        <f>IFERROR(__xludf.DUMMYFUNCTION("LET(
  gen,$A305, ev,$B305, t,$M305,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306">
      <c r="A306" s="5" t="s">
        <v>14</v>
      </c>
      <c r="B306" s="6" t="s">
        <v>248</v>
      </c>
      <c r="C306" s="6">
        <v>23.0</v>
      </c>
      <c r="D306" s="6">
        <v>3.0</v>
      </c>
      <c r="E306" s="7" t="s">
        <v>262</v>
      </c>
      <c r="F306" s="8">
        <f>IFERROR(__xludf.DUMMYFUNCTION("IF(
  REGEXMATCH(E306, "":""),
  60*VALUE(INDEX(SPLIT(E306, "":""),1,1)) + VALUE(INDEX(SPLIT(E306, "":""),1,2)),
  VALUE(E306)
)"),26.24)</f>
        <v>26.24</v>
      </c>
      <c r="G306" s="8">
        <f>average(F303-F305,F304-F306)</f>
        <v>0.04</v>
      </c>
      <c r="H306" s="8">
        <v>0.040000000000000924</v>
      </c>
      <c r="I306" s="6">
        <f>C291</f>
        <v>17</v>
      </c>
      <c r="J306" s="6">
        <f>C308</f>
        <v>25</v>
      </c>
      <c r="K306" s="6">
        <f t="array" ref="K306">INDEX('Podium Target Times'!$C:$C, MATCH(A306&amp;B306, 'Podium Target Times'!$A:$A&amp;'Podium Target Times'!$B:$B, 0))
</f>
        <v>27.02</v>
      </c>
      <c r="L306" s="8">
        <f t="shared" ref="L306:L307" si="31">L307+G307</f>
        <v>27.03</v>
      </c>
      <c r="M306" s="6" t="str">
        <f t="shared" si="1"/>
        <v>27.03</v>
      </c>
      <c r="N306" s="9">
        <f>IFERROR(__xludf.DUMMYFUNCTION("LET(
  gen,$A306, ev,$B306, t,$M306,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307">
      <c r="A307" s="10" t="s">
        <v>14</v>
      </c>
      <c r="B307" s="11" t="s">
        <v>248</v>
      </c>
      <c r="C307" s="11">
        <v>24.0</v>
      </c>
      <c r="D307" s="11">
        <v>3.0</v>
      </c>
      <c r="E307" s="12" t="s">
        <v>258</v>
      </c>
      <c r="F307" s="13">
        <f>IFERROR(__xludf.DUMMYFUNCTION("IF(
  REGEXMATCH(E307, "":""),
  60*VALUE(INDEX(SPLIT(E307, "":""),1,1)) + VALUE(INDEX(SPLIT(E307, "":""),1,2)),
  VALUE(E307)
)"),26.23)</f>
        <v>26.23</v>
      </c>
      <c r="G307" s="13">
        <f t="shared" ref="G307:G308" si="32">F306-F307</f>
        <v>0.01</v>
      </c>
      <c r="H307" s="13">
        <v>0.00999999999999801</v>
      </c>
      <c r="I307" s="11">
        <f>C291</f>
        <v>17</v>
      </c>
      <c r="J307" s="11">
        <f>C308</f>
        <v>25</v>
      </c>
      <c r="K307" s="11">
        <f t="array" ref="K307">INDEX('Podium Target Times'!$C:$C, MATCH(A307&amp;B307, 'Podium Target Times'!$A:$A&amp;'Podium Target Times'!$B:$B, 0))
</f>
        <v>27.02</v>
      </c>
      <c r="L307" s="13">
        <f t="shared" si="31"/>
        <v>27.02</v>
      </c>
      <c r="M307" s="11" t="str">
        <f t="shared" si="1"/>
        <v>27.02</v>
      </c>
      <c r="N307" s="14">
        <f>IFERROR(__xludf.DUMMYFUNCTION("LET(
  gen,$A307, ev,$B307, t,$M307,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308">
      <c r="A308" s="5" t="s">
        <v>14</v>
      </c>
      <c r="B308" s="6" t="s">
        <v>248</v>
      </c>
      <c r="C308" s="6">
        <v>25.0</v>
      </c>
      <c r="D308" s="6">
        <v>3.0</v>
      </c>
      <c r="E308" s="7" t="s">
        <v>258</v>
      </c>
      <c r="F308" s="8">
        <f>IFERROR(__xludf.DUMMYFUNCTION("IF(
  REGEXMATCH(E308, "":""),
  60*VALUE(INDEX(SPLIT(E308, "":""),1,1)) + VALUE(INDEX(SPLIT(E308, "":""),1,2)),
  VALUE(E308)
)"),26.23)</f>
        <v>26.23</v>
      </c>
      <c r="G308" s="8">
        <f t="shared" si="32"/>
        <v>0</v>
      </c>
      <c r="H308" s="8">
        <v>0.0</v>
      </c>
      <c r="I308" s="6">
        <f>C291</f>
        <v>17</v>
      </c>
      <c r="J308" s="6">
        <f>C308</f>
        <v>25</v>
      </c>
      <c r="K308" s="6">
        <f t="array" ref="K308">INDEX('Podium Target Times'!$C:$C, MATCH(A308&amp;B308, 'Podium Target Times'!$A:$A&amp;'Podium Target Times'!$B:$B, 0))
</f>
        <v>27.02</v>
      </c>
      <c r="L308" s="6">
        <f>K308</f>
        <v>27.02</v>
      </c>
      <c r="M308" s="6" t="str">
        <f t="shared" si="1"/>
        <v>27.02</v>
      </c>
      <c r="N308" s="9">
        <f>IFERROR(__xludf.DUMMYFUNCTION("LET(
  gen,$A308, ev,$B308, t,$M308,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309">
      <c r="A309" s="10" t="s">
        <v>14</v>
      </c>
      <c r="B309" s="11" t="s">
        <v>263</v>
      </c>
      <c r="C309" s="11">
        <v>16.0</v>
      </c>
      <c r="D309" s="11">
        <v>1.0</v>
      </c>
      <c r="E309" s="12" t="s">
        <v>264</v>
      </c>
      <c r="F309" s="13">
        <f>IFERROR(__xludf.DUMMYFUNCTION("IF(
  REGEXMATCH(E309, "":""),
  60*VALUE(INDEX(SPLIT(E309, "":""),1,1)) + VALUE(INDEX(SPLIT(E309, "":""),1,2)),
  VALUE(E309)
)"),25.66)</f>
        <v>25.66</v>
      </c>
      <c r="G309" s="13">
        <v>0.0</v>
      </c>
      <c r="H309" s="13">
        <v>0.0</v>
      </c>
      <c r="I309" s="11">
        <f>C309</f>
        <v>16</v>
      </c>
      <c r="J309" s="11">
        <f>C326</f>
        <v>24</v>
      </c>
      <c r="K309" s="11">
        <f t="array" ref="K309">INDEX('Podium Target Times'!$C:$C, MATCH(A309&amp;B309, 'Podium Target Times'!$A:$A&amp;'Podium Target Times'!$B:$B, 0))
</f>
        <v>25.32</v>
      </c>
      <c r="L309" s="13">
        <f>L310+G310</f>
        <v>26.63</v>
      </c>
      <c r="M309" s="11" t="str">
        <f t="shared" si="1"/>
        <v>26.63</v>
      </c>
      <c r="N309" s="14">
        <f>IFERROR(__xludf.DUMMYFUNCTION("LET(
  gen,$A309, ev,$B309, t,$M309,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)"),696.0)</f>
        <v>696</v>
      </c>
    </row>
    <row r="310">
      <c r="A310" s="5" t="s">
        <v>14</v>
      </c>
      <c r="B310" s="6" t="s">
        <v>263</v>
      </c>
      <c r="C310" s="6">
        <v>17.0</v>
      </c>
      <c r="D310" s="6">
        <v>1.0</v>
      </c>
      <c r="E310" s="7" t="s">
        <v>265</v>
      </c>
      <c r="F310" s="8">
        <f>IFERROR(__xludf.DUMMYFUNCTION("IF(
  REGEXMATCH(E310, "":""),
  60*VALUE(INDEX(SPLIT(E310, "":""),1,1)) + VALUE(INDEX(SPLIT(E310, "":""),1,2)),
  VALUE(E310)
)"),25.4)</f>
        <v>25.4</v>
      </c>
      <c r="G310" s="8">
        <f>F309-F310</f>
        <v>0.26</v>
      </c>
      <c r="H310" s="8">
        <v>0.26000000000000156</v>
      </c>
      <c r="I310" s="6">
        <f>C309</f>
        <v>16</v>
      </c>
      <c r="J310" s="6">
        <f>C326</f>
        <v>24</v>
      </c>
      <c r="K310" s="6">
        <f t="array" ref="K310">INDEX('Podium Target Times'!$C:$C, MATCH(A310&amp;B310, 'Podium Target Times'!$A:$A&amp;'Podium Target Times'!$B:$B, 0))
</f>
        <v>25.32</v>
      </c>
      <c r="L310" s="8">
        <f>L312+G312</f>
        <v>26.37</v>
      </c>
      <c r="M310" s="6" t="str">
        <f t="shared" si="1"/>
        <v>26.37</v>
      </c>
      <c r="N310" s="9">
        <f>IFERROR(__xludf.DUMMYFUNCTION("LET(
  gen,$A310, ev,$B310, t,$M310,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311">
      <c r="A311" s="10" t="s">
        <v>14</v>
      </c>
      <c r="B311" s="11" t="s">
        <v>263</v>
      </c>
      <c r="C311" s="11">
        <v>17.0</v>
      </c>
      <c r="D311" s="11">
        <v>2.0</v>
      </c>
      <c r="E311" s="12" t="s">
        <v>266</v>
      </c>
      <c r="F311" s="13">
        <f>IFERROR(__xludf.DUMMYFUNCTION("IF(
  REGEXMATCH(E311, "":""),
  60*VALUE(INDEX(SPLIT(E311, "":""),1,1)) + VALUE(INDEX(SPLIT(E311, "":""),1,2)),
  VALUE(E311)
)"),25.68)</f>
        <v>25.68</v>
      </c>
      <c r="G311" s="13">
        <f>F309-F310</f>
        <v>0.26</v>
      </c>
      <c r="H311" s="13">
        <v>0.26000000000000156</v>
      </c>
      <c r="I311" s="11">
        <f>C309</f>
        <v>16</v>
      </c>
      <c r="J311" s="11">
        <f>C326</f>
        <v>24</v>
      </c>
      <c r="K311" s="11">
        <f t="array" ref="K311">INDEX('Podium Target Times'!$C:$C, MATCH(A311&amp;B311, 'Podium Target Times'!$A:$A&amp;'Podium Target Times'!$B:$B, 0))
</f>
        <v>25.32</v>
      </c>
      <c r="L311" s="13">
        <f>L312+G312</f>
        <v>26.37</v>
      </c>
      <c r="M311" s="11" t="str">
        <f t="shared" si="1"/>
        <v>26.37</v>
      </c>
      <c r="N311" s="14">
        <f>IFERROR(__xludf.DUMMYFUNCTION("LET(
  gen,$A311, ev,$B311, t,$M311,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312">
      <c r="A312" s="5" t="s">
        <v>14</v>
      </c>
      <c r="B312" s="6" t="s">
        <v>263</v>
      </c>
      <c r="C312" s="6">
        <v>18.0</v>
      </c>
      <c r="D312" s="6">
        <v>1.0</v>
      </c>
      <c r="E312" s="7" t="s">
        <v>267</v>
      </c>
      <c r="F312" s="8">
        <f>IFERROR(__xludf.DUMMYFUNCTION("IF(
  REGEXMATCH(E312, "":""),
  60*VALUE(INDEX(SPLIT(E312, "":""),1,1)) + VALUE(INDEX(SPLIT(E312, "":""),1,2)),
  VALUE(E312)
)"),25.2)</f>
        <v>25.2</v>
      </c>
      <c r="G312" s="8">
        <f>average(F310-F312,F311-F313)</f>
        <v>0.2</v>
      </c>
      <c r="H312" s="8">
        <v>0.1999999999999993</v>
      </c>
      <c r="I312" s="6">
        <f>C309</f>
        <v>16</v>
      </c>
      <c r="J312" s="6">
        <f>C326</f>
        <v>24</v>
      </c>
      <c r="K312" s="6">
        <f t="array" ref="K312">INDEX('Podium Target Times'!$C:$C, MATCH(A312&amp;B312, 'Podium Target Times'!$A:$A&amp;'Podium Target Times'!$B:$B, 0))
</f>
        <v>25.32</v>
      </c>
      <c r="L312" s="8">
        <f>L315+G315</f>
        <v>26.17</v>
      </c>
      <c r="M312" s="6" t="str">
        <f t="shared" si="1"/>
        <v>26.17</v>
      </c>
      <c r="N312" s="9">
        <f>IFERROR(__xludf.DUMMYFUNCTION("LET(
  gen,$A312, ev,$B312, t,$M312,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13">
      <c r="A313" s="10" t="s">
        <v>14</v>
      </c>
      <c r="B313" s="11" t="s">
        <v>263</v>
      </c>
      <c r="C313" s="11">
        <v>18.0</v>
      </c>
      <c r="D313" s="11">
        <v>2.0</v>
      </c>
      <c r="E313" s="12" t="s">
        <v>268</v>
      </c>
      <c r="F313" s="13">
        <f>IFERROR(__xludf.DUMMYFUNCTION("IF(
  REGEXMATCH(E313, "":""),
  60*VALUE(INDEX(SPLIT(E313, "":""),1,1)) + VALUE(INDEX(SPLIT(E313, "":""),1,2)),
  VALUE(E313)
)"),25.48)</f>
        <v>25.48</v>
      </c>
      <c r="G313" s="13">
        <f>average(F310-F312,F311-F313)</f>
        <v>0.2</v>
      </c>
      <c r="H313" s="13">
        <v>0.1999999999999993</v>
      </c>
      <c r="I313" s="11">
        <f>C309</f>
        <v>16</v>
      </c>
      <c r="J313" s="11">
        <f>C326</f>
        <v>24</v>
      </c>
      <c r="K313" s="11">
        <f t="array" ref="K313">INDEX('Podium Target Times'!$C:$C, MATCH(A313&amp;B313, 'Podium Target Times'!$A:$A&amp;'Podium Target Times'!$B:$B, 0))
</f>
        <v>25.32</v>
      </c>
      <c r="L313" s="13">
        <f>L315+G315</f>
        <v>26.17</v>
      </c>
      <c r="M313" s="11" t="str">
        <f t="shared" si="1"/>
        <v>26.17</v>
      </c>
      <c r="N313" s="14">
        <f>IFERROR(__xludf.DUMMYFUNCTION("LET(
  gen,$A313, ev,$B313, t,$M313,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14">
      <c r="A314" s="5" t="s">
        <v>14</v>
      </c>
      <c r="B314" s="6" t="s">
        <v>263</v>
      </c>
      <c r="C314" s="6">
        <v>18.0</v>
      </c>
      <c r="D314" s="6">
        <v>3.0</v>
      </c>
      <c r="E314" s="7" t="s">
        <v>269</v>
      </c>
      <c r="F314" s="8">
        <f>IFERROR(__xludf.DUMMYFUNCTION("IF(
  REGEXMATCH(E314, "":""),
  60*VALUE(INDEX(SPLIT(E314, "":""),1,1)) + VALUE(INDEX(SPLIT(E314, "":""),1,2)),
  VALUE(E314)
)"),25.64)</f>
        <v>25.64</v>
      </c>
      <c r="G314" s="8">
        <f>average(F310-F312,F311-F313)</f>
        <v>0.2</v>
      </c>
      <c r="H314" s="8">
        <v>0.1999999999999993</v>
      </c>
      <c r="I314" s="6">
        <f>C309</f>
        <v>16</v>
      </c>
      <c r="J314" s="6">
        <f>C326</f>
        <v>24</v>
      </c>
      <c r="K314" s="6">
        <f t="array" ref="K314">INDEX('Podium Target Times'!$C:$C, MATCH(A314&amp;B314, 'Podium Target Times'!$A:$A&amp;'Podium Target Times'!$B:$B, 0))
</f>
        <v>25.32</v>
      </c>
      <c r="L314" s="8">
        <f>L315+G315</f>
        <v>26.17</v>
      </c>
      <c r="M314" s="6" t="str">
        <f t="shared" si="1"/>
        <v>26.17</v>
      </c>
      <c r="N314" s="9">
        <f>IFERROR(__xludf.DUMMYFUNCTION("LET(
  gen,$A314, ev,$B314, t,$M314,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15">
      <c r="A315" s="10" t="s">
        <v>14</v>
      </c>
      <c r="B315" s="11" t="s">
        <v>263</v>
      </c>
      <c r="C315" s="11">
        <v>19.0</v>
      </c>
      <c r="D315" s="11">
        <v>1.0</v>
      </c>
      <c r="E315" s="16" t="s">
        <v>270</v>
      </c>
      <c r="F315" s="13">
        <f>IFERROR(__xludf.DUMMYFUNCTION("IF(
  REGEXMATCH(E315, "":""),
  60*VALUE(INDEX(SPLIT(E315, "":""),1,1)) + VALUE(INDEX(SPLIT(E315, "":""),1,2)),
  VALUE(E315)
)"),25.02)</f>
        <v>25.02</v>
      </c>
      <c r="G315" s="13">
        <f>average(F312-F315,F313-F316,F314-F317)</f>
        <v>0.1766666667</v>
      </c>
      <c r="H315" s="13">
        <v>0.17666666666666705</v>
      </c>
      <c r="I315" s="11">
        <f>C309</f>
        <v>16</v>
      </c>
      <c r="J315" s="11">
        <f>C326</f>
        <v>24</v>
      </c>
      <c r="K315" s="11">
        <f t="array" ref="K315">INDEX('Podium Target Times'!$C:$C, MATCH(A315&amp;B315, 'Podium Target Times'!$A:$A&amp;'Podium Target Times'!$B:$B, 0))
</f>
        <v>25.32</v>
      </c>
      <c r="L315" s="13">
        <f>L318+G318</f>
        <v>25.99333333</v>
      </c>
      <c r="M315" s="11" t="str">
        <f t="shared" si="1"/>
        <v>25.99</v>
      </c>
      <c r="N315" s="14">
        <f>IFERROR(__xludf.DUMMYFUNCTION("LET(
  gen,$A315, ev,$B315, t,$M315,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316">
      <c r="A316" s="5" t="s">
        <v>14</v>
      </c>
      <c r="B316" s="6" t="s">
        <v>263</v>
      </c>
      <c r="C316" s="6">
        <v>19.0</v>
      </c>
      <c r="D316" s="6">
        <v>2.0</v>
      </c>
      <c r="E316" s="15" t="s">
        <v>271</v>
      </c>
      <c r="F316" s="8">
        <f>IFERROR(__xludf.DUMMYFUNCTION("IF(
  REGEXMATCH(E316, "":""),
  60*VALUE(INDEX(SPLIT(E316, "":""),1,1)) + VALUE(INDEX(SPLIT(E316, "":""),1,2)),
  VALUE(E316)
)"),25.3)</f>
        <v>25.3</v>
      </c>
      <c r="G316" s="8">
        <f>average(F312-F315,F313-F316,F314-F317)</f>
        <v>0.1766666667</v>
      </c>
      <c r="H316" s="8">
        <v>0.17666666666666705</v>
      </c>
      <c r="I316" s="6">
        <f>C309</f>
        <v>16</v>
      </c>
      <c r="J316" s="6">
        <f>C326</f>
        <v>24</v>
      </c>
      <c r="K316" s="6">
        <f t="array" ref="K316">INDEX('Podium Target Times'!$C:$C, MATCH(A316&amp;B316, 'Podium Target Times'!$A:$A&amp;'Podium Target Times'!$B:$B, 0))
</f>
        <v>25.32</v>
      </c>
      <c r="L316" s="8">
        <f>L318+G318</f>
        <v>25.99333333</v>
      </c>
      <c r="M316" s="6" t="str">
        <f t="shared" si="1"/>
        <v>25.99</v>
      </c>
      <c r="N316" s="9">
        <f>IFERROR(__xludf.DUMMYFUNCTION("LET(
  gen,$A316, ev,$B316, t,$M316,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317">
      <c r="A317" s="10" t="s">
        <v>14</v>
      </c>
      <c r="B317" s="11" t="s">
        <v>263</v>
      </c>
      <c r="C317" s="11">
        <v>19.0</v>
      </c>
      <c r="D317" s="11">
        <v>3.0</v>
      </c>
      <c r="E317" s="16" t="s">
        <v>272</v>
      </c>
      <c r="F317" s="13">
        <f>IFERROR(__xludf.DUMMYFUNCTION("IF(
  REGEXMATCH(E317, "":""),
  60*VALUE(INDEX(SPLIT(E317, "":""),1,1)) + VALUE(INDEX(SPLIT(E317, "":""),1,2)),
  VALUE(E317)
)"),25.47)</f>
        <v>25.47</v>
      </c>
      <c r="G317" s="13">
        <f>average(F312-F315,F313-F316,F314-F317)</f>
        <v>0.1766666667</v>
      </c>
      <c r="H317" s="13">
        <v>0.17666666666666705</v>
      </c>
      <c r="I317" s="11">
        <f>C309</f>
        <v>16</v>
      </c>
      <c r="J317" s="11">
        <f>C326</f>
        <v>24</v>
      </c>
      <c r="K317" s="11">
        <f t="array" ref="K317">INDEX('Podium Target Times'!$C:$C, MATCH(A317&amp;B317, 'Podium Target Times'!$A:$A&amp;'Podium Target Times'!$B:$B, 0))
</f>
        <v>25.32</v>
      </c>
      <c r="L317" s="13">
        <f>L318+G318</f>
        <v>25.99333333</v>
      </c>
      <c r="M317" s="11" t="str">
        <f t="shared" si="1"/>
        <v>25.99</v>
      </c>
      <c r="N317" s="14">
        <f>IFERROR(__xludf.DUMMYFUNCTION("LET(
  gen,$A317, ev,$B317, t,$M317,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318">
      <c r="A318" s="5" t="s">
        <v>14</v>
      </c>
      <c r="B318" s="6" t="s">
        <v>263</v>
      </c>
      <c r="C318" s="6">
        <v>20.0</v>
      </c>
      <c r="D318" s="6">
        <v>1.0</v>
      </c>
      <c r="E318" s="7" t="s">
        <v>273</v>
      </c>
      <c r="F318" s="8">
        <f>IFERROR(__xludf.DUMMYFUNCTION("IF(
  REGEXMATCH(E318, "":""),
  60*VALUE(INDEX(SPLIT(E318, "":""),1,1)) + VALUE(INDEX(SPLIT(E318, "":""),1,2)),
  VALUE(E318)
)"),24.86)</f>
        <v>24.86</v>
      </c>
      <c r="G318" s="8">
        <f>average(F315-F318,F316-F319,F317-F320)</f>
        <v>0.1633333333</v>
      </c>
      <c r="H318" s="8">
        <v>0.1633333333333328</v>
      </c>
      <c r="I318" s="6">
        <f>C309</f>
        <v>16</v>
      </c>
      <c r="J318" s="6">
        <f>C326</f>
        <v>24</v>
      </c>
      <c r="K318" s="6">
        <f t="array" ref="K318">INDEX('Podium Target Times'!$C:$C, MATCH(A318&amp;B318, 'Podium Target Times'!$A:$A&amp;'Podium Target Times'!$B:$B, 0))
</f>
        <v>25.32</v>
      </c>
      <c r="L318" s="8">
        <f>L321+G321</f>
        <v>25.83</v>
      </c>
      <c r="M318" s="6" t="str">
        <f t="shared" si="1"/>
        <v>25.83</v>
      </c>
      <c r="N318" s="9">
        <f>IFERROR(__xludf.DUMMYFUNCTION("LET(
  gen,$A318, ev,$B318, t,$M318,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319">
      <c r="A319" s="10" t="s">
        <v>14</v>
      </c>
      <c r="B319" s="11" t="s">
        <v>263</v>
      </c>
      <c r="C319" s="11">
        <v>20.0</v>
      </c>
      <c r="D319" s="11">
        <v>2.0</v>
      </c>
      <c r="E319" s="12" t="s">
        <v>274</v>
      </c>
      <c r="F319" s="13">
        <f>IFERROR(__xludf.DUMMYFUNCTION("IF(
  REGEXMATCH(E319, "":""),
  60*VALUE(INDEX(SPLIT(E319, "":""),1,1)) + VALUE(INDEX(SPLIT(E319, "":""),1,2)),
  VALUE(E319)
)"),25.14)</f>
        <v>25.14</v>
      </c>
      <c r="G319" s="13">
        <f>average(F315-F318,F316-F319,F317-F320)</f>
        <v>0.1633333333</v>
      </c>
      <c r="H319" s="13">
        <v>0.1633333333333328</v>
      </c>
      <c r="I319" s="11">
        <f>C309</f>
        <v>16</v>
      </c>
      <c r="J319" s="11">
        <f>C326</f>
        <v>24</v>
      </c>
      <c r="K319" s="11">
        <f t="array" ref="K319">INDEX('Podium Target Times'!$C:$C, MATCH(A319&amp;B319, 'Podium Target Times'!$A:$A&amp;'Podium Target Times'!$B:$B, 0))
</f>
        <v>25.32</v>
      </c>
      <c r="L319" s="13">
        <f>L321+G321</f>
        <v>25.83</v>
      </c>
      <c r="M319" s="11" t="str">
        <f t="shared" si="1"/>
        <v>25.83</v>
      </c>
      <c r="N319" s="14">
        <f>IFERROR(__xludf.DUMMYFUNCTION("LET(
  gen,$A319, ev,$B319, t,$M319,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320">
      <c r="A320" s="5" t="s">
        <v>14</v>
      </c>
      <c r="B320" s="6" t="s">
        <v>263</v>
      </c>
      <c r="C320" s="6">
        <v>20.0</v>
      </c>
      <c r="D320" s="6">
        <v>3.0</v>
      </c>
      <c r="E320" s="7" t="s">
        <v>271</v>
      </c>
      <c r="F320" s="8">
        <f>IFERROR(__xludf.DUMMYFUNCTION("IF(
  REGEXMATCH(E320, "":""),
  60*VALUE(INDEX(SPLIT(E320, "":""),1,1)) + VALUE(INDEX(SPLIT(E320, "":""),1,2)),
  VALUE(E320)
)"),25.3)</f>
        <v>25.3</v>
      </c>
      <c r="G320" s="8">
        <f>average(F315-F318,F316-F319,F317-F320)</f>
        <v>0.1633333333</v>
      </c>
      <c r="H320" s="8">
        <v>0.1633333333333328</v>
      </c>
      <c r="I320" s="6">
        <f>C309</f>
        <v>16</v>
      </c>
      <c r="J320" s="6">
        <f>C326</f>
        <v>24</v>
      </c>
      <c r="K320" s="6">
        <f t="array" ref="K320">INDEX('Podium Target Times'!$C:$C, MATCH(A320&amp;B320, 'Podium Target Times'!$A:$A&amp;'Podium Target Times'!$B:$B, 0))
</f>
        <v>25.32</v>
      </c>
      <c r="L320" s="8">
        <f>L321+G321</f>
        <v>25.83</v>
      </c>
      <c r="M320" s="6" t="str">
        <f t="shared" si="1"/>
        <v>25.83</v>
      </c>
      <c r="N320" s="9">
        <f>IFERROR(__xludf.DUMMYFUNCTION("LET(
  gen,$A320, ev,$B320, t,$M320,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321">
      <c r="A321" s="10" t="s">
        <v>14</v>
      </c>
      <c r="B321" s="11" t="s">
        <v>263</v>
      </c>
      <c r="C321" s="11">
        <v>21.0</v>
      </c>
      <c r="D321" s="11">
        <v>2.0</v>
      </c>
      <c r="E321" s="12" t="s">
        <v>275</v>
      </c>
      <c r="F321" s="13">
        <f>IFERROR(__xludf.DUMMYFUNCTION("IF(
  REGEXMATCH(E321, "":""),
  60*VALUE(INDEX(SPLIT(E321, "":""),1,1)) + VALUE(INDEX(SPLIT(E321, "":""),1,2)),
  VALUE(E321)
)"),24.99)</f>
        <v>24.99</v>
      </c>
      <c r="G321" s="13">
        <f>average(F319-F321,F320-F322)</f>
        <v>0.15</v>
      </c>
      <c r="H321" s="13">
        <v>0.15000000000000213</v>
      </c>
      <c r="I321" s="11">
        <f>C309</f>
        <v>16</v>
      </c>
      <c r="J321" s="11">
        <f>C326</f>
        <v>24</v>
      </c>
      <c r="K321" s="11">
        <f t="array" ref="K321">INDEX('Podium Target Times'!$C:$C, MATCH(A321&amp;B321, 'Podium Target Times'!$A:$A&amp;'Podium Target Times'!$B:$B, 0))
</f>
        <v>25.32</v>
      </c>
      <c r="L321" s="13">
        <f>L323+G323</f>
        <v>25.68</v>
      </c>
      <c r="M321" s="11" t="str">
        <f t="shared" si="1"/>
        <v>25.68</v>
      </c>
      <c r="N321" s="14">
        <f>IFERROR(__xludf.DUMMYFUNCTION("LET(
  gen,$A321, ev,$B321, t,$M321,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)"),777.0)</f>
        <v>777</v>
      </c>
    </row>
    <row r="322">
      <c r="A322" s="5" t="s">
        <v>14</v>
      </c>
      <c r="B322" s="6" t="s">
        <v>263</v>
      </c>
      <c r="C322" s="6">
        <v>21.0</v>
      </c>
      <c r="D322" s="6">
        <v>3.0</v>
      </c>
      <c r="E322" s="7" t="s">
        <v>276</v>
      </c>
      <c r="F322" s="8">
        <f>IFERROR(__xludf.DUMMYFUNCTION("IF(
  REGEXMATCH(E322, "":""),
  60*VALUE(INDEX(SPLIT(E322, "":""),1,1)) + VALUE(INDEX(SPLIT(E322, "":""),1,2)),
  VALUE(E322)
)"),25.15)</f>
        <v>25.15</v>
      </c>
      <c r="G322" s="8">
        <f>average(F319-F321,F320-F322)</f>
        <v>0.15</v>
      </c>
      <c r="H322" s="8">
        <v>0.15000000000000213</v>
      </c>
      <c r="I322" s="6">
        <f>C309</f>
        <v>16</v>
      </c>
      <c r="J322" s="6">
        <f>C326</f>
        <v>24</v>
      </c>
      <c r="K322" s="6">
        <f t="array" ref="K322">INDEX('Podium Target Times'!$C:$C, MATCH(A322&amp;B322, 'Podium Target Times'!$A:$A&amp;'Podium Target Times'!$B:$B, 0))
</f>
        <v>25.32</v>
      </c>
      <c r="L322" s="8">
        <f>L323+G323</f>
        <v>25.68</v>
      </c>
      <c r="M322" s="6" t="str">
        <f t="shared" si="1"/>
        <v>25.68</v>
      </c>
      <c r="N322" s="9">
        <f>IFERROR(__xludf.DUMMYFUNCTION("LET(
  gen,$A322, ev,$B322, t,$M322,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)"),777.0)</f>
        <v>777</v>
      </c>
    </row>
    <row r="323">
      <c r="A323" s="10" t="s">
        <v>14</v>
      </c>
      <c r="B323" s="11" t="s">
        <v>263</v>
      </c>
      <c r="C323" s="11">
        <v>22.0</v>
      </c>
      <c r="D323" s="11">
        <v>2.0</v>
      </c>
      <c r="E323" s="12" t="s">
        <v>273</v>
      </c>
      <c r="F323" s="13">
        <f>IFERROR(__xludf.DUMMYFUNCTION("IF(
  REGEXMATCH(E323, "":""),
  60*VALUE(INDEX(SPLIT(E323, "":""),1,1)) + VALUE(INDEX(SPLIT(E323, "":""),1,2)),
  VALUE(E323)
)"),24.86)</f>
        <v>24.86</v>
      </c>
      <c r="G323" s="13">
        <f>average(F321-F323,F322-F324)</f>
        <v>0.13</v>
      </c>
      <c r="H323" s="13">
        <v>0.129999999999999</v>
      </c>
      <c r="I323" s="11">
        <f>C309</f>
        <v>16</v>
      </c>
      <c r="J323" s="11">
        <f>C326</f>
        <v>24</v>
      </c>
      <c r="K323" s="11">
        <f t="array" ref="K323">INDEX('Podium Target Times'!$C:$C, MATCH(A323&amp;B323, 'Podium Target Times'!$A:$A&amp;'Podium Target Times'!$B:$B, 0))
</f>
        <v>25.32</v>
      </c>
      <c r="L323" s="13">
        <f>L325+G325</f>
        <v>25.55</v>
      </c>
      <c r="M323" s="11" t="str">
        <f t="shared" si="1"/>
        <v>25.55</v>
      </c>
      <c r="N323" s="14">
        <f>IFERROR(__xludf.DUMMYFUNCTION("LET(
  gen,$A323, ev,$B323, t,$M323,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)"),789.0)</f>
        <v>789</v>
      </c>
    </row>
    <row r="324">
      <c r="A324" s="5" t="s">
        <v>14</v>
      </c>
      <c r="B324" s="6" t="s">
        <v>263</v>
      </c>
      <c r="C324" s="6">
        <v>22.0</v>
      </c>
      <c r="D324" s="6">
        <v>3.0</v>
      </c>
      <c r="E324" s="7" t="s">
        <v>270</v>
      </c>
      <c r="F324" s="8">
        <f>IFERROR(__xludf.DUMMYFUNCTION("IF(
  REGEXMATCH(E324, "":""),
  60*VALUE(INDEX(SPLIT(E324, "":""),1,1)) + VALUE(INDEX(SPLIT(E324, "":""),1,2)),
  VALUE(E324)
)"),25.02)</f>
        <v>25.02</v>
      </c>
      <c r="G324" s="8">
        <f>average(F321-F323,F322-F324)</f>
        <v>0.13</v>
      </c>
      <c r="H324" s="8">
        <v>0.129999999999999</v>
      </c>
      <c r="I324" s="6">
        <f>C309</f>
        <v>16</v>
      </c>
      <c r="J324" s="6">
        <f>C326</f>
        <v>24</v>
      </c>
      <c r="K324" s="6">
        <f t="array" ref="K324">INDEX('Podium Target Times'!$C:$C, MATCH(A324&amp;B324, 'Podium Target Times'!$A:$A&amp;'Podium Target Times'!$B:$B, 0))
</f>
        <v>25.32</v>
      </c>
      <c r="L324" s="8">
        <f t="shared" ref="L324:L325" si="33">L325+G325</f>
        <v>25.55</v>
      </c>
      <c r="M324" s="6" t="str">
        <f t="shared" si="1"/>
        <v>25.55</v>
      </c>
      <c r="N324" s="9">
        <f>IFERROR(__xludf.DUMMYFUNCTION("LET(
  gen,$A324, ev,$B324, t,$M324,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)"),789.0)</f>
        <v>789</v>
      </c>
    </row>
    <row r="325">
      <c r="A325" s="10" t="s">
        <v>14</v>
      </c>
      <c r="B325" s="11" t="s">
        <v>263</v>
      </c>
      <c r="C325" s="11">
        <v>23.0</v>
      </c>
      <c r="D325" s="11">
        <v>3.0</v>
      </c>
      <c r="E325" s="12" t="s">
        <v>277</v>
      </c>
      <c r="F325" s="13">
        <f>IFERROR(__xludf.DUMMYFUNCTION("IF(
  REGEXMATCH(E325, "":""),
  60*VALUE(INDEX(SPLIT(E325, "":""),1,1)) + VALUE(INDEX(SPLIT(E325, "":""),1,2)),
  VALUE(E325)
)"),24.93)</f>
        <v>24.93</v>
      </c>
      <c r="G325" s="13">
        <f t="shared" ref="G325:G326" si="34">F324-F325</f>
        <v>0.09</v>
      </c>
      <c r="H325" s="13">
        <v>0.08999999999999986</v>
      </c>
      <c r="I325" s="11">
        <f>C309</f>
        <v>16</v>
      </c>
      <c r="J325" s="11">
        <f>C326</f>
        <v>24</v>
      </c>
      <c r="K325" s="11">
        <f t="array" ref="K325">INDEX('Podium Target Times'!$C:$C, MATCH(A325&amp;B325, 'Podium Target Times'!$A:$A&amp;'Podium Target Times'!$B:$B, 0))
</f>
        <v>25.32</v>
      </c>
      <c r="L325" s="13">
        <f t="shared" si="33"/>
        <v>25.46</v>
      </c>
      <c r="M325" s="11" t="str">
        <f t="shared" si="1"/>
        <v>25.46</v>
      </c>
      <c r="N325" s="14">
        <f>IFERROR(__xludf.DUMMYFUNCTION("LET(
  gen,$A325, ev,$B325, t,$M325,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326">
      <c r="A326" s="5" t="s">
        <v>14</v>
      </c>
      <c r="B326" s="6" t="s">
        <v>263</v>
      </c>
      <c r="C326" s="6">
        <v>24.0</v>
      </c>
      <c r="D326" s="6">
        <v>3.0</v>
      </c>
      <c r="E326" s="7" t="s">
        <v>273</v>
      </c>
      <c r="F326" s="8">
        <f>IFERROR(__xludf.DUMMYFUNCTION("IF(
  REGEXMATCH(E326, "":""),
  60*VALUE(INDEX(SPLIT(E326, "":""),1,1)) + VALUE(INDEX(SPLIT(E326, "":""),1,2)),
  VALUE(E326)
)"),24.86)</f>
        <v>24.86</v>
      </c>
      <c r="G326" s="8">
        <f t="shared" si="34"/>
        <v>0.07</v>
      </c>
      <c r="H326" s="8">
        <v>0.07000000000000028</v>
      </c>
      <c r="I326" s="6">
        <f>C309</f>
        <v>16</v>
      </c>
      <c r="J326" s="6">
        <f>C326</f>
        <v>24</v>
      </c>
      <c r="K326" s="6">
        <f t="array" ref="K326">INDEX('Podium Target Times'!$C:$C, MATCH(A326&amp;B326, 'Podium Target Times'!$A:$A&amp;'Podium Target Times'!$B:$B, 0))
</f>
        <v>25.32</v>
      </c>
      <c r="L326" s="8">
        <f>G326+L327</f>
        <v>25.39</v>
      </c>
      <c r="M326" s="6" t="str">
        <f t="shared" si="1"/>
        <v>25.39</v>
      </c>
      <c r="N326" s="9">
        <f>IFERROR(__xludf.DUMMYFUNCTION("LET(
  gen,$A326, ev,$B326, t,$M326,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)"),804.0)</f>
        <v>804</v>
      </c>
    </row>
    <row r="327">
      <c r="A327" s="10" t="s">
        <v>14</v>
      </c>
      <c r="B327" s="11" t="s">
        <v>263</v>
      </c>
      <c r="C327" s="11">
        <v>25.0</v>
      </c>
      <c r="D327" s="11"/>
      <c r="E327" s="12"/>
      <c r="F327" s="13">
        <f>IFERROR(__xludf.DUMMYFUNCTION("IF(
  REGEXMATCH(E327, "":""),
  60*VALUE(INDEX(SPLIT(E327, "":""),1,1)) + VALUE(INDEX(SPLIT(E327, "":""),1,2)),
  VALUE(E327)
)"),0.0)</f>
        <v>0</v>
      </c>
      <c r="G327" s="13"/>
      <c r="H327" s="13"/>
      <c r="I327" s="11">
        <f>C309</f>
        <v>16</v>
      </c>
      <c r="J327" s="11">
        <f>C326</f>
        <v>24</v>
      </c>
      <c r="K327" s="11">
        <f t="array" ref="K327">INDEX('Podium Target Times'!$C:$C, MATCH(A327&amp;B327, 'Podium Target Times'!$A:$A&amp;'Podium Target Times'!$B:$B, 0))
</f>
        <v>25.32</v>
      </c>
      <c r="L327" s="11">
        <f>K327</f>
        <v>25.32</v>
      </c>
      <c r="M327" s="11" t="str">
        <f t="shared" si="1"/>
        <v>25.32</v>
      </c>
      <c r="N327" s="14">
        <f>IFERROR(__xludf.DUMMYFUNCTION("LET(
  gen,$A327, ev,$B327, t,$M327,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)"),810.0)</f>
        <v>810</v>
      </c>
    </row>
    <row r="328">
      <c r="A328" s="5" t="s">
        <v>14</v>
      </c>
      <c r="B328" s="6" t="s">
        <v>278</v>
      </c>
      <c r="C328" s="6">
        <v>14.0</v>
      </c>
      <c r="D328" s="6">
        <v>1.0</v>
      </c>
      <c r="E328" s="7" t="s">
        <v>279</v>
      </c>
      <c r="F328" s="8">
        <f>IFERROR(__xludf.DUMMYFUNCTION("IF(
  REGEXMATCH(E328, "":""),
  60*VALUE(INDEX(SPLIT(E328, "":""),1,1)) + VALUE(INDEX(SPLIT(E328, "":""),1,2)),
  VALUE(E328)
)"),544.09)</f>
        <v>544.09</v>
      </c>
      <c r="G328" s="8">
        <v>0.0</v>
      </c>
      <c r="H328" s="8">
        <v>0.0</v>
      </c>
      <c r="I328" s="6">
        <f>C328</f>
        <v>14</v>
      </c>
      <c r="J328" s="6">
        <f>C345</f>
        <v>22</v>
      </c>
      <c r="K328" s="6">
        <f t="array" ref="K328">INDEX('Podium Target Times'!$C:$C, MATCH(A328&amp;B328, 'Podium Target Times'!$A:$A&amp;'Podium Target Times'!$B:$B, 0))
</f>
        <v>536.07</v>
      </c>
      <c r="L328" s="8">
        <f>L329+G329</f>
        <v>570.06</v>
      </c>
      <c r="M328" s="6" t="str">
        <f t="shared" si="1"/>
        <v>9:30.06</v>
      </c>
      <c r="N328" s="9">
        <f>IFERROR(__xludf.DUMMYFUNCTION("LET(
  gen,$A328, ev,$B328, t,$M328,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)"),615.0)</f>
        <v>615</v>
      </c>
    </row>
    <row r="329">
      <c r="A329" s="10" t="s">
        <v>14</v>
      </c>
      <c r="B329" s="11" t="s">
        <v>278</v>
      </c>
      <c r="C329" s="11">
        <v>15.0</v>
      </c>
      <c r="D329" s="11">
        <v>1.0</v>
      </c>
      <c r="E329" s="12" t="s">
        <v>280</v>
      </c>
      <c r="F329" s="13">
        <f>IFERROR(__xludf.DUMMYFUNCTION("IF(
  REGEXMATCH(E329, "":""),
  60*VALUE(INDEX(SPLIT(E329, "":""),1,1)) + VALUE(INDEX(SPLIT(E329, "":""),1,2)),
  VALUE(E329)
)"),531.31)</f>
        <v>531.31</v>
      </c>
      <c r="G329" s="13">
        <f>F328-F329</f>
        <v>12.78</v>
      </c>
      <c r="H329" s="13">
        <v>12.780000000000086</v>
      </c>
      <c r="I329" s="11">
        <f>C328</f>
        <v>14</v>
      </c>
      <c r="J329" s="11">
        <f>C345</f>
        <v>22</v>
      </c>
      <c r="K329" s="11">
        <f t="array" ref="K329">INDEX('Podium Target Times'!$C:$C, MATCH(A329&amp;B329, 'Podium Target Times'!$A:$A&amp;'Podium Target Times'!$B:$B, 0))
</f>
        <v>536.07</v>
      </c>
      <c r="L329" s="13">
        <f>L331+G331</f>
        <v>557.28</v>
      </c>
      <c r="M329" s="11" t="str">
        <f t="shared" si="1"/>
        <v>9:17.28</v>
      </c>
      <c r="N329" s="14">
        <f>IFERROR(__xludf.DUMMYFUNCTION("LET(
  gen,$A329, ev,$B329, t,$M329,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)"),658.0)</f>
        <v>658</v>
      </c>
    </row>
    <row r="330">
      <c r="A330" s="5" t="s">
        <v>14</v>
      </c>
      <c r="B330" s="6" t="s">
        <v>278</v>
      </c>
      <c r="C330" s="6">
        <v>15.0</v>
      </c>
      <c r="D330" s="6">
        <v>2.0</v>
      </c>
      <c r="E330" s="7" t="s">
        <v>281</v>
      </c>
      <c r="F330" s="8">
        <f>IFERROR(__xludf.DUMMYFUNCTION("IF(
  REGEXMATCH(E330, "":""),
  60*VALUE(INDEX(SPLIT(E330, "":""),1,1)) + VALUE(INDEX(SPLIT(E330, "":""),1,2)),
  VALUE(E330)
)"),534.21)</f>
        <v>534.21</v>
      </c>
      <c r="G330" s="8">
        <f>F328-F329</f>
        <v>12.78</v>
      </c>
      <c r="H330" s="8">
        <v>12.780000000000086</v>
      </c>
      <c r="I330" s="6">
        <f>C328</f>
        <v>14</v>
      </c>
      <c r="J330" s="6">
        <f>C345</f>
        <v>22</v>
      </c>
      <c r="K330" s="6">
        <f t="array" ref="K330">INDEX('Podium Target Times'!$C:$C, MATCH(A330&amp;B330, 'Podium Target Times'!$A:$A&amp;'Podium Target Times'!$B:$B, 0))
</f>
        <v>536.07</v>
      </c>
      <c r="L330" s="8">
        <f>L331+G331</f>
        <v>557.28</v>
      </c>
      <c r="M330" s="6" t="str">
        <f t="shared" si="1"/>
        <v>9:17.28</v>
      </c>
      <c r="N330" s="9">
        <f>IFERROR(__xludf.DUMMYFUNCTION("LET(
  gen,$A330, ev,$B330, t,$M330,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)"),658.0)</f>
        <v>658</v>
      </c>
    </row>
    <row r="331">
      <c r="A331" s="10" t="s">
        <v>14</v>
      </c>
      <c r="B331" s="11" t="s">
        <v>278</v>
      </c>
      <c r="C331" s="11">
        <v>16.0</v>
      </c>
      <c r="D331" s="11">
        <v>1.0</v>
      </c>
      <c r="E331" s="12" t="s">
        <v>282</v>
      </c>
      <c r="F331" s="13">
        <f>IFERROR(__xludf.DUMMYFUNCTION("IF(
  REGEXMATCH(E331, "":""),
  60*VALUE(INDEX(SPLIT(E331, "":""),1,1)) + VALUE(INDEX(SPLIT(E331, "":""),1,2)),
  VALUE(E331)
)"),522.92)</f>
        <v>522.92</v>
      </c>
      <c r="G331" s="13">
        <f>average(F329-F331,F330-F332)</f>
        <v>8.415</v>
      </c>
      <c r="H331" s="13">
        <v>8.41500000000002</v>
      </c>
      <c r="I331" s="11">
        <f>C328</f>
        <v>14</v>
      </c>
      <c r="J331" s="11">
        <f>C345</f>
        <v>22</v>
      </c>
      <c r="K331" s="11">
        <f t="array" ref="K331">INDEX('Podium Target Times'!$C:$C, MATCH(A331&amp;B331, 'Podium Target Times'!$A:$A&amp;'Podium Target Times'!$B:$B, 0))
</f>
        <v>536.07</v>
      </c>
      <c r="L331" s="13">
        <f>L334+G334</f>
        <v>548.865</v>
      </c>
      <c r="M331" s="11" t="str">
        <f t="shared" si="1"/>
        <v>9:08.87</v>
      </c>
      <c r="N331" s="14">
        <f>IFERROR(__xludf.DUMMYFUNCTION("LET(
  gen,$A331, ev,$B331, t,$M331,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)"),689.0)</f>
        <v>689</v>
      </c>
    </row>
    <row r="332">
      <c r="A332" s="5" t="s">
        <v>14</v>
      </c>
      <c r="B332" s="6" t="s">
        <v>278</v>
      </c>
      <c r="C332" s="6">
        <v>16.0</v>
      </c>
      <c r="D332" s="6">
        <v>2.0</v>
      </c>
      <c r="E332" s="7" t="s">
        <v>283</v>
      </c>
      <c r="F332" s="8">
        <f>IFERROR(__xludf.DUMMYFUNCTION("IF(
  REGEXMATCH(E332, "":""),
  60*VALUE(INDEX(SPLIT(E332, "":""),1,1)) + VALUE(INDEX(SPLIT(E332, "":""),1,2)),
  VALUE(E332)
)"),525.77)</f>
        <v>525.77</v>
      </c>
      <c r="G332" s="8">
        <f>average(F329-F331,F330-F332)</f>
        <v>8.415</v>
      </c>
      <c r="H332" s="8">
        <v>8.41500000000002</v>
      </c>
      <c r="I332" s="6">
        <f>C328</f>
        <v>14</v>
      </c>
      <c r="J332" s="6">
        <f>C345</f>
        <v>22</v>
      </c>
      <c r="K332" s="6">
        <f t="array" ref="K332">INDEX('Podium Target Times'!$C:$C, MATCH(A332&amp;B332, 'Podium Target Times'!$A:$A&amp;'Podium Target Times'!$B:$B, 0))
</f>
        <v>536.07</v>
      </c>
      <c r="L332" s="8">
        <f>L334+G334</f>
        <v>548.865</v>
      </c>
      <c r="M332" s="6" t="str">
        <f t="shared" si="1"/>
        <v>9:08.87</v>
      </c>
      <c r="N332" s="9">
        <f>IFERROR(__xludf.DUMMYFUNCTION("LET(
  gen,$A332, ev,$B332, t,$M332,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)"),689.0)</f>
        <v>689</v>
      </c>
    </row>
    <row r="333">
      <c r="A333" s="10" t="s">
        <v>14</v>
      </c>
      <c r="B333" s="11" t="s">
        <v>278</v>
      </c>
      <c r="C333" s="11">
        <v>16.0</v>
      </c>
      <c r="D333" s="11">
        <v>3.0</v>
      </c>
      <c r="E333" s="12" t="s">
        <v>284</v>
      </c>
      <c r="F333" s="13">
        <f>IFERROR(__xludf.DUMMYFUNCTION("IF(
  REGEXMATCH(E333, "":""),
  60*VALUE(INDEX(SPLIT(E333, "":""),1,1)) + VALUE(INDEX(SPLIT(E333, "":""),1,2)),
  VALUE(E333)
)"),526.6)</f>
        <v>526.6</v>
      </c>
      <c r="G333" s="13">
        <f>average(F329-F331,F330-F332)</f>
        <v>8.415</v>
      </c>
      <c r="H333" s="13">
        <v>8.41500000000002</v>
      </c>
      <c r="I333" s="11">
        <f>C328</f>
        <v>14</v>
      </c>
      <c r="J333" s="11">
        <f>C345</f>
        <v>22</v>
      </c>
      <c r="K333" s="11">
        <f t="array" ref="K333">INDEX('Podium Target Times'!$C:$C, MATCH(A333&amp;B333, 'Podium Target Times'!$A:$A&amp;'Podium Target Times'!$B:$B, 0))
</f>
        <v>536.07</v>
      </c>
      <c r="L333" s="13">
        <f>L334+G334</f>
        <v>548.865</v>
      </c>
      <c r="M333" s="11" t="str">
        <f t="shared" si="1"/>
        <v>9:08.87</v>
      </c>
      <c r="N333" s="14">
        <f>IFERROR(__xludf.DUMMYFUNCTION("LET(
  gen,$A333, ev,$B333, t,$M333,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)"),689.0)</f>
        <v>689</v>
      </c>
    </row>
    <row r="334">
      <c r="A334" s="5" t="s">
        <v>14</v>
      </c>
      <c r="B334" s="6" t="s">
        <v>278</v>
      </c>
      <c r="C334" s="6">
        <v>17.0</v>
      </c>
      <c r="D334" s="6">
        <v>1.0</v>
      </c>
      <c r="E334" s="7" t="s">
        <v>285</v>
      </c>
      <c r="F334" s="8">
        <f>IFERROR(__xludf.DUMMYFUNCTION("IF(
  REGEXMATCH(E334, "":""),
  60*VALUE(INDEX(SPLIT(E334, "":""),1,1)) + VALUE(INDEX(SPLIT(E334, "":""),1,2)),
  VALUE(E334)
)"),517.81)</f>
        <v>517.81</v>
      </c>
      <c r="G334" s="8">
        <f>average(F331-F334,F332-F335,F333-F336)</f>
        <v>5.126666667</v>
      </c>
      <c r="H334" s="8">
        <v>5.126666666666665</v>
      </c>
      <c r="I334" s="6">
        <f>C328</f>
        <v>14</v>
      </c>
      <c r="J334" s="6">
        <f>C345</f>
        <v>22</v>
      </c>
      <c r="K334" s="6">
        <f t="array" ref="K334">INDEX('Podium Target Times'!$C:$C, MATCH(A334&amp;B334, 'Podium Target Times'!$A:$A&amp;'Podium Target Times'!$B:$B, 0))
</f>
        <v>536.07</v>
      </c>
      <c r="L334" s="8">
        <f>L337+G337</f>
        <v>543.7383333</v>
      </c>
      <c r="M334" s="6" t="str">
        <f t="shared" si="1"/>
        <v>9:03.74</v>
      </c>
      <c r="N334" s="9">
        <f>IFERROR(__xludf.DUMMYFUNCTION("LET(
  gen,$A334, ev,$B334, t,$M334,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335">
      <c r="A335" s="10" t="s">
        <v>14</v>
      </c>
      <c r="B335" s="11" t="s">
        <v>278</v>
      </c>
      <c r="C335" s="11">
        <v>17.0</v>
      </c>
      <c r="D335" s="11">
        <v>2.0</v>
      </c>
      <c r="E335" s="12" t="s">
        <v>286</v>
      </c>
      <c r="F335" s="13">
        <f>IFERROR(__xludf.DUMMYFUNCTION("IF(
  REGEXMATCH(E335, "":""),
  60*VALUE(INDEX(SPLIT(E335, "":""),1,1)) + VALUE(INDEX(SPLIT(E335, "":""),1,2)),
  VALUE(E335)
)"),520.64)</f>
        <v>520.64</v>
      </c>
      <c r="G335" s="13">
        <f>average(F331-F334,F332-F335,F333-F336)</f>
        <v>5.126666667</v>
      </c>
      <c r="H335" s="13">
        <v>5.126666666666665</v>
      </c>
      <c r="I335" s="11">
        <f>C328</f>
        <v>14</v>
      </c>
      <c r="J335" s="11">
        <f>C345</f>
        <v>22</v>
      </c>
      <c r="K335" s="11">
        <f t="array" ref="K335">INDEX('Podium Target Times'!$C:$C, MATCH(A335&amp;B335, 'Podium Target Times'!$A:$A&amp;'Podium Target Times'!$B:$B, 0))
</f>
        <v>536.07</v>
      </c>
      <c r="L335" s="13">
        <f>L337+G337</f>
        <v>543.7383333</v>
      </c>
      <c r="M335" s="11" t="str">
        <f t="shared" si="1"/>
        <v>9:03.74</v>
      </c>
      <c r="N335" s="14">
        <f>IFERROR(__xludf.DUMMYFUNCTION("LET(
  gen,$A335, ev,$B335, t,$M335,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336">
      <c r="A336" s="5" t="s">
        <v>14</v>
      </c>
      <c r="B336" s="6" t="s">
        <v>278</v>
      </c>
      <c r="C336" s="6">
        <v>17.0</v>
      </c>
      <c r="D336" s="6">
        <v>3.0</v>
      </c>
      <c r="E336" s="7" t="s">
        <v>287</v>
      </c>
      <c r="F336" s="8">
        <f>IFERROR(__xludf.DUMMYFUNCTION("IF(
  REGEXMATCH(E336, "":""),
  60*VALUE(INDEX(SPLIT(E336, "":""),1,1)) + VALUE(INDEX(SPLIT(E336, "":""),1,2)),
  VALUE(E336)
)"),521.46)</f>
        <v>521.46</v>
      </c>
      <c r="G336" s="8">
        <f>average(F331-F334,F332-F335,F333-F336)</f>
        <v>5.126666667</v>
      </c>
      <c r="H336" s="8">
        <v>5.126666666666665</v>
      </c>
      <c r="I336" s="6">
        <f>C328</f>
        <v>14</v>
      </c>
      <c r="J336" s="6">
        <f>C345</f>
        <v>22</v>
      </c>
      <c r="K336" s="6">
        <f t="array" ref="K336">INDEX('Podium Target Times'!$C:$C, MATCH(A336&amp;B336, 'Podium Target Times'!$A:$A&amp;'Podium Target Times'!$B:$B, 0))
</f>
        <v>536.07</v>
      </c>
      <c r="L336" s="8">
        <f>L337+G337</f>
        <v>543.7383333</v>
      </c>
      <c r="M336" s="6" t="str">
        <f t="shared" si="1"/>
        <v>9:03.74</v>
      </c>
      <c r="N336" s="9">
        <f>IFERROR(__xludf.DUMMYFUNCTION("LET(
  gen,$A336, ev,$B336, t,$M336,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)"),708.0)</f>
        <v>708</v>
      </c>
    </row>
    <row r="337">
      <c r="A337" s="10" t="s">
        <v>14</v>
      </c>
      <c r="B337" s="11" t="s">
        <v>278</v>
      </c>
      <c r="C337" s="11">
        <v>18.0</v>
      </c>
      <c r="D337" s="11">
        <v>1.0</v>
      </c>
      <c r="E337" s="12" t="s">
        <v>288</v>
      </c>
      <c r="F337" s="13">
        <f>IFERROR(__xludf.DUMMYFUNCTION("IF(
  REGEXMATCH(E337, "":""),
  60*VALUE(INDEX(SPLIT(E337, "":""),1,1)) + VALUE(INDEX(SPLIT(E337, "":""),1,2)),
  VALUE(E337)
)"),514.62)</f>
        <v>514.62</v>
      </c>
      <c r="G337" s="13">
        <f>average(F334-F337,F335-F338,F336-F339)</f>
        <v>3.203333333</v>
      </c>
      <c r="H337" s="13">
        <v>3.203333333333338</v>
      </c>
      <c r="I337" s="11">
        <f>C328</f>
        <v>14</v>
      </c>
      <c r="J337" s="11">
        <f>C345</f>
        <v>22</v>
      </c>
      <c r="K337" s="11">
        <f t="array" ref="K337">INDEX('Podium Target Times'!$C:$C, MATCH(A337&amp;B337, 'Podium Target Times'!$A:$A&amp;'Podium Target Times'!$B:$B, 0))
</f>
        <v>536.07</v>
      </c>
      <c r="L337" s="13">
        <f>L340+G340</f>
        <v>540.535</v>
      </c>
      <c r="M337" s="11" t="str">
        <f t="shared" si="1"/>
        <v>9:00.54</v>
      </c>
      <c r="N337" s="14">
        <f>IFERROR(__xludf.DUMMYFUNCTION("LET(
  gen,$A337, ev,$B337, t,$M337,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338">
      <c r="A338" s="5" t="s">
        <v>14</v>
      </c>
      <c r="B338" s="6" t="s">
        <v>278</v>
      </c>
      <c r="C338" s="6">
        <v>18.0</v>
      </c>
      <c r="D338" s="6">
        <v>2.0</v>
      </c>
      <c r="E338" s="7" t="s">
        <v>289</v>
      </c>
      <c r="F338" s="8">
        <f>IFERROR(__xludf.DUMMYFUNCTION("IF(
  REGEXMATCH(E338, "":""),
  60*VALUE(INDEX(SPLIT(E338, "":""),1,1)) + VALUE(INDEX(SPLIT(E338, "":""),1,2)),
  VALUE(E338)
)"),517.43)</f>
        <v>517.43</v>
      </c>
      <c r="G338" s="8">
        <f>average(F334-F337,F335-F338,F336-F339)</f>
        <v>3.203333333</v>
      </c>
      <c r="H338" s="8">
        <v>3.203333333333338</v>
      </c>
      <c r="I338" s="6">
        <f>C328</f>
        <v>14</v>
      </c>
      <c r="J338" s="6">
        <f>C345</f>
        <v>22</v>
      </c>
      <c r="K338" s="6">
        <f t="array" ref="K338">INDEX('Podium Target Times'!$C:$C, MATCH(A338&amp;B338, 'Podium Target Times'!$A:$A&amp;'Podium Target Times'!$B:$B, 0))
</f>
        <v>536.07</v>
      </c>
      <c r="L338" s="8">
        <f>L340+G340</f>
        <v>540.535</v>
      </c>
      <c r="M338" s="6" t="str">
        <f t="shared" si="1"/>
        <v>9:00.54</v>
      </c>
      <c r="N338" s="9">
        <f>IFERROR(__xludf.DUMMYFUNCTION("LET(
  gen,$A338, ev,$B338, t,$M338,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339">
      <c r="A339" s="10" t="s">
        <v>14</v>
      </c>
      <c r="B339" s="11" t="s">
        <v>278</v>
      </c>
      <c r="C339" s="11">
        <v>18.0</v>
      </c>
      <c r="D339" s="11">
        <v>3.0</v>
      </c>
      <c r="E339" s="12" t="s">
        <v>290</v>
      </c>
      <c r="F339" s="13">
        <f>IFERROR(__xludf.DUMMYFUNCTION("IF(
  REGEXMATCH(E339, "":""),
  60*VALUE(INDEX(SPLIT(E339, "":""),1,1)) + VALUE(INDEX(SPLIT(E339, "":""),1,2)),
  VALUE(E339)
)"),518.25)</f>
        <v>518.25</v>
      </c>
      <c r="G339" s="13">
        <f>average(F334-F337,F335-F338,F336-F339)</f>
        <v>3.203333333</v>
      </c>
      <c r="H339" s="13">
        <v>3.203333333333338</v>
      </c>
      <c r="I339" s="11">
        <f>C328</f>
        <v>14</v>
      </c>
      <c r="J339" s="11">
        <f>C345</f>
        <v>22</v>
      </c>
      <c r="K339" s="11">
        <f t="array" ref="K339">INDEX('Podium Target Times'!$C:$C, MATCH(A339&amp;B339, 'Podium Target Times'!$A:$A&amp;'Podium Target Times'!$B:$B, 0))
</f>
        <v>536.07</v>
      </c>
      <c r="L339" s="13">
        <f>L340+G340</f>
        <v>540.535</v>
      </c>
      <c r="M339" s="11" t="str">
        <f t="shared" si="1"/>
        <v>9:00.54</v>
      </c>
      <c r="N339" s="14">
        <f>IFERROR(__xludf.DUMMYFUNCTION("LET(
  gen,$A339, ev,$B339, t,$M339,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340">
      <c r="A340" s="5" t="s">
        <v>14</v>
      </c>
      <c r="B340" s="6" t="s">
        <v>278</v>
      </c>
      <c r="C340" s="6">
        <v>19.0</v>
      </c>
      <c r="D340" s="6">
        <v>2.0</v>
      </c>
      <c r="E340" s="7" t="s">
        <v>291</v>
      </c>
      <c r="F340" s="8">
        <f>IFERROR(__xludf.DUMMYFUNCTION("IF(
  REGEXMATCH(E340, "":""),
  60*VALUE(INDEX(SPLIT(E340, "":""),1,1)) + VALUE(INDEX(SPLIT(E340, "":""),1,2)),
  VALUE(E340)
)"),515.61)</f>
        <v>515.61</v>
      </c>
      <c r="G340" s="8">
        <f>average(F338-F340,F339-F341)</f>
        <v>1.825</v>
      </c>
      <c r="H340" s="8">
        <v>1.8249999999999886</v>
      </c>
      <c r="I340" s="6">
        <f>C328</f>
        <v>14</v>
      </c>
      <c r="J340" s="6">
        <f>C345</f>
        <v>22</v>
      </c>
      <c r="K340" s="6">
        <f t="array" ref="K340">INDEX('Podium Target Times'!$C:$C, MATCH(A340&amp;B340, 'Podium Target Times'!$A:$A&amp;'Podium Target Times'!$B:$B, 0))
</f>
        <v>536.07</v>
      </c>
      <c r="L340" s="8">
        <f>L342+G342</f>
        <v>538.71</v>
      </c>
      <c r="M340" s="6" t="str">
        <f t="shared" si="1"/>
        <v>8:58.71</v>
      </c>
      <c r="N340" s="9">
        <f>IFERROR(__xludf.DUMMYFUNCTION("LET(
  gen,$A340, ev,$B340, t,$M340,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341">
      <c r="A341" s="10" t="s">
        <v>14</v>
      </c>
      <c r="B341" s="11" t="s">
        <v>278</v>
      </c>
      <c r="C341" s="11">
        <v>19.0</v>
      </c>
      <c r="D341" s="11">
        <v>3.0</v>
      </c>
      <c r="E341" s="12" t="s">
        <v>292</v>
      </c>
      <c r="F341" s="13">
        <f>IFERROR(__xludf.DUMMYFUNCTION("IF(
  REGEXMATCH(E341, "":""),
  60*VALUE(INDEX(SPLIT(E341, "":""),1,1)) + VALUE(INDEX(SPLIT(E341, "":""),1,2)),
  VALUE(E341)
)"),516.42)</f>
        <v>516.42</v>
      </c>
      <c r="G341" s="13">
        <f>average(F338-F340,F339-F341)</f>
        <v>1.825</v>
      </c>
      <c r="H341" s="13">
        <v>1.8249999999999886</v>
      </c>
      <c r="I341" s="11">
        <f>C328</f>
        <v>14</v>
      </c>
      <c r="J341" s="11">
        <f>C345</f>
        <v>22</v>
      </c>
      <c r="K341" s="11">
        <f t="array" ref="K341">INDEX('Podium Target Times'!$C:$C, MATCH(A341&amp;B341, 'Podium Target Times'!$A:$A&amp;'Podium Target Times'!$B:$B, 0))
</f>
        <v>536.07</v>
      </c>
      <c r="L341" s="13">
        <f>L342+G342</f>
        <v>538.71</v>
      </c>
      <c r="M341" s="11" t="str">
        <f t="shared" si="1"/>
        <v>8:58.71</v>
      </c>
      <c r="N341" s="14">
        <f>IFERROR(__xludf.DUMMYFUNCTION("LET(
  gen,$A341, ev,$B341, t,$M341,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342">
      <c r="A342" s="5" t="s">
        <v>14</v>
      </c>
      <c r="B342" s="6" t="s">
        <v>278</v>
      </c>
      <c r="C342" s="6">
        <v>20.0</v>
      </c>
      <c r="D342" s="6">
        <v>2.0</v>
      </c>
      <c r="E342" s="7" t="s">
        <v>288</v>
      </c>
      <c r="F342" s="8">
        <f>IFERROR(__xludf.DUMMYFUNCTION("IF(
  REGEXMATCH(E342, "":""),
  60*VALUE(INDEX(SPLIT(E342, "":""),1,1)) + VALUE(INDEX(SPLIT(E342, "":""),1,2)),
  VALUE(E342)
)"),514.62)</f>
        <v>514.62</v>
      </c>
      <c r="G342" s="8">
        <f>average(F340-F342,F341-F343)</f>
        <v>0.99</v>
      </c>
      <c r="H342" s="8">
        <v>0.9900000000000091</v>
      </c>
      <c r="I342" s="6">
        <f>C328</f>
        <v>14</v>
      </c>
      <c r="J342" s="6">
        <f>C345</f>
        <v>22</v>
      </c>
      <c r="K342" s="6">
        <f t="array" ref="K342">INDEX('Podium Target Times'!$C:$C, MATCH(A342&amp;B342, 'Podium Target Times'!$A:$A&amp;'Podium Target Times'!$B:$B, 0))
</f>
        <v>536.07</v>
      </c>
      <c r="L342" s="8">
        <f>L344+G344</f>
        <v>537.72</v>
      </c>
      <c r="M342" s="6" t="str">
        <f t="shared" si="1"/>
        <v>8:57.72</v>
      </c>
      <c r="N342" s="9">
        <f>IFERROR(__xludf.DUMMYFUNCTION("LET(
  gen,$A342, ev,$B342, t,$M342,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343">
      <c r="A343" s="10" t="s">
        <v>14</v>
      </c>
      <c r="B343" s="11" t="s">
        <v>278</v>
      </c>
      <c r="C343" s="11">
        <v>20.0</v>
      </c>
      <c r="D343" s="11">
        <v>3.0</v>
      </c>
      <c r="E343" s="12" t="s">
        <v>293</v>
      </c>
      <c r="F343" s="13">
        <f>IFERROR(__xludf.DUMMYFUNCTION("IF(
  REGEXMATCH(E343, "":""),
  60*VALUE(INDEX(SPLIT(E343, "":""),1,1)) + VALUE(INDEX(SPLIT(E343, "":""),1,2)),
  VALUE(E343)
)"),515.43)</f>
        <v>515.43</v>
      </c>
      <c r="G343" s="13">
        <f>average(F340-F342,F341-F343)</f>
        <v>0.99</v>
      </c>
      <c r="H343" s="13">
        <v>0.9900000000000091</v>
      </c>
      <c r="I343" s="11">
        <f>C328</f>
        <v>14</v>
      </c>
      <c r="J343" s="11">
        <f>C345</f>
        <v>22</v>
      </c>
      <c r="K343" s="11">
        <f t="array" ref="K343">INDEX('Podium Target Times'!$C:$C, MATCH(A343&amp;B343, 'Podium Target Times'!$A:$A&amp;'Podium Target Times'!$B:$B, 0))
</f>
        <v>536.07</v>
      </c>
      <c r="L343" s="13">
        <f t="shared" ref="L343:L344" si="35">L344+G344</f>
        <v>537.72</v>
      </c>
      <c r="M343" s="11" t="str">
        <f t="shared" si="1"/>
        <v>8:57.72</v>
      </c>
      <c r="N343" s="14">
        <f>IFERROR(__xludf.DUMMYFUNCTION("LET(
  gen,$A343, ev,$B343, t,$M343,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344">
      <c r="A344" s="5" t="s">
        <v>14</v>
      </c>
      <c r="B344" s="6" t="s">
        <v>278</v>
      </c>
      <c r="C344" s="6">
        <v>21.0</v>
      </c>
      <c r="D344" s="6">
        <v>3.0</v>
      </c>
      <c r="E344" s="7" t="s">
        <v>294</v>
      </c>
      <c r="F344" s="8">
        <f>IFERROR(__xludf.DUMMYFUNCTION("IF(
  REGEXMATCH(E344, "":""),
  60*VALUE(INDEX(SPLIT(E344, "":""),1,1)) + VALUE(INDEX(SPLIT(E344, "":""),1,2)),
  VALUE(E344)
)"),514.9)</f>
        <v>514.9</v>
      </c>
      <c r="G344" s="8">
        <f t="shared" ref="G344:G345" si="36">F343-F344</f>
        <v>0.53</v>
      </c>
      <c r="H344" s="8">
        <v>0.5299999999999727</v>
      </c>
      <c r="I344" s="6">
        <f>C328</f>
        <v>14</v>
      </c>
      <c r="J344" s="6">
        <f>C345</f>
        <v>22</v>
      </c>
      <c r="K344" s="6">
        <f t="array" ref="K344">INDEX('Podium Target Times'!$C:$C, MATCH(A344&amp;B344, 'Podium Target Times'!$A:$A&amp;'Podium Target Times'!$B:$B, 0))
</f>
        <v>536.07</v>
      </c>
      <c r="L344" s="8">
        <f t="shared" si="35"/>
        <v>537.19</v>
      </c>
      <c r="M344" s="6" t="str">
        <f t="shared" si="1"/>
        <v>8:57.19</v>
      </c>
      <c r="N344" s="9">
        <f>IFERROR(__xludf.DUMMYFUNCTION("LET(
  gen,$A344, ev,$B344, t,$M344,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45">
      <c r="A345" s="10" t="s">
        <v>14</v>
      </c>
      <c r="B345" s="11" t="s">
        <v>278</v>
      </c>
      <c r="C345" s="11">
        <v>22.0</v>
      </c>
      <c r="D345" s="11">
        <v>3.0</v>
      </c>
      <c r="E345" s="12" t="s">
        <v>288</v>
      </c>
      <c r="F345" s="13">
        <f>IFERROR(__xludf.DUMMYFUNCTION("IF(
  REGEXMATCH(E345, "":""),
  60*VALUE(INDEX(SPLIT(E345, "":""),1,1)) + VALUE(INDEX(SPLIT(E345, "":""),1,2)),
  VALUE(E345)
)"),514.62)</f>
        <v>514.62</v>
      </c>
      <c r="G345" s="13">
        <f t="shared" si="36"/>
        <v>0.28</v>
      </c>
      <c r="H345" s="13">
        <v>0.2799999999999727</v>
      </c>
      <c r="I345" s="11">
        <f>C328</f>
        <v>14</v>
      </c>
      <c r="J345" s="11">
        <f>C345</f>
        <v>22</v>
      </c>
      <c r="K345" s="11">
        <f t="array" ref="K345">INDEX('Podium Target Times'!$C:$C, MATCH(A345&amp;B345, 'Podium Target Times'!$A:$A&amp;'Podium Target Times'!$B:$B, 0))
</f>
        <v>536.07</v>
      </c>
      <c r="L345" s="13">
        <f>G345+L346</f>
        <v>536.91</v>
      </c>
      <c r="M345" s="11" t="str">
        <f t="shared" si="1"/>
        <v>8:56.91</v>
      </c>
      <c r="N345" s="14">
        <f>IFERROR(__xludf.DUMMYFUNCTION("LET(
  gen,$A345, ev,$B345, t,$M345,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346">
      <c r="A346" s="5" t="s">
        <v>14</v>
      </c>
      <c r="B346" s="6" t="s">
        <v>278</v>
      </c>
      <c r="C346" s="6">
        <v>23.0</v>
      </c>
      <c r="D346" s="6"/>
      <c r="E346" s="7"/>
      <c r="F346" s="8">
        <f>IFERROR(__xludf.DUMMYFUNCTION("IF(
  REGEXMATCH(E346, "":""),
  60*VALUE(INDEX(SPLIT(E346, "":""),1,1)) + VALUE(INDEX(SPLIT(E346, "":""),1,2)),
  VALUE(E346)
)"),0.0)</f>
        <v>0</v>
      </c>
      <c r="G346" s="8"/>
      <c r="H346" s="8"/>
      <c r="I346" s="6">
        <f>C328</f>
        <v>14</v>
      </c>
      <c r="J346" s="6">
        <f>C345</f>
        <v>22</v>
      </c>
      <c r="K346" s="6">
        <f t="array" ref="K346">INDEX('Podium Target Times'!$C:$C, MATCH(A346&amp;B346, 'Podium Target Times'!$A:$A&amp;'Podium Target Times'!$B:$B, 0))
</f>
        <v>536.07</v>
      </c>
      <c r="L346" s="8">
        <f>G345+L347</f>
        <v>536.63</v>
      </c>
      <c r="M346" s="6" t="str">
        <f t="shared" si="1"/>
        <v>8:56.63</v>
      </c>
      <c r="N346" s="9">
        <f>IFERROR(__xludf.DUMMYFUNCTION("LET(
  gen,$A346, ev,$B346, t,$M346,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)"),737.0)</f>
        <v>737</v>
      </c>
    </row>
    <row r="347">
      <c r="A347" s="10" t="s">
        <v>14</v>
      </c>
      <c r="B347" s="11" t="s">
        <v>278</v>
      </c>
      <c r="C347" s="11">
        <v>24.0</v>
      </c>
      <c r="D347" s="11"/>
      <c r="E347" s="12"/>
      <c r="F347" s="13">
        <f>IFERROR(__xludf.DUMMYFUNCTION("IF(
  REGEXMATCH(E347, "":""),
  60*VALUE(INDEX(SPLIT(E347, "":""),1,1)) + VALUE(INDEX(SPLIT(E347, "":""),1,2)),
  VALUE(E347)
)"),0.0)</f>
        <v>0</v>
      </c>
      <c r="G347" s="13"/>
      <c r="H347" s="13"/>
      <c r="I347" s="11">
        <f>C328</f>
        <v>14</v>
      </c>
      <c r="J347" s="11">
        <f>C345</f>
        <v>22</v>
      </c>
      <c r="K347" s="11">
        <f t="array" ref="K347">INDEX('Podium Target Times'!$C:$C, MATCH(A347&amp;B347, 'Podium Target Times'!$A:$A&amp;'Podium Target Times'!$B:$B, 0))
</f>
        <v>536.07</v>
      </c>
      <c r="L347" s="13">
        <f>G345+L348</f>
        <v>536.35</v>
      </c>
      <c r="M347" s="11" t="str">
        <f t="shared" si="1"/>
        <v>8:56.35</v>
      </c>
      <c r="N347" s="14">
        <f>IFERROR(__xludf.DUMMYFUNCTION("LET(
  gen,$A347, ev,$B347, t,$M347,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348">
      <c r="A348" s="5" t="s">
        <v>14</v>
      </c>
      <c r="B348" s="6" t="s">
        <v>278</v>
      </c>
      <c r="C348" s="6">
        <v>25.0</v>
      </c>
      <c r="D348" s="6"/>
      <c r="E348" s="7"/>
      <c r="F348" s="8">
        <f>IFERROR(__xludf.DUMMYFUNCTION("IF(
  REGEXMATCH(E348, "":""),
  60*VALUE(INDEX(SPLIT(E348, "":""),1,1)) + VALUE(INDEX(SPLIT(E348, "":""),1,2)),
  VALUE(E348)
)"),0.0)</f>
        <v>0</v>
      </c>
      <c r="G348" s="8"/>
      <c r="H348" s="8"/>
      <c r="I348" s="6">
        <f>C328</f>
        <v>14</v>
      </c>
      <c r="J348" s="6">
        <f>C345</f>
        <v>22</v>
      </c>
      <c r="K348" s="6">
        <f t="array" ref="K348">INDEX('Podium Target Times'!$C:$C, MATCH(A348&amp;B348, 'Podium Target Times'!$A:$A&amp;'Podium Target Times'!$B:$B, 0))
</f>
        <v>536.07</v>
      </c>
      <c r="L348" s="6">
        <f>K348</f>
        <v>536.07</v>
      </c>
      <c r="M348" s="6" t="str">
        <f t="shared" si="1"/>
        <v>8:56.07</v>
      </c>
      <c r="N348" s="9">
        <f>IFERROR(__xludf.DUMMYFUNCTION("LET(
  gen,$A348, ev,$B348, t,$M348,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)"),739.0)</f>
        <v>739</v>
      </c>
    </row>
    <row r="349">
      <c r="A349" s="10" t="s">
        <v>295</v>
      </c>
      <c r="B349" s="11" t="s">
        <v>15</v>
      </c>
      <c r="C349" s="11">
        <v>16.0</v>
      </c>
      <c r="D349" s="11">
        <v>1.0</v>
      </c>
      <c r="E349" s="12" t="s">
        <v>296</v>
      </c>
      <c r="F349" s="13">
        <f>IFERROR(__xludf.DUMMYFUNCTION("IF(
  REGEXMATCH(E349, "":""),
  60*VALUE(INDEX(SPLIT(E349, "":""),1,1)) + VALUE(INDEX(SPLIT(E349, "":""),1,2)),
  VALUE(E349)
)"),57.82)</f>
        <v>57.82</v>
      </c>
      <c r="G349" s="13">
        <v>0.0</v>
      </c>
      <c r="H349" s="13">
        <v>0.0</v>
      </c>
      <c r="I349" s="11">
        <f>C349</f>
        <v>16</v>
      </c>
      <c r="J349" s="11">
        <f>C366</f>
        <v>24</v>
      </c>
      <c r="K349" s="11">
        <f t="array" ref="K349">INDEX('Podium Target Times'!$C:$C, MATCH(A349&amp;B349, 'Podium Target Times'!$A:$A&amp;'Podium Target Times'!$B:$B, 0))
</f>
        <v>55.99</v>
      </c>
      <c r="L349" s="13">
        <f>L350+G350</f>
        <v>60.59166667</v>
      </c>
      <c r="M349" s="11" t="str">
        <f t="shared" si="1"/>
        <v>1:00.59</v>
      </c>
      <c r="N349" s="14">
        <f>IFERROR(__xludf.DUMMYFUNCTION("LET(
  gen,$A349, ev,$B349, t,$M349,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)"),617.0)</f>
        <v>617</v>
      </c>
    </row>
    <row r="350">
      <c r="A350" s="5" t="s">
        <v>295</v>
      </c>
      <c r="B350" s="6" t="s">
        <v>15</v>
      </c>
      <c r="C350" s="6">
        <v>17.0</v>
      </c>
      <c r="D350" s="6">
        <v>1.0</v>
      </c>
      <c r="E350" s="7" t="s">
        <v>297</v>
      </c>
      <c r="F350" s="8">
        <f>IFERROR(__xludf.DUMMYFUNCTION("IF(
  REGEXMATCH(E350, "":""),
  60*VALUE(INDEX(SPLIT(E350, "":""),1,1)) + VALUE(INDEX(SPLIT(E350, "":""),1,2)),
  VALUE(E350)
)"),56.23)</f>
        <v>56.23</v>
      </c>
      <c r="G350" s="8">
        <f>F349-F350</f>
        <v>1.59</v>
      </c>
      <c r="H350" s="8">
        <v>1.5900000000000034</v>
      </c>
      <c r="I350" s="6">
        <f>C349</f>
        <v>16</v>
      </c>
      <c r="J350" s="6">
        <f>C366</f>
        <v>24</v>
      </c>
      <c r="K350" s="6">
        <f t="array" ref="K350">INDEX('Podium Target Times'!$C:$C, MATCH(A350&amp;B350, 'Podium Target Times'!$A:$A&amp;'Podium Target Times'!$B:$B, 0))
</f>
        <v>55.99</v>
      </c>
      <c r="L350" s="8">
        <f>L352+G352</f>
        <v>59.00166667</v>
      </c>
      <c r="M350" s="6" t="str">
        <f t="shared" si="1"/>
        <v>59.00</v>
      </c>
      <c r="N350" s="9">
        <f>IFERROR(__xludf.DUMMYFUNCTION("LET(
  gen,$A350, ev,$B350, t,$M350,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351">
      <c r="A351" s="10" t="s">
        <v>295</v>
      </c>
      <c r="B351" s="11" t="s">
        <v>15</v>
      </c>
      <c r="C351" s="11">
        <v>17.0</v>
      </c>
      <c r="D351" s="11">
        <v>2.0</v>
      </c>
      <c r="E351" s="12" t="s">
        <v>298</v>
      </c>
      <c r="F351" s="13">
        <f>IFERROR(__xludf.DUMMYFUNCTION("IF(
  REGEXMATCH(E351, "":""),
  60*VALUE(INDEX(SPLIT(E351, "":""),1,1)) + VALUE(INDEX(SPLIT(E351, "":""),1,2)),
  VALUE(E351)
)"),56.79)</f>
        <v>56.79</v>
      </c>
      <c r="G351" s="13">
        <f>F349-F350</f>
        <v>1.59</v>
      </c>
      <c r="H351" s="13">
        <v>1.5900000000000034</v>
      </c>
      <c r="I351" s="11">
        <f>C349</f>
        <v>16</v>
      </c>
      <c r="J351" s="11">
        <f>C366</f>
        <v>24</v>
      </c>
      <c r="K351" s="11">
        <f t="array" ref="K351">INDEX('Podium Target Times'!$C:$C, MATCH(A351&amp;B351, 'Podium Target Times'!$A:$A&amp;'Podium Target Times'!$B:$B, 0))
</f>
        <v>55.99</v>
      </c>
      <c r="L351" s="13">
        <f>L352+G352</f>
        <v>59.00166667</v>
      </c>
      <c r="M351" s="11" t="str">
        <f t="shared" si="1"/>
        <v>59.00</v>
      </c>
      <c r="N351" s="14">
        <f>IFERROR(__xludf.DUMMYFUNCTION("LET(
  gen,$A351, ev,$B351, t,$M351,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352">
      <c r="A352" s="5" t="s">
        <v>295</v>
      </c>
      <c r="B352" s="6" t="s">
        <v>15</v>
      </c>
      <c r="C352" s="6">
        <v>18.0</v>
      </c>
      <c r="D352" s="6">
        <v>1.0</v>
      </c>
      <c r="E352" s="7" t="s">
        <v>299</v>
      </c>
      <c r="F352" s="8">
        <f>IFERROR(__xludf.DUMMYFUNCTION("IF(
  REGEXMATCH(E352, "":""),
  60*VALUE(INDEX(SPLIT(E352, "":""),1,1)) + VALUE(INDEX(SPLIT(E352, "":""),1,2)),
  VALUE(E352)
)"),55.17)</f>
        <v>55.17</v>
      </c>
      <c r="G352" s="8">
        <f>average(F350-F352,F351-F353)</f>
        <v>1.065</v>
      </c>
      <c r="H352" s="8">
        <v>1.0649999999999977</v>
      </c>
      <c r="I352" s="6">
        <f>C349</f>
        <v>16</v>
      </c>
      <c r="J352" s="6">
        <f>C366</f>
        <v>24</v>
      </c>
      <c r="K352" s="6">
        <f t="array" ref="K352">INDEX('Podium Target Times'!$C:$C, MATCH(A352&amp;B352, 'Podium Target Times'!$A:$A&amp;'Podium Target Times'!$B:$B, 0))
</f>
        <v>55.99</v>
      </c>
      <c r="L352" s="8">
        <f>L355+G355</f>
        <v>57.93666667</v>
      </c>
      <c r="M352" s="6" t="str">
        <f t="shared" si="1"/>
        <v>57.94</v>
      </c>
      <c r="N352" s="9">
        <f>IFERROR(__xludf.DUMMYFUNCTION("LET(
  gen,$A352, ev,$B352, t,$M352,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353">
      <c r="A353" s="10" t="s">
        <v>295</v>
      </c>
      <c r="B353" s="11" t="s">
        <v>15</v>
      </c>
      <c r="C353" s="11">
        <v>18.0</v>
      </c>
      <c r="D353" s="11">
        <v>2.0</v>
      </c>
      <c r="E353" s="12" t="s">
        <v>300</v>
      </c>
      <c r="F353" s="13">
        <f>IFERROR(__xludf.DUMMYFUNCTION("IF(
  REGEXMATCH(E353, "":""),
  60*VALUE(INDEX(SPLIT(E353, "":""),1,1)) + VALUE(INDEX(SPLIT(E353, "":""),1,2)),
  VALUE(E353)
)"),55.72)</f>
        <v>55.72</v>
      </c>
      <c r="G353" s="13">
        <f>average(F350-F352,F351-F353)</f>
        <v>1.065</v>
      </c>
      <c r="H353" s="13">
        <v>1.0649999999999977</v>
      </c>
      <c r="I353" s="11">
        <f>C349</f>
        <v>16</v>
      </c>
      <c r="J353" s="11">
        <f>C366</f>
        <v>24</v>
      </c>
      <c r="K353" s="11">
        <f t="array" ref="K353">INDEX('Podium Target Times'!$C:$C, MATCH(A353&amp;B353, 'Podium Target Times'!$A:$A&amp;'Podium Target Times'!$B:$B, 0))
</f>
        <v>55.99</v>
      </c>
      <c r="L353" s="13">
        <f>L355+G355</f>
        <v>57.93666667</v>
      </c>
      <c r="M353" s="11" t="str">
        <f t="shared" si="1"/>
        <v>57.94</v>
      </c>
      <c r="N353" s="14">
        <f>IFERROR(__xludf.DUMMYFUNCTION("LET(
  gen,$A353, ev,$B353, t,$M353,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354">
      <c r="A354" s="5" t="s">
        <v>295</v>
      </c>
      <c r="B354" s="6" t="s">
        <v>15</v>
      </c>
      <c r="C354" s="6">
        <v>18.0</v>
      </c>
      <c r="D354" s="6">
        <v>3.0</v>
      </c>
      <c r="E354" s="7" t="s">
        <v>301</v>
      </c>
      <c r="F354" s="8">
        <f>IFERROR(__xludf.DUMMYFUNCTION("IF(
  REGEXMATCH(E354, "":""),
  60*VALUE(INDEX(SPLIT(E354, "":""),1,1)) + VALUE(INDEX(SPLIT(E354, "":""),1,2)),
  VALUE(E354)
)"),55.86)</f>
        <v>55.86</v>
      </c>
      <c r="G354" s="8">
        <f>average(F350-F352,F351-F353)</f>
        <v>1.065</v>
      </c>
      <c r="H354" s="8">
        <v>1.0649999999999977</v>
      </c>
      <c r="I354" s="6">
        <f>C349</f>
        <v>16</v>
      </c>
      <c r="J354" s="6">
        <f>C366</f>
        <v>24</v>
      </c>
      <c r="K354" s="6">
        <f t="array" ref="K354">INDEX('Podium Target Times'!$C:$C, MATCH(A354&amp;B354, 'Podium Target Times'!$A:$A&amp;'Podium Target Times'!$B:$B, 0))
</f>
        <v>55.99</v>
      </c>
      <c r="L354" s="8">
        <f>L355+G355</f>
        <v>57.93666667</v>
      </c>
      <c r="M354" s="6" t="str">
        <f t="shared" si="1"/>
        <v>57.94</v>
      </c>
      <c r="N354" s="9">
        <f>IFERROR(__xludf.DUMMYFUNCTION("LET(
  gen,$A354, ev,$B354, t,$M354,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355">
      <c r="A355" s="10" t="s">
        <v>295</v>
      </c>
      <c r="B355" s="11" t="s">
        <v>15</v>
      </c>
      <c r="C355" s="11">
        <v>19.0</v>
      </c>
      <c r="D355" s="11">
        <v>1.0</v>
      </c>
      <c r="E355" s="12" t="s">
        <v>302</v>
      </c>
      <c r="F355" s="13">
        <f>IFERROR(__xludf.DUMMYFUNCTION("IF(
  REGEXMATCH(E355, "":""),
  60*VALUE(INDEX(SPLIT(E355, "":""),1,1)) + VALUE(INDEX(SPLIT(E355, "":""),1,2)),
  VALUE(E355)
)"),54.43)</f>
        <v>54.43</v>
      </c>
      <c r="G355" s="13">
        <f>average(F352-F355,F353-F356,F354-F357)</f>
        <v>0.74</v>
      </c>
      <c r="H355" s="13">
        <v>0.740000000000002</v>
      </c>
      <c r="I355" s="11">
        <f>C349</f>
        <v>16</v>
      </c>
      <c r="J355" s="11">
        <f>C366</f>
        <v>24</v>
      </c>
      <c r="K355" s="11">
        <f t="array" ref="K355">INDEX('Podium Target Times'!$C:$C, MATCH(A355&amp;B355, 'Podium Target Times'!$A:$A&amp;'Podium Target Times'!$B:$B, 0))
</f>
        <v>55.99</v>
      </c>
      <c r="L355" s="13">
        <f>L358+G358</f>
        <v>57.19666667</v>
      </c>
      <c r="M355" s="11" t="str">
        <f t="shared" si="1"/>
        <v>57.20</v>
      </c>
      <c r="N355" s="14">
        <f>IFERROR(__xludf.DUMMYFUNCTION("LET(
  gen,$A355, ev,$B355, t,$M355,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56">
      <c r="A356" s="5" t="s">
        <v>295</v>
      </c>
      <c r="B356" s="6" t="s">
        <v>15</v>
      </c>
      <c r="C356" s="6">
        <v>19.0</v>
      </c>
      <c r="D356" s="6">
        <v>2.0</v>
      </c>
      <c r="E356" s="7" t="s">
        <v>303</v>
      </c>
      <c r="F356" s="8">
        <f>IFERROR(__xludf.DUMMYFUNCTION("IF(
  REGEXMATCH(E356, "":""),
  60*VALUE(INDEX(SPLIT(E356, "":""),1,1)) + VALUE(INDEX(SPLIT(E356, "":""),1,2)),
  VALUE(E356)
)"),54.98)</f>
        <v>54.98</v>
      </c>
      <c r="G356" s="8">
        <f>average(F352-F355,F353-F356,F354-F357)</f>
        <v>0.74</v>
      </c>
      <c r="H356" s="8">
        <v>0.740000000000002</v>
      </c>
      <c r="I356" s="6">
        <f>C349</f>
        <v>16</v>
      </c>
      <c r="J356" s="6">
        <f>C366</f>
        <v>24</v>
      </c>
      <c r="K356" s="6">
        <f t="array" ref="K356">INDEX('Podium Target Times'!$C:$C, MATCH(A356&amp;B356, 'Podium Target Times'!$A:$A&amp;'Podium Target Times'!$B:$B, 0))
</f>
        <v>55.99</v>
      </c>
      <c r="L356" s="8">
        <f>L358+G358</f>
        <v>57.19666667</v>
      </c>
      <c r="M356" s="6" t="str">
        <f t="shared" si="1"/>
        <v>57.20</v>
      </c>
      <c r="N356" s="9">
        <f>IFERROR(__xludf.DUMMYFUNCTION("LET(
  gen,$A356, ev,$B356, t,$M356,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57">
      <c r="A357" s="10" t="s">
        <v>295</v>
      </c>
      <c r="B357" s="11" t="s">
        <v>15</v>
      </c>
      <c r="C357" s="11">
        <v>19.0</v>
      </c>
      <c r="D357" s="11">
        <v>3.0</v>
      </c>
      <c r="E357" s="12" t="s">
        <v>304</v>
      </c>
      <c r="F357" s="13">
        <f>IFERROR(__xludf.DUMMYFUNCTION("IF(
  REGEXMATCH(E357, "":""),
  60*VALUE(INDEX(SPLIT(E357, "":""),1,1)) + VALUE(INDEX(SPLIT(E357, "":""),1,2)),
  VALUE(E357)
)"),55.12)</f>
        <v>55.12</v>
      </c>
      <c r="G357" s="13">
        <f>average(F352-F355,F353-F356,F354-F357)</f>
        <v>0.74</v>
      </c>
      <c r="H357" s="13">
        <v>0.740000000000002</v>
      </c>
      <c r="I357" s="11">
        <f>C349</f>
        <v>16</v>
      </c>
      <c r="J357" s="11">
        <f>C366</f>
        <v>24</v>
      </c>
      <c r="K357" s="11">
        <f t="array" ref="K357">INDEX('Podium Target Times'!$C:$C, MATCH(A357&amp;B357, 'Podium Target Times'!$A:$A&amp;'Podium Target Times'!$B:$B, 0))
</f>
        <v>55.99</v>
      </c>
      <c r="L357" s="13">
        <f>L358+G358</f>
        <v>57.19666667</v>
      </c>
      <c r="M357" s="11" t="str">
        <f t="shared" si="1"/>
        <v>57.20</v>
      </c>
      <c r="N357" s="14">
        <f>IFERROR(__xludf.DUMMYFUNCTION("LET(
  gen,$A357, ev,$B357, t,$M357,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358">
      <c r="A358" s="5" t="s">
        <v>295</v>
      </c>
      <c r="B358" s="6" t="s">
        <v>15</v>
      </c>
      <c r="C358" s="6">
        <v>20.0</v>
      </c>
      <c r="D358" s="6">
        <v>1.0</v>
      </c>
      <c r="E358" s="7" t="s">
        <v>305</v>
      </c>
      <c r="F358" s="8">
        <f>IFERROR(__xludf.DUMMYFUNCTION("IF(
  REGEXMATCH(E358, "":""),
  60*VALUE(INDEX(SPLIT(E358, "":""),1,1)) + VALUE(INDEX(SPLIT(E358, "":""),1,2)),
  VALUE(E358)
)"),53.94)</f>
        <v>53.94</v>
      </c>
      <c r="G358" s="8">
        <f>average(F355-F358,F356-F359,F357-F360)</f>
        <v>0.4966666667</v>
      </c>
      <c r="H358" s="8">
        <v>0.4966666666666673</v>
      </c>
      <c r="I358" s="6">
        <f>C349</f>
        <v>16</v>
      </c>
      <c r="J358" s="6">
        <f>C366</f>
        <v>24</v>
      </c>
      <c r="K358" s="6">
        <f t="array" ref="K358">INDEX('Podium Target Times'!$C:$C, MATCH(A358&amp;B358, 'Podium Target Times'!$A:$A&amp;'Podium Target Times'!$B:$B, 0))
</f>
        <v>55.99</v>
      </c>
      <c r="L358" s="8">
        <f>L361+G361</f>
        <v>56.7</v>
      </c>
      <c r="M358" s="6" t="str">
        <f t="shared" si="1"/>
        <v>56.70</v>
      </c>
      <c r="N358" s="9">
        <f>IFERROR(__xludf.DUMMYFUNCTION("LET(
  gen,$A358, ev,$B358, t,$M358,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359">
      <c r="A359" s="10" t="s">
        <v>295</v>
      </c>
      <c r="B359" s="11" t="s">
        <v>15</v>
      </c>
      <c r="C359" s="11">
        <v>20.0</v>
      </c>
      <c r="D359" s="11">
        <v>2.0</v>
      </c>
      <c r="E359" s="12" t="s">
        <v>306</v>
      </c>
      <c r="F359" s="13">
        <f>IFERROR(__xludf.DUMMYFUNCTION("IF(
  REGEXMATCH(E359, "":""),
  60*VALUE(INDEX(SPLIT(E359, "":""),1,1)) + VALUE(INDEX(SPLIT(E359, "":""),1,2)),
  VALUE(E359)
)"),54.48)</f>
        <v>54.48</v>
      </c>
      <c r="G359" s="13">
        <f>average(F355-F358,F356-F359,F357-F360)</f>
        <v>0.4966666667</v>
      </c>
      <c r="H359" s="13">
        <v>0.4966666666666673</v>
      </c>
      <c r="I359" s="11">
        <f>C349</f>
        <v>16</v>
      </c>
      <c r="J359" s="11">
        <f>C366</f>
        <v>24</v>
      </c>
      <c r="K359" s="11">
        <f t="array" ref="K359">INDEX('Podium Target Times'!$C:$C, MATCH(A359&amp;B359, 'Podium Target Times'!$A:$A&amp;'Podium Target Times'!$B:$B, 0))
</f>
        <v>55.99</v>
      </c>
      <c r="L359" s="13">
        <f>L361+G361</f>
        <v>56.7</v>
      </c>
      <c r="M359" s="11" t="str">
        <f t="shared" si="1"/>
        <v>56.70</v>
      </c>
      <c r="N359" s="14">
        <f>IFERROR(__xludf.DUMMYFUNCTION("LET(
  gen,$A359, ev,$B359, t,$M359,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360">
      <c r="A360" s="5" t="s">
        <v>295</v>
      </c>
      <c r="B360" s="6" t="s">
        <v>15</v>
      </c>
      <c r="C360" s="6">
        <v>20.0</v>
      </c>
      <c r="D360" s="6">
        <v>3.0</v>
      </c>
      <c r="E360" s="7" t="s">
        <v>72</v>
      </c>
      <c r="F360" s="8">
        <f>IFERROR(__xludf.DUMMYFUNCTION("IF(
  REGEXMATCH(E360, "":""),
  60*VALUE(INDEX(SPLIT(E360, "":""),1,1)) + VALUE(INDEX(SPLIT(E360, "":""),1,2)),
  VALUE(E360)
)"),54.62)</f>
        <v>54.62</v>
      </c>
      <c r="G360" s="8">
        <f>average(F355-F358,F356-F359,F357-F360)</f>
        <v>0.4966666667</v>
      </c>
      <c r="H360" s="8">
        <v>0.4966666666666673</v>
      </c>
      <c r="I360" s="6">
        <f>C349</f>
        <v>16</v>
      </c>
      <c r="J360" s="6">
        <f>C366</f>
        <v>24</v>
      </c>
      <c r="K360" s="6">
        <f t="array" ref="K360">INDEX('Podium Target Times'!$C:$C, MATCH(A360&amp;B360, 'Podium Target Times'!$A:$A&amp;'Podium Target Times'!$B:$B, 0))
</f>
        <v>55.99</v>
      </c>
      <c r="L360" s="8">
        <f>L361+G361</f>
        <v>56.7</v>
      </c>
      <c r="M360" s="6" t="str">
        <f t="shared" si="1"/>
        <v>56.70</v>
      </c>
      <c r="N360" s="9">
        <f>IFERROR(__xludf.DUMMYFUNCTION("LET(
  gen,$A360, ev,$B360, t,$M360,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)"),753.0)</f>
        <v>753</v>
      </c>
    </row>
    <row r="361">
      <c r="A361" s="10" t="s">
        <v>295</v>
      </c>
      <c r="B361" s="11" t="s">
        <v>15</v>
      </c>
      <c r="C361" s="11">
        <v>21.0</v>
      </c>
      <c r="D361" s="11">
        <v>2.0</v>
      </c>
      <c r="E361" s="12" t="s">
        <v>307</v>
      </c>
      <c r="F361" s="13">
        <f>IFERROR(__xludf.DUMMYFUNCTION("IF(
  REGEXMATCH(E361, "":""),
  60*VALUE(INDEX(SPLIT(E361, "":""),1,1)) + VALUE(INDEX(SPLIT(E361, "":""),1,2)),
  VALUE(E361)
)"),54.15)</f>
        <v>54.15</v>
      </c>
      <c r="G361" s="13">
        <f>average(F359-F361,F360-F362)</f>
        <v>0.335</v>
      </c>
      <c r="H361" s="13">
        <v>0.3349999999999973</v>
      </c>
      <c r="I361" s="11">
        <f>C349</f>
        <v>16</v>
      </c>
      <c r="J361" s="11">
        <f>C366</f>
        <v>24</v>
      </c>
      <c r="K361" s="11">
        <f t="array" ref="K361">INDEX('Podium Target Times'!$C:$C, MATCH(A361&amp;B361, 'Podium Target Times'!$A:$A&amp;'Podium Target Times'!$B:$B, 0))
</f>
        <v>55.99</v>
      </c>
      <c r="L361" s="13">
        <f>L363+G363</f>
        <v>56.365</v>
      </c>
      <c r="M361" s="11" t="str">
        <f t="shared" si="1"/>
        <v>56.37</v>
      </c>
      <c r="N361" s="14">
        <f>IFERROR(__xludf.DUMMYFUNCTION("LET(
  gen,$A361, ev,$B361, t,$M361,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)"),767.0)</f>
        <v>767</v>
      </c>
    </row>
    <row r="362">
      <c r="A362" s="5" t="s">
        <v>295</v>
      </c>
      <c r="B362" s="6" t="s">
        <v>15</v>
      </c>
      <c r="C362" s="6">
        <v>21.0</v>
      </c>
      <c r="D362" s="6">
        <v>3.0</v>
      </c>
      <c r="E362" s="7" t="s">
        <v>308</v>
      </c>
      <c r="F362" s="8">
        <f>IFERROR(__xludf.DUMMYFUNCTION("IF(
  REGEXMATCH(E362, "":""),
  60*VALUE(INDEX(SPLIT(E362, "":""),1,1)) + VALUE(INDEX(SPLIT(E362, "":""),1,2)),
  VALUE(E362)
)"),54.28)</f>
        <v>54.28</v>
      </c>
      <c r="G362" s="8">
        <f>average(F359-F361,F360-F362)</f>
        <v>0.335</v>
      </c>
      <c r="H362" s="8">
        <v>0.3349999999999973</v>
      </c>
      <c r="I362" s="6">
        <f>C349</f>
        <v>16</v>
      </c>
      <c r="J362" s="6">
        <f>C366</f>
        <v>24</v>
      </c>
      <c r="K362" s="6">
        <f t="array" ref="K362">INDEX('Podium Target Times'!$C:$C, MATCH(A362&amp;B362, 'Podium Target Times'!$A:$A&amp;'Podium Target Times'!$B:$B, 0))
</f>
        <v>55.99</v>
      </c>
      <c r="L362" s="8">
        <f>L363+G363</f>
        <v>56.365</v>
      </c>
      <c r="M362" s="6" t="str">
        <f t="shared" si="1"/>
        <v>56.37</v>
      </c>
      <c r="N362" s="9">
        <f>IFERROR(__xludf.DUMMYFUNCTION("LET(
  gen,$A362, ev,$B362, t,$M362,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)"),767.0)</f>
        <v>767</v>
      </c>
    </row>
    <row r="363">
      <c r="A363" s="10" t="s">
        <v>295</v>
      </c>
      <c r="B363" s="11" t="s">
        <v>15</v>
      </c>
      <c r="C363" s="11">
        <v>22.0</v>
      </c>
      <c r="D363" s="11">
        <v>2.0</v>
      </c>
      <c r="E363" s="12" t="s">
        <v>305</v>
      </c>
      <c r="F363" s="13">
        <f>IFERROR(__xludf.DUMMYFUNCTION("IF(
  REGEXMATCH(E363, "":""),
  60*VALUE(INDEX(SPLIT(E363, "":""),1,1)) + VALUE(INDEX(SPLIT(E363, "":""),1,2)),
  VALUE(E363)
)"),53.94)</f>
        <v>53.94</v>
      </c>
      <c r="G363" s="13">
        <f>average(F361-F363,F362-F364)</f>
        <v>0.205</v>
      </c>
      <c r="H363" s="13">
        <v>0.20500000000000185</v>
      </c>
      <c r="I363" s="11">
        <f>C349</f>
        <v>16</v>
      </c>
      <c r="J363" s="11">
        <f>C366</f>
        <v>24</v>
      </c>
      <c r="K363" s="11">
        <f t="array" ref="K363">INDEX('Podium Target Times'!$C:$C, MATCH(A363&amp;B363, 'Podium Target Times'!$A:$A&amp;'Podium Target Times'!$B:$B, 0))
</f>
        <v>55.99</v>
      </c>
      <c r="L363" s="13">
        <f>L365+G365</f>
        <v>56.16</v>
      </c>
      <c r="M363" s="11" t="str">
        <f t="shared" si="1"/>
        <v>56.16</v>
      </c>
      <c r="N363" s="14">
        <f>IFERROR(__xludf.DUMMYFUNCTION("LET(
  gen,$A363, ev,$B363, t,$M363,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364">
      <c r="A364" s="5" t="s">
        <v>295</v>
      </c>
      <c r="B364" s="6" t="s">
        <v>15</v>
      </c>
      <c r="C364" s="6">
        <v>22.0</v>
      </c>
      <c r="D364" s="6">
        <v>3.0</v>
      </c>
      <c r="E364" s="7" t="s">
        <v>309</v>
      </c>
      <c r="F364" s="8">
        <f>IFERROR(__xludf.DUMMYFUNCTION("IF(
  REGEXMATCH(E364, "":""),
  60*VALUE(INDEX(SPLIT(E364, "":""),1,1)) + VALUE(INDEX(SPLIT(E364, "":""),1,2)),
  VALUE(E364)
)"),54.08)</f>
        <v>54.08</v>
      </c>
      <c r="G364" s="8">
        <f>average(F361-F363,F362-F364)</f>
        <v>0.205</v>
      </c>
      <c r="H364" s="8">
        <v>0.20500000000000185</v>
      </c>
      <c r="I364" s="6">
        <f>C349</f>
        <v>16</v>
      </c>
      <c r="J364" s="6">
        <f>C366</f>
        <v>24</v>
      </c>
      <c r="K364" s="6">
        <f t="array" ref="K364">INDEX('Podium Target Times'!$C:$C, MATCH(A364&amp;B364, 'Podium Target Times'!$A:$A&amp;'Podium Target Times'!$B:$B, 0))
</f>
        <v>55.99</v>
      </c>
      <c r="L364" s="8">
        <f t="shared" ref="L364:L365" si="37">L365+G365</f>
        <v>56.16</v>
      </c>
      <c r="M364" s="6" t="str">
        <f t="shared" si="1"/>
        <v>56.16</v>
      </c>
      <c r="N364" s="9">
        <f>IFERROR(__xludf.DUMMYFUNCTION("LET(
  gen,$A364, ev,$B364, t,$M364,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365">
      <c r="A365" s="10" t="s">
        <v>295</v>
      </c>
      <c r="B365" s="11" t="s">
        <v>15</v>
      </c>
      <c r="C365" s="11">
        <v>23.0</v>
      </c>
      <c r="D365" s="11">
        <v>3.0</v>
      </c>
      <c r="E365" s="12" t="s">
        <v>310</v>
      </c>
      <c r="F365" s="13">
        <f>IFERROR(__xludf.DUMMYFUNCTION("IF(
  REGEXMATCH(E365, "":""),
  60*VALUE(INDEX(SPLIT(E365, "":""),1,1)) + VALUE(INDEX(SPLIT(E365, "":""),1,2)),
  VALUE(E365)
)"),53.97)</f>
        <v>53.97</v>
      </c>
      <c r="G365" s="13">
        <f t="shared" ref="G365:G366" si="38">F364-F365</f>
        <v>0.11</v>
      </c>
      <c r="H365" s="13">
        <v>0.10999999999999943</v>
      </c>
      <c r="I365" s="11">
        <f>C349</f>
        <v>16</v>
      </c>
      <c r="J365" s="11">
        <f>C366</f>
        <v>24</v>
      </c>
      <c r="K365" s="11">
        <f t="array" ref="K365">INDEX('Podium Target Times'!$C:$C, MATCH(A365&amp;B365, 'Podium Target Times'!$A:$A&amp;'Podium Target Times'!$B:$B, 0))
</f>
        <v>55.99</v>
      </c>
      <c r="L365" s="13">
        <f t="shared" si="37"/>
        <v>56.05</v>
      </c>
      <c r="M365" s="11" t="str">
        <f t="shared" si="1"/>
        <v>56.05</v>
      </c>
      <c r="N365" s="14">
        <f>IFERROR(__xludf.DUMMYFUNCTION("LET(
  gen,$A365, ev,$B365, t,$M365,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366">
      <c r="A366" s="5" t="s">
        <v>295</v>
      </c>
      <c r="B366" s="6" t="s">
        <v>15</v>
      </c>
      <c r="C366" s="6">
        <v>24.0</v>
      </c>
      <c r="D366" s="6">
        <v>3.0</v>
      </c>
      <c r="E366" s="7" t="s">
        <v>305</v>
      </c>
      <c r="F366" s="8">
        <f>IFERROR(__xludf.DUMMYFUNCTION("IF(
  REGEXMATCH(E366, "":""),
  60*VALUE(INDEX(SPLIT(E366, "":""),1,1)) + VALUE(INDEX(SPLIT(E366, "":""),1,2)),
  VALUE(E366)
)"),53.94)</f>
        <v>53.94</v>
      </c>
      <c r="G366" s="8">
        <f t="shared" si="38"/>
        <v>0.03</v>
      </c>
      <c r="H366" s="8">
        <v>0.030000000000001137</v>
      </c>
      <c r="I366" s="6">
        <f>C349</f>
        <v>16</v>
      </c>
      <c r="J366" s="6">
        <f>C366</f>
        <v>24</v>
      </c>
      <c r="K366" s="6">
        <f t="array" ref="K366">INDEX('Podium Target Times'!$C:$C, MATCH(A366&amp;B366, 'Podium Target Times'!$A:$A&amp;'Podium Target Times'!$B:$B, 0))
</f>
        <v>55.99</v>
      </c>
      <c r="L366" s="8">
        <f>G366+L367</f>
        <v>56.02</v>
      </c>
      <c r="M366" s="6" t="str">
        <f t="shared" si="1"/>
        <v>56.02</v>
      </c>
      <c r="N366" s="9">
        <f>IFERROR(__xludf.DUMMYFUNCTION("LET(
  gen,$A366, ev,$B366, t,$M366,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367">
      <c r="A367" s="10" t="s">
        <v>295</v>
      </c>
      <c r="B367" s="11" t="s">
        <v>15</v>
      </c>
      <c r="C367" s="11">
        <v>25.0</v>
      </c>
      <c r="D367" s="11"/>
      <c r="E367" s="12"/>
      <c r="F367" s="13">
        <f>IFERROR(__xludf.DUMMYFUNCTION("IF(
  REGEXMATCH(E367, "":""),
  60*VALUE(INDEX(SPLIT(E367, "":""),1,1)) + VALUE(INDEX(SPLIT(E367, "":""),1,2)),
  VALUE(E367)
)"),0.0)</f>
        <v>0</v>
      </c>
      <c r="G367" s="13"/>
      <c r="H367" s="13"/>
      <c r="I367" s="11">
        <f>C349</f>
        <v>16</v>
      </c>
      <c r="J367" s="11">
        <f>C366</f>
        <v>24</v>
      </c>
      <c r="K367" s="11">
        <f t="array" ref="K367">INDEX('Podium Target Times'!$C:$C, MATCH(A367&amp;B367, 'Podium Target Times'!$A:$A&amp;'Podium Target Times'!$B:$B, 0))
</f>
        <v>55.99</v>
      </c>
      <c r="L367" s="11">
        <f>K367</f>
        <v>55.99</v>
      </c>
      <c r="M367" s="11" t="str">
        <f t="shared" si="1"/>
        <v>55.99</v>
      </c>
      <c r="N367" s="14">
        <f>IFERROR(__xludf.DUMMYFUNCTION("LET(
  gen,$A367, ev,$B367, t,$M367,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)"),782.0)</f>
        <v>782</v>
      </c>
    </row>
    <row r="368">
      <c r="A368" s="5" t="s">
        <v>295</v>
      </c>
      <c r="B368" s="6" t="s">
        <v>32</v>
      </c>
      <c r="C368" s="6">
        <v>16.0</v>
      </c>
      <c r="D368" s="6">
        <v>1.0</v>
      </c>
      <c r="E368" s="7" t="s">
        <v>311</v>
      </c>
      <c r="F368" s="8">
        <f>IFERROR(__xludf.DUMMYFUNCTION("IF(
  REGEXMATCH(E368, "":""),
  60*VALUE(INDEX(SPLIT(E368, "":""),1,1)) + VALUE(INDEX(SPLIT(E368, "":""),1,2)),
  VALUE(E368)
)"),64.06)</f>
        <v>64.06</v>
      </c>
      <c r="G368" s="8">
        <v>0.0</v>
      </c>
      <c r="H368" s="8">
        <v>0.0</v>
      </c>
      <c r="I368" s="6">
        <f>C368</f>
        <v>16</v>
      </c>
      <c r="J368" s="6">
        <f>C385</f>
        <v>24</v>
      </c>
      <c r="K368" s="6">
        <f t="array" ref="K368">INDEX('Podium Target Times'!$C:$C, MATCH(A368&amp;B368, 'Podium Target Times'!$A:$A&amp;'Podium Target Times'!$B:$B, 0))
</f>
        <v>62.22</v>
      </c>
      <c r="L368" s="8">
        <f>L369+G369</f>
        <v>67.88666667</v>
      </c>
      <c r="M368" s="6" t="str">
        <f t="shared" si="1"/>
        <v>1:07.89</v>
      </c>
      <c r="N368" s="9">
        <f>IFERROR(__xludf.DUMMYFUNCTION("LET(
  gen,$A368, ev,$B368, t,$M368,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)"),588.0)</f>
        <v>588</v>
      </c>
    </row>
    <row r="369">
      <c r="A369" s="10" t="s">
        <v>295</v>
      </c>
      <c r="B369" s="11" t="s">
        <v>32</v>
      </c>
      <c r="C369" s="11">
        <v>17.0</v>
      </c>
      <c r="D369" s="11">
        <v>1.0</v>
      </c>
      <c r="E369" s="12" t="s">
        <v>312</v>
      </c>
      <c r="F369" s="13">
        <f>IFERROR(__xludf.DUMMYFUNCTION("IF(
  REGEXMATCH(E369, "":""),
  60*VALUE(INDEX(SPLIT(E369, "":""),1,1)) + VALUE(INDEX(SPLIT(E369, "":""),1,2)),
  VALUE(E369)
)"),62.45)</f>
        <v>62.45</v>
      </c>
      <c r="G369" s="13">
        <f>F368-F369</f>
        <v>1.61</v>
      </c>
      <c r="H369" s="13">
        <v>1.6099999999999994</v>
      </c>
      <c r="I369" s="11">
        <f>C368</f>
        <v>16</v>
      </c>
      <c r="J369" s="11">
        <f>C385</f>
        <v>24</v>
      </c>
      <c r="K369" s="11">
        <f t="array" ref="K369">INDEX('Podium Target Times'!$C:$C, MATCH(A369&amp;B369, 'Podium Target Times'!$A:$A&amp;'Podium Target Times'!$B:$B, 0))
</f>
        <v>62.22</v>
      </c>
      <c r="L369" s="13">
        <f>L371+G371</f>
        <v>66.27666667</v>
      </c>
      <c r="M369" s="11" t="str">
        <f t="shared" si="1"/>
        <v>1:06.28</v>
      </c>
      <c r="N369" s="14">
        <f>IFERROR(__xludf.DUMMYFUNCTION("LET(
  gen,$A369, ev,$B369, t,$M369,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)"),632.0)</f>
        <v>632</v>
      </c>
    </row>
    <row r="370">
      <c r="A370" s="5" t="s">
        <v>295</v>
      </c>
      <c r="B370" s="6" t="s">
        <v>32</v>
      </c>
      <c r="C370" s="6">
        <v>17.0</v>
      </c>
      <c r="D370" s="6">
        <v>2.0</v>
      </c>
      <c r="E370" s="7" t="s">
        <v>313</v>
      </c>
      <c r="F370" s="8">
        <f>IFERROR(__xludf.DUMMYFUNCTION("IF(
  REGEXMATCH(E370, "":""),
  60*VALUE(INDEX(SPLIT(E370, "":""),1,1)) + VALUE(INDEX(SPLIT(E370, "":""),1,2)),
  VALUE(E370)
)"),63.26)</f>
        <v>63.26</v>
      </c>
      <c r="G370" s="8">
        <f>F368-F369</f>
        <v>1.61</v>
      </c>
      <c r="H370" s="8">
        <v>1.6099999999999994</v>
      </c>
      <c r="I370" s="6">
        <f>C368</f>
        <v>16</v>
      </c>
      <c r="J370" s="6">
        <f>C385</f>
        <v>24</v>
      </c>
      <c r="K370" s="6">
        <f t="array" ref="K370">INDEX('Podium Target Times'!$C:$C, MATCH(A370&amp;B370, 'Podium Target Times'!$A:$A&amp;'Podium Target Times'!$B:$B, 0))
</f>
        <v>62.22</v>
      </c>
      <c r="L370" s="8">
        <f>L371+G371</f>
        <v>66.27666667</v>
      </c>
      <c r="M370" s="6" t="str">
        <f t="shared" si="1"/>
        <v>1:06.28</v>
      </c>
      <c r="N370" s="9">
        <f>IFERROR(__xludf.DUMMYFUNCTION("LET(
  gen,$A370, ev,$B370, t,$M370,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)"),632.0)</f>
        <v>632</v>
      </c>
    </row>
    <row r="371">
      <c r="A371" s="10" t="s">
        <v>295</v>
      </c>
      <c r="B371" s="11" t="s">
        <v>32</v>
      </c>
      <c r="C371" s="11">
        <v>18.0</v>
      </c>
      <c r="D371" s="11">
        <v>1.0</v>
      </c>
      <c r="E371" s="12" t="s">
        <v>314</v>
      </c>
      <c r="F371" s="13">
        <f>IFERROR(__xludf.DUMMYFUNCTION("IF(
  REGEXMATCH(E371, "":""),
  60*VALUE(INDEX(SPLIT(E371, "":""),1,1)) + VALUE(INDEX(SPLIT(E371, "":""),1,2)),
  VALUE(E371)
)"),61.25)</f>
        <v>61.25</v>
      </c>
      <c r="G371" s="13">
        <f>average(F369-F371,F370-F372)</f>
        <v>1.205</v>
      </c>
      <c r="H371" s="13">
        <v>1.2050000000000018</v>
      </c>
      <c r="I371" s="11">
        <f>C368</f>
        <v>16</v>
      </c>
      <c r="J371" s="11">
        <f>C385</f>
        <v>24</v>
      </c>
      <c r="K371" s="11">
        <f t="array" ref="K371">INDEX('Podium Target Times'!$C:$C, MATCH(A371&amp;B371, 'Podium Target Times'!$A:$A&amp;'Podium Target Times'!$B:$B, 0))
</f>
        <v>62.22</v>
      </c>
      <c r="L371" s="13">
        <f>L374+G374</f>
        <v>65.07166667</v>
      </c>
      <c r="M371" s="11" t="str">
        <f t="shared" si="1"/>
        <v>1:05.07</v>
      </c>
      <c r="N371" s="14">
        <f>IFERROR(__xludf.DUMMYFUNCTION("LET(
  gen,$A371, ev,$B371, t,$M371,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)"),667.0)</f>
        <v>667</v>
      </c>
    </row>
    <row r="372">
      <c r="A372" s="5" t="s">
        <v>295</v>
      </c>
      <c r="B372" s="6" t="s">
        <v>32</v>
      </c>
      <c r="C372" s="6">
        <v>18.0</v>
      </c>
      <c r="D372" s="6">
        <v>2.0</v>
      </c>
      <c r="E372" s="7" t="s">
        <v>315</v>
      </c>
      <c r="F372" s="8">
        <f>IFERROR(__xludf.DUMMYFUNCTION("IF(
  REGEXMATCH(E372, "":""),
  60*VALUE(INDEX(SPLIT(E372, "":""),1,1)) + VALUE(INDEX(SPLIT(E372, "":""),1,2)),
  VALUE(E372)
)"),62.05)</f>
        <v>62.05</v>
      </c>
      <c r="G372" s="8">
        <f>average(F369-F371,F370-F372)</f>
        <v>1.205</v>
      </c>
      <c r="H372" s="8">
        <v>1.2050000000000018</v>
      </c>
      <c r="I372" s="6">
        <f>C368</f>
        <v>16</v>
      </c>
      <c r="J372" s="6">
        <f>C385</f>
        <v>24</v>
      </c>
      <c r="K372" s="6">
        <f t="array" ref="K372">INDEX('Podium Target Times'!$C:$C, MATCH(A372&amp;B372, 'Podium Target Times'!$A:$A&amp;'Podium Target Times'!$B:$B, 0))
</f>
        <v>62.22</v>
      </c>
      <c r="L372" s="8">
        <f>L374+G374</f>
        <v>65.07166667</v>
      </c>
      <c r="M372" s="6" t="str">
        <f t="shared" si="1"/>
        <v>1:05.07</v>
      </c>
      <c r="N372" s="9">
        <f>IFERROR(__xludf.DUMMYFUNCTION("LET(
  gen,$A372, ev,$B372, t,$M372,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)"),667.0)</f>
        <v>667</v>
      </c>
    </row>
    <row r="373">
      <c r="A373" s="10" t="s">
        <v>295</v>
      </c>
      <c r="B373" s="11" t="s">
        <v>32</v>
      </c>
      <c r="C373" s="11">
        <v>18.0</v>
      </c>
      <c r="D373" s="11">
        <v>3.0</v>
      </c>
      <c r="E373" s="12" t="s">
        <v>316</v>
      </c>
      <c r="F373" s="13">
        <f>IFERROR(__xludf.DUMMYFUNCTION("IF(
  REGEXMATCH(E373, "":""),
  60*VALUE(INDEX(SPLIT(E373, "":""),1,1)) + VALUE(INDEX(SPLIT(E373, "":""),1,2)),
  VALUE(E373)
)"),62.46)</f>
        <v>62.46</v>
      </c>
      <c r="G373" s="13">
        <f>average(F369-F371,F370-F372)</f>
        <v>1.205</v>
      </c>
      <c r="H373" s="13">
        <v>1.2050000000000018</v>
      </c>
      <c r="I373" s="11">
        <f>C368</f>
        <v>16</v>
      </c>
      <c r="J373" s="11">
        <f>C385</f>
        <v>24</v>
      </c>
      <c r="K373" s="11">
        <f t="array" ref="K373">INDEX('Podium Target Times'!$C:$C, MATCH(A373&amp;B373, 'Podium Target Times'!$A:$A&amp;'Podium Target Times'!$B:$B, 0))
</f>
        <v>62.22</v>
      </c>
      <c r="L373" s="13">
        <f>L374+G374</f>
        <v>65.07166667</v>
      </c>
      <c r="M373" s="11" t="str">
        <f t="shared" si="1"/>
        <v>1:05.07</v>
      </c>
      <c r="N373" s="14">
        <f>IFERROR(__xludf.DUMMYFUNCTION("LET(
  gen,$A373, ev,$B373, t,$M373,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)"),667.0)</f>
        <v>667</v>
      </c>
    </row>
    <row r="374">
      <c r="A374" s="5" t="s">
        <v>295</v>
      </c>
      <c r="B374" s="6" t="s">
        <v>32</v>
      </c>
      <c r="C374" s="6">
        <v>19.0</v>
      </c>
      <c r="D374" s="6">
        <v>1.0</v>
      </c>
      <c r="E374" s="7" t="s">
        <v>317</v>
      </c>
      <c r="F374" s="8">
        <f>IFERROR(__xludf.DUMMYFUNCTION("IF(
  REGEXMATCH(E374, "":""),
  60*VALUE(INDEX(SPLIT(E374, "":""),1,1)) + VALUE(INDEX(SPLIT(E374, "":""),1,2)),
  VALUE(E374)
)"),60.37)</f>
        <v>60.37</v>
      </c>
      <c r="G374" s="8">
        <f>average(F371-F374,F372-F375,F373-F376)</f>
        <v>0.8866666667</v>
      </c>
      <c r="H374" s="8">
        <v>0.8866666666666679</v>
      </c>
      <c r="I374" s="6">
        <f>C368</f>
        <v>16</v>
      </c>
      <c r="J374" s="6">
        <f>C385</f>
        <v>24</v>
      </c>
      <c r="K374" s="6">
        <f t="array" ref="K374">INDEX('Podium Target Times'!$C:$C, MATCH(A374&amp;B374, 'Podium Target Times'!$A:$A&amp;'Podium Target Times'!$B:$B, 0))
</f>
        <v>62.22</v>
      </c>
      <c r="L374" s="8">
        <f>L377+G377</f>
        <v>64.185</v>
      </c>
      <c r="M374" s="6" t="str">
        <f t="shared" si="1"/>
        <v>1:04.19</v>
      </c>
      <c r="N374" s="9">
        <f>IFERROR(__xludf.DUMMYFUNCTION("LET(
  gen,$A374, ev,$B374, t,$M374,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)"),695.0)</f>
        <v>695</v>
      </c>
    </row>
    <row r="375">
      <c r="A375" s="10" t="s">
        <v>295</v>
      </c>
      <c r="B375" s="11" t="s">
        <v>32</v>
      </c>
      <c r="C375" s="11">
        <v>19.0</v>
      </c>
      <c r="D375" s="11">
        <v>2.0</v>
      </c>
      <c r="E375" s="12" t="s">
        <v>318</v>
      </c>
      <c r="F375" s="13">
        <f>IFERROR(__xludf.DUMMYFUNCTION("IF(
  REGEXMATCH(E375, "":""),
  60*VALUE(INDEX(SPLIT(E375, "":""),1,1)) + VALUE(INDEX(SPLIT(E375, "":""),1,2)),
  VALUE(E375)
)"),61.16)</f>
        <v>61.16</v>
      </c>
      <c r="G375" s="13">
        <f>average(F371-F374,F372-F375,F373-F376)</f>
        <v>0.8866666667</v>
      </c>
      <c r="H375" s="13">
        <v>0.8866666666666679</v>
      </c>
      <c r="I375" s="11">
        <f>C368</f>
        <v>16</v>
      </c>
      <c r="J375" s="11">
        <f>C385</f>
        <v>24</v>
      </c>
      <c r="K375" s="11">
        <f t="array" ref="K375">INDEX('Podium Target Times'!$C:$C, MATCH(A375&amp;B375, 'Podium Target Times'!$A:$A&amp;'Podium Target Times'!$B:$B, 0))
</f>
        <v>62.22</v>
      </c>
      <c r="L375" s="13">
        <f>L377+G377</f>
        <v>64.185</v>
      </c>
      <c r="M375" s="11" t="str">
        <f t="shared" si="1"/>
        <v>1:04.19</v>
      </c>
      <c r="N375" s="14">
        <f>IFERROR(__xludf.DUMMYFUNCTION("LET(
  gen,$A375, ev,$B375, t,$M375,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)"),695.0)</f>
        <v>695</v>
      </c>
    </row>
    <row r="376">
      <c r="A376" s="5" t="s">
        <v>295</v>
      </c>
      <c r="B376" s="6" t="s">
        <v>32</v>
      </c>
      <c r="C376" s="6">
        <v>19.0</v>
      </c>
      <c r="D376" s="6">
        <v>3.0</v>
      </c>
      <c r="E376" s="7" t="s">
        <v>319</v>
      </c>
      <c r="F376" s="8">
        <f>IFERROR(__xludf.DUMMYFUNCTION("IF(
  REGEXMATCH(E376, "":""),
  60*VALUE(INDEX(SPLIT(E376, "":""),1,1)) + VALUE(INDEX(SPLIT(E376, "":""),1,2)),
  VALUE(E376)
)"),61.57)</f>
        <v>61.57</v>
      </c>
      <c r="G376" s="8">
        <f>average(F371-F374,F372-F375,F373-F376)</f>
        <v>0.8866666667</v>
      </c>
      <c r="H376" s="8">
        <v>0.8866666666666679</v>
      </c>
      <c r="I376" s="6">
        <f>C368</f>
        <v>16</v>
      </c>
      <c r="J376" s="6">
        <f>C385</f>
        <v>24</v>
      </c>
      <c r="K376" s="6">
        <f t="array" ref="K376">INDEX('Podium Target Times'!$C:$C, MATCH(A376&amp;B376, 'Podium Target Times'!$A:$A&amp;'Podium Target Times'!$B:$B, 0))
</f>
        <v>62.22</v>
      </c>
      <c r="L376" s="8">
        <f>L377+G377</f>
        <v>64.185</v>
      </c>
      <c r="M376" s="6" t="str">
        <f t="shared" si="1"/>
        <v>1:04.19</v>
      </c>
      <c r="N376" s="9">
        <f>IFERROR(__xludf.DUMMYFUNCTION("LET(
  gen,$A376, ev,$B376, t,$M376,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)"),695.0)</f>
        <v>695</v>
      </c>
    </row>
    <row r="377">
      <c r="A377" s="10" t="s">
        <v>295</v>
      </c>
      <c r="B377" s="11" t="s">
        <v>32</v>
      </c>
      <c r="C377" s="11">
        <v>20.0</v>
      </c>
      <c r="D377" s="11">
        <v>1.0</v>
      </c>
      <c r="E377" s="12" t="s">
        <v>320</v>
      </c>
      <c r="F377" s="13">
        <f>IFERROR(__xludf.DUMMYFUNCTION("IF(
  REGEXMATCH(E377, "":""),
  60*VALUE(INDEX(SPLIT(E377, "":""),1,1)) + VALUE(INDEX(SPLIT(E377, "":""),1,2)),
  VALUE(E377)
)"),59.75)</f>
        <v>59.75</v>
      </c>
      <c r="G377" s="13">
        <f>average(F374-F377,F375-F378,F376-F379)</f>
        <v>0.63</v>
      </c>
      <c r="H377" s="13">
        <v>0.6299999999999978</v>
      </c>
      <c r="I377" s="11">
        <f>C368</f>
        <v>16</v>
      </c>
      <c r="J377" s="11">
        <f>C385</f>
        <v>24</v>
      </c>
      <c r="K377" s="11">
        <f t="array" ref="K377">INDEX('Podium Target Times'!$C:$C, MATCH(A377&amp;B377, 'Podium Target Times'!$A:$A&amp;'Podium Target Times'!$B:$B, 0))
</f>
        <v>62.22</v>
      </c>
      <c r="L377" s="13">
        <f>L380+G380</f>
        <v>63.555</v>
      </c>
      <c r="M377" s="11" t="str">
        <f t="shared" si="1"/>
        <v>1:03.56</v>
      </c>
      <c r="N377" s="14">
        <f>IFERROR(__xludf.DUMMYFUNCTION("LET(
  gen,$A377, ev,$B377, t,$M377,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378">
      <c r="A378" s="5" t="s">
        <v>295</v>
      </c>
      <c r="B378" s="6" t="s">
        <v>32</v>
      </c>
      <c r="C378" s="6">
        <v>20.0</v>
      </c>
      <c r="D378" s="6">
        <v>2.0</v>
      </c>
      <c r="E378" s="7" t="s">
        <v>321</v>
      </c>
      <c r="F378" s="8">
        <f>IFERROR(__xludf.DUMMYFUNCTION("IF(
  REGEXMATCH(E378, "":""),
  60*VALUE(INDEX(SPLIT(E378, "":""),1,1)) + VALUE(INDEX(SPLIT(E378, "":""),1,2)),
  VALUE(E378)
)"),60.53)</f>
        <v>60.53</v>
      </c>
      <c r="G378" s="8">
        <f>average(F374-F377,F375-F378,F376-F379)</f>
        <v>0.63</v>
      </c>
      <c r="H378" s="8">
        <v>0.6299999999999978</v>
      </c>
      <c r="I378" s="6">
        <f>C368</f>
        <v>16</v>
      </c>
      <c r="J378" s="6">
        <f>C385</f>
        <v>24</v>
      </c>
      <c r="K378" s="6">
        <f t="array" ref="K378">INDEX('Podium Target Times'!$C:$C, MATCH(A378&amp;B378, 'Podium Target Times'!$A:$A&amp;'Podium Target Times'!$B:$B, 0))
</f>
        <v>62.22</v>
      </c>
      <c r="L378" s="8">
        <f>L380+G380</f>
        <v>63.555</v>
      </c>
      <c r="M378" s="6" t="str">
        <f t="shared" si="1"/>
        <v>1:03.56</v>
      </c>
      <c r="N378" s="9">
        <f>IFERROR(__xludf.DUMMYFUNCTION("LET(
  gen,$A378, ev,$B378, t,$M378,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379">
      <c r="A379" s="10" t="s">
        <v>295</v>
      </c>
      <c r="B379" s="11" t="s">
        <v>32</v>
      </c>
      <c r="C379" s="11">
        <v>20.0</v>
      </c>
      <c r="D379" s="11">
        <v>3.0</v>
      </c>
      <c r="E379" s="12" t="s">
        <v>322</v>
      </c>
      <c r="F379" s="13">
        <f>IFERROR(__xludf.DUMMYFUNCTION("IF(
  REGEXMATCH(E379, "":""),
  60*VALUE(INDEX(SPLIT(E379, "":""),1,1)) + VALUE(INDEX(SPLIT(E379, "":""),1,2)),
  VALUE(E379)
)"),60.93)</f>
        <v>60.93</v>
      </c>
      <c r="G379" s="13">
        <f>average(F374-F377,F375-F378,F376-F379)</f>
        <v>0.63</v>
      </c>
      <c r="H379" s="13">
        <v>0.6299999999999978</v>
      </c>
      <c r="I379" s="11">
        <f>C368</f>
        <v>16</v>
      </c>
      <c r="J379" s="11">
        <f>C385</f>
        <v>24</v>
      </c>
      <c r="K379" s="11">
        <f t="array" ref="K379">INDEX('Podium Target Times'!$C:$C, MATCH(A379&amp;B379, 'Podium Target Times'!$A:$A&amp;'Podium Target Times'!$B:$B, 0))
</f>
        <v>62.22</v>
      </c>
      <c r="L379" s="13">
        <f>L380+G380</f>
        <v>63.555</v>
      </c>
      <c r="M379" s="11" t="str">
        <f t="shared" si="1"/>
        <v>1:03.56</v>
      </c>
      <c r="N379" s="14">
        <f>IFERROR(__xludf.DUMMYFUNCTION("LET(
  gen,$A379, ev,$B379, t,$M379,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)"),716.0)</f>
        <v>716</v>
      </c>
    </row>
    <row r="380">
      <c r="A380" s="5" t="s">
        <v>295</v>
      </c>
      <c r="B380" s="6" t="s">
        <v>32</v>
      </c>
      <c r="C380" s="6">
        <v>21.0</v>
      </c>
      <c r="D380" s="6">
        <v>2.0</v>
      </c>
      <c r="E380" s="7" t="s">
        <v>323</v>
      </c>
      <c r="F380" s="8">
        <f>IFERROR(__xludf.DUMMYFUNCTION("IF(
  REGEXMATCH(E380, "":""),
  60*VALUE(INDEX(SPLIT(E380, "":""),1,1)) + VALUE(INDEX(SPLIT(E380, "":""),1,2)),
  VALUE(E380)
)"),60.09)</f>
        <v>60.09</v>
      </c>
      <c r="G380" s="8">
        <f>average(F378-F380,F379-F381)</f>
        <v>0.445</v>
      </c>
      <c r="H380" s="8">
        <v>0.4450000000000003</v>
      </c>
      <c r="I380" s="6">
        <f>C368</f>
        <v>16</v>
      </c>
      <c r="J380" s="6">
        <f>C385</f>
        <v>24</v>
      </c>
      <c r="K380" s="6">
        <f t="array" ref="K380">INDEX('Podium Target Times'!$C:$C, MATCH(A380&amp;B380, 'Podium Target Times'!$A:$A&amp;'Podium Target Times'!$B:$B, 0))
</f>
        <v>62.22</v>
      </c>
      <c r="L380" s="8">
        <f>L382+G382</f>
        <v>63.11</v>
      </c>
      <c r="M380" s="6" t="str">
        <f t="shared" si="1"/>
        <v>1:03.11</v>
      </c>
      <c r="N380" s="9">
        <f>IFERROR(__xludf.DUMMYFUNCTION("LET(
  gen,$A380, ev,$B380, t,$M380,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381">
      <c r="A381" s="10" t="s">
        <v>295</v>
      </c>
      <c r="B381" s="11" t="s">
        <v>32</v>
      </c>
      <c r="C381" s="11">
        <v>21.0</v>
      </c>
      <c r="D381" s="11">
        <v>3.0</v>
      </c>
      <c r="E381" s="12" t="s">
        <v>324</v>
      </c>
      <c r="F381" s="13">
        <f>IFERROR(__xludf.DUMMYFUNCTION("IF(
  REGEXMATCH(E381, "":""),
  60*VALUE(INDEX(SPLIT(E381, "":""),1,1)) + VALUE(INDEX(SPLIT(E381, "":""),1,2)),
  VALUE(E381)
)"),60.48)</f>
        <v>60.48</v>
      </c>
      <c r="G381" s="13">
        <f>average(F378-F380,F379-F381)</f>
        <v>0.445</v>
      </c>
      <c r="H381" s="13">
        <v>0.4450000000000003</v>
      </c>
      <c r="I381" s="11">
        <f>C368</f>
        <v>16</v>
      </c>
      <c r="J381" s="11">
        <f>C385</f>
        <v>24</v>
      </c>
      <c r="K381" s="11">
        <f t="array" ref="K381">INDEX('Podium Target Times'!$C:$C, MATCH(A381&amp;B381, 'Podium Target Times'!$A:$A&amp;'Podium Target Times'!$B:$B, 0))
</f>
        <v>62.22</v>
      </c>
      <c r="L381" s="13">
        <f>L382+G382</f>
        <v>63.11</v>
      </c>
      <c r="M381" s="11" t="str">
        <f t="shared" si="1"/>
        <v>1:03.11</v>
      </c>
      <c r="N381" s="14">
        <f>IFERROR(__xludf.DUMMYFUNCTION("LET(
  gen,$A381, ev,$B381, t,$M381,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)"),732.0)</f>
        <v>732</v>
      </c>
    </row>
    <row r="382">
      <c r="A382" s="5" t="s">
        <v>295</v>
      </c>
      <c r="B382" s="6" t="s">
        <v>32</v>
      </c>
      <c r="C382" s="6">
        <v>22.0</v>
      </c>
      <c r="D382" s="6">
        <v>2.0</v>
      </c>
      <c r="E382" s="7" t="s">
        <v>320</v>
      </c>
      <c r="F382" s="8">
        <f>IFERROR(__xludf.DUMMYFUNCTION("IF(
  REGEXMATCH(E382, "":""),
  60*VALUE(INDEX(SPLIT(E382, "":""),1,1)) + VALUE(INDEX(SPLIT(E382, "":""),1,2)),
  VALUE(E382)
)"),59.75)</f>
        <v>59.75</v>
      </c>
      <c r="G382" s="8">
        <f>average(F380-F382,F381-F383)</f>
        <v>0.34</v>
      </c>
      <c r="H382" s="8">
        <v>0.33999999999999986</v>
      </c>
      <c r="I382" s="6">
        <f>C368</f>
        <v>16</v>
      </c>
      <c r="J382" s="6">
        <f>C385</f>
        <v>24</v>
      </c>
      <c r="K382" s="6">
        <f t="array" ref="K382">INDEX('Podium Target Times'!$C:$C, MATCH(A382&amp;B382, 'Podium Target Times'!$A:$A&amp;'Podium Target Times'!$B:$B, 0))
</f>
        <v>62.22</v>
      </c>
      <c r="L382" s="8">
        <f>L384+G384</f>
        <v>62.77</v>
      </c>
      <c r="M382" s="6" t="str">
        <f t="shared" si="1"/>
        <v>1:02.77</v>
      </c>
      <c r="N382" s="9">
        <f>IFERROR(__xludf.DUMMYFUNCTION("LET(
  gen,$A382, ev,$B382, t,$M382,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383">
      <c r="A383" s="10" t="s">
        <v>295</v>
      </c>
      <c r="B383" s="11" t="s">
        <v>32</v>
      </c>
      <c r="C383" s="11">
        <v>22.0</v>
      </c>
      <c r="D383" s="11">
        <v>3.0</v>
      </c>
      <c r="E383" s="12" t="s">
        <v>325</v>
      </c>
      <c r="F383" s="13">
        <f>IFERROR(__xludf.DUMMYFUNCTION("IF(
  REGEXMATCH(E383, "":""),
  60*VALUE(INDEX(SPLIT(E383, "":""),1,1)) + VALUE(INDEX(SPLIT(E383, "":""),1,2)),
  VALUE(E383)
)"),60.14)</f>
        <v>60.14</v>
      </c>
      <c r="G383" s="13">
        <f>average(F380-F382,F381-F383)</f>
        <v>0.34</v>
      </c>
      <c r="H383" s="13">
        <v>0.33999999999999986</v>
      </c>
      <c r="I383" s="11">
        <f>C368</f>
        <v>16</v>
      </c>
      <c r="J383" s="11">
        <f>C385</f>
        <v>24</v>
      </c>
      <c r="K383" s="11">
        <f t="array" ref="K383">INDEX('Podium Target Times'!$C:$C, MATCH(A383&amp;B383, 'Podium Target Times'!$A:$A&amp;'Podium Target Times'!$B:$B, 0))
</f>
        <v>62.22</v>
      </c>
      <c r="L383" s="13">
        <f t="shared" ref="L383:L384" si="39">L384+G384</f>
        <v>62.77</v>
      </c>
      <c r="M383" s="11" t="str">
        <f t="shared" si="1"/>
        <v>1:02.77</v>
      </c>
      <c r="N383" s="14">
        <f>IFERROR(__xludf.DUMMYFUNCTION("LET(
  gen,$A383, ev,$B383, t,$M383,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384">
      <c r="A384" s="5" t="s">
        <v>295</v>
      </c>
      <c r="B384" s="6" t="s">
        <v>32</v>
      </c>
      <c r="C384" s="6">
        <v>23.0</v>
      </c>
      <c r="D384" s="6">
        <v>3.0</v>
      </c>
      <c r="E384" s="7" t="s">
        <v>326</v>
      </c>
      <c r="F384" s="8">
        <f>IFERROR(__xludf.DUMMYFUNCTION("IF(
  REGEXMATCH(E384, "":""),
  60*VALUE(INDEX(SPLIT(E384, "":""),1,1)) + VALUE(INDEX(SPLIT(E384, "":""),1,2)),
  VALUE(E384)
)"),59.91)</f>
        <v>59.91</v>
      </c>
      <c r="G384" s="8">
        <f t="shared" ref="G384:G385" si="40">F383-F384</f>
        <v>0.23</v>
      </c>
      <c r="H384" s="8">
        <v>0.23000000000000398</v>
      </c>
      <c r="I384" s="6">
        <f>C368</f>
        <v>16</v>
      </c>
      <c r="J384" s="6">
        <f>C385</f>
        <v>24</v>
      </c>
      <c r="K384" s="6">
        <f t="array" ref="K384">INDEX('Podium Target Times'!$C:$C, MATCH(A384&amp;B384, 'Podium Target Times'!$A:$A&amp;'Podium Target Times'!$B:$B, 0))
</f>
        <v>62.22</v>
      </c>
      <c r="L384" s="8">
        <f t="shared" si="39"/>
        <v>62.54</v>
      </c>
      <c r="M384" s="6" t="str">
        <f t="shared" si="1"/>
        <v>1:02.54</v>
      </c>
      <c r="N384" s="9">
        <f>IFERROR(__xludf.DUMMYFUNCTION("LET(
  gen,$A384, ev,$B384, t,$M384,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)"),752.0)</f>
        <v>752</v>
      </c>
    </row>
    <row r="385">
      <c r="A385" s="10" t="s">
        <v>295</v>
      </c>
      <c r="B385" s="11" t="s">
        <v>32</v>
      </c>
      <c r="C385" s="11">
        <v>24.0</v>
      </c>
      <c r="D385" s="11">
        <v>3.0</v>
      </c>
      <c r="E385" s="12" t="s">
        <v>320</v>
      </c>
      <c r="F385" s="13">
        <f>IFERROR(__xludf.DUMMYFUNCTION("IF(
  REGEXMATCH(E385, "":""),
  60*VALUE(INDEX(SPLIT(E385, "":""),1,1)) + VALUE(INDEX(SPLIT(E385, "":""),1,2)),
  VALUE(E385)
)"),59.75)</f>
        <v>59.75</v>
      </c>
      <c r="G385" s="13">
        <f t="shared" si="40"/>
        <v>0.16</v>
      </c>
      <c r="H385" s="13">
        <v>0.1599999999999966</v>
      </c>
      <c r="I385" s="11">
        <f>C368</f>
        <v>16</v>
      </c>
      <c r="J385" s="11">
        <f>C385</f>
        <v>24</v>
      </c>
      <c r="K385" s="11">
        <f t="array" ref="K385">INDEX('Podium Target Times'!$C:$C, MATCH(A385&amp;B385, 'Podium Target Times'!$A:$A&amp;'Podium Target Times'!$B:$B, 0))
</f>
        <v>62.22</v>
      </c>
      <c r="L385" s="13">
        <f>G385+L386</f>
        <v>62.38</v>
      </c>
      <c r="M385" s="11" t="str">
        <f t="shared" si="1"/>
        <v>1:02.38</v>
      </c>
      <c r="N385" s="14">
        <f>IFERROR(__xludf.DUMMYFUNCTION("LET(
  gen,$A385, ev,$B385, t,$M385,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)"),758.0)</f>
        <v>758</v>
      </c>
    </row>
    <row r="386">
      <c r="A386" s="5" t="s">
        <v>295</v>
      </c>
      <c r="B386" s="6" t="s">
        <v>32</v>
      </c>
      <c r="C386" s="6">
        <v>25.0</v>
      </c>
      <c r="D386" s="6"/>
      <c r="E386" s="7"/>
      <c r="F386" s="8">
        <f>IFERROR(__xludf.DUMMYFUNCTION("IF(
  REGEXMATCH(E386, "":""),
  60*VALUE(INDEX(SPLIT(E386, "":""),1,1)) + VALUE(INDEX(SPLIT(E386, "":""),1,2)),
  VALUE(E386)
)"),0.0)</f>
        <v>0</v>
      </c>
      <c r="G386" s="8"/>
      <c r="H386" s="8"/>
      <c r="I386" s="6">
        <f>C368</f>
        <v>16</v>
      </c>
      <c r="J386" s="6">
        <f>C385</f>
        <v>24</v>
      </c>
      <c r="K386" s="6">
        <f t="array" ref="K386">INDEX('Podium Target Times'!$C:$C, MATCH(A386&amp;B386, 'Podium Target Times'!$A:$A&amp;'Podium Target Times'!$B:$B, 0))
</f>
        <v>62.22</v>
      </c>
      <c r="L386" s="6">
        <f>K386</f>
        <v>62.22</v>
      </c>
      <c r="M386" s="6" t="str">
        <f t="shared" si="1"/>
        <v>1:02.22</v>
      </c>
      <c r="N386" s="9">
        <f>IFERROR(__xludf.DUMMYFUNCTION("LET(
  gen,$A386, ev,$B386, t,$M386,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387">
      <c r="A387" s="10" t="s">
        <v>295</v>
      </c>
      <c r="B387" s="11" t="s">
        <v>49</v>
      </c>
      <c r="C387" s="11">
        <v>16.0</v>
      </c>
      <c r="D387" s="11">
        <v>1.0</v>
      </c>
      <c r="E387" s="12" t="s">
        <v>327</v>
      </c>
      <c r="F387" s="13">
        <f>IFERROR(__xludf.DUMMYFUNCTION("IF(
  REGEXMATCH(E387, "":""),
  60*VALUE(INDEX(SPLIT(E387, "":""),1,1)) + VALUE(INDEX(SPLIT(E387, "":""),1,2)),
  VALUE(E387)
)"),55.15)</f>
        <v>55.15</v>
      </c>
      <c r="G387" s="13">
        <v>0.0</v>
      </c>
      <c r="H387" s="13">
        <v>0.0</v>
      </c>
      <c r="I387" s="11">
        <f>C387</f>
        <v>16</v>
      </c>
      <c r="J387" s="11">
        <f>C404</f>
        <v>24</v>
      </c>
      <c r="K387" s="11">
        <f t="array" ref="K387">INDEX('Podium Target Times'!$C:$C, MATCH(A387&amp;B387, 'Podium Target Times'!$A:$A&amp;'Podium Target Times'!$B:$B, 0))
</f>
        <v>52.91</v>
      </c>
      <c r="L387" s="13">
        <f>L388+G388</f>
        <v>56.99666667</v>
      </c>
      <c r="M387" s="11" t="str">
        <f t="shared" si="1"/>
        <v>57.00</v>
      </c>
      <c r="N387" s="14">
        <f>IFERROR(__xludf.DUMMYFUNCTION("LET(
  gen,$A387, ev,$B387, t,$M387,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)"),652.0)</f>
        <v>652</v>
      </c>
    </row>
    <row r="388">
      <c r="A388" s="5" t="s">
        <v>295</v>
      </c>
      <c r="B388" s="6" t="s">
        <v>49</v>
      </c>
      <c r="C388" s="6">
        <v>17.0</v>
      </c>
      <c r="D388" s="6">
        <v>1.0</v>
      </c>
      <c r="E388" s="7" t="s">
        <v>328</v>
      </c>
      <c r="F388" s="8">
        <f>IFERROR(__xludf.DUMMYFUNCTION("IF(
  REGEXMATCH(E388, "":""),
  60*VALUE(INDEX(SPLIT(E388, "":""),1,1)) + VALUE(INDEX(SPLIT(E388, "":""),1,2)),
  VALUE(E388)
)"),53.75)</f>
        <v>53.75</v>
      </c>
      <c r="G388" s="8">
        <f>F387-F388</f>
        <v>1.4</v>
      </c>
      <c r="H388" s="8">
        <v>1.3999999999999986</v>
      </c>
      <c r="I388" s="6">
        <f>C387</f>
        <v>16</v>
      </c>
      <c r="J388" s="6">
        <f>C404</f>
        <v>24</v>
      </c>
      <c r="K388" s="6">
        <f t="array" ref="K388">INDEX('Podium Target Times'!$C:$C, MATCH(A388&amp;B388, 'Podium Target Times'!$A:$A&amp;'Podium Target Times'!$B:$B, 0))
</f>
        <v>52.91</v>
      </c>
      <c r="L388" s="8">
        <f>L390+G390</f>
        <v>55.59666667</v>
      </c>
      <c r="M388" s="6" t="str">
        <f t="shared" si="1"/>
        <v>55.60</v>
      </c>
      <c r="N388" s="9">
        <f>IFERROR(__xludf.DUMMYFUNCTION("LET(
  gen,$A388, ev,$B388, t,$M388,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)"),703.0)</f>
        <v>703</v>
      </c>
    </row>
    <row r="389">
      <c r="A389" s="10" t="s">
        <v>295</v>
      </c>
      <c r="B389" s="11" t="s">
        <v>49</v>
      </c>
      <c r="C389" s="11">
        <v>17.0</v>
      </c>
      <c r="D389" s="11">
        <v>2.0</v>
      </c>
      <c r="E389" s="12" t="s">
        <v>329</v>
      </c>
      <c r="F389" s="13">
        <f>IFERROR(__xludf.DUMMYFUNCTION("IF(
  REGEXMATCH(E389, "":""),
  60*VALUE(INDEX(SPLIT(E389, "":""),1,1)) + VALUE(INDEX(SPLIT(E389, "":""),1,2)),
  VALUE(E389)
)"),54.31)</f>
        <v>54.31</v>
      </c>
      <c r="G389" s="13">
        <f>F387-F388</f>
        <v>1.4</v>
      </c>
      <c r="H389" s="13">
        <v>1.3999999999999986</v>
      </c>
      <c r="I389" s="11">
        <f>C387</f>
        <v>16</v>
      </c>
      <c r="J389" s="11">
        <f>C404</f>
        <v>24</v>
      </c>
      <c r="K389" s="11">
        <f t="array" ref="K389">INDEX('Podium Target Times'!$C:$C, MATCH(A389&amp;B389, 'Podium Target Times'!$A:$A&amp;'Podium Target Times'!$B:$B, 0))
</f>
        <v>52.91</v>
      </c>
      <c r="L389" s="13">
        <f>L390+G390</f>
        <v>55.59666667</v>
      </c>
      <c r="M389" s="11" t="str">
        <f t="shared" si="1"/>
        <v>55.60</v>
      </c>
      <c r="N389" s="14">
        <f>IFERROR(__xludf.DUMMYFUNCTION("LET(
  gen,$A389, ev,$B389, t,$M389,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)"),703.0)</f>
        <v>703</v>
      </c>
    </row>
    <row r="390">
      <c r="A390" s="5" t="s">
        <v>295</v>
      </c>
      <c r="B390" s="6" t="s">
        <v>49</v>
      </c>
      <c r="C390" s="6">
        <v>18.0</v>
      </c>
      <c r="D390" s="6">
        <v>1.0</v>
      </c>
      <c r="E390" s="7" t="s">
        <v>330</v>
      </c>
      <c r="F390" s="8">
        <f>IFERROR(__xludf.DUMMYFUNCTION("IF(
  REGEXMATCH(E390, "":""),
  60*VALUE(INDEX(SPLIT(E390, "":""),1,1)) + VALUE(INDEX(SPLIT(E390, "":""),1,2)),
  VALUE(E390)
)"),52.83)</f>
        <v>52.83</v>
      </c>
      <c r="G390" s="8">
        <f>average(F388-F390,F389-F391)</f>
        <v>0.925</v>
      </c>
      <c r="H390" s="8">
        <v>0.9250000000000007</v>
      </c>
      <c r="I390" s="6">
        <f>C387</f>
        <v>16</v>
      </c>
      <c r="J390" s="6">
        <f>C404</f>
        <v>24</v>
      </c>
      <c r="K390" s="6">
        <f t="array" ref="K390">INDEX('Podium Target Times'!$C:$C, MATCH(A390&amp;B390, 'Podium Target Times'!$A:$A&amp;'Podium Target Times'!$B:$B, 0))
</f>
        <v>52.91</v>
      </c>
      <c r="L390" s="8">
        <f>L393+G393</f>
        <v>54.67166667</v>
      </c>
      <c r="M390" s="6" t="str">
        <f t="shared" si="1"/>
        <v>54.67</v>
      </c>
      <c r="N390" s="9">
        <f>IFERROR(__xludf.DUMMYFUNCTION("LET(
  gen,$A390, ev,$B390, t,$M390,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391">
      <c r="A391" s="10" t="s">
        <v>295</v>
      </c>
      <c r="B391" s="11" t="s">
        <v>49</v>
      </c>
      <c r="C391" s="11">
        <v>18.0</v>
      </c>
      <c r="D391" s="11">
        <v>2.0</v>
      </c>
      <c r="E391" s="12" t="s">
        <v>331</v>
      </c>
      <c r="F391" s="13">
        <f>IFERROR(__xludf.DUMMYFUNCTION("IF(
  REGEXMATCH(E391, "":""),
  60*VALUE(INDEX(SPLIT(E391, "":""),1,1)) + VALUE(INDEX(SPLIT(E391, "":""),1,2)),
  VALUE(E391)
)"),53.38)</f>
        <v>53.38</v>
      </c>
      <c r="G391" s="13">
        <f>average(F388-F390,F389-F391)</f>
        <v>0.925</v>
      </c>
      <c r="H391" s="13">
        <v>0.9250000000000007</v>
      </c>
      <c r="I391" s="11">
        <f>C387</f>
        <v>16</v>
      </c>
      <c r="J391" s="11">
        <f>C404</f>
        <v>24</v>
      </c>
      <c r="K391" s="11">
        <f t="array" ref="K391">INDEX('Podium Target Times'!$C:$C, MATCH(A391&amp;B391, 'Podium Target Times'!$A:$A&amp;'Podium Target Times'!$B:$B, 0))
</f>
        <v>52.91</v>
      </c>
      <c r="L391" s="13">
        <f>L393+G393</f>
        <v>54.67166667</v>
      </c>
      <c r="M391" s="11" t="str">
        <f t="shared" si="1"/>
        <v>54.67</v>
      </c>
      <c r="N391" s="14">
        <f>IFERROR(__xludf.DUMMYFUNCTION("LET(
  gen,$A391, ev,$B391, t,$M391,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392">
      <c r="A392" s="5" t="s">
        <v>295</v>
      </c>
      <c r="B392" s="6" t="s">
        <v>49</v>
      </c>
      <c r="C392" s="6">
        <v>18.0</v>
      </c>
      <c r="D392" s="6">
        <v>3.0</v>
      </c>
      <c r="E392" s="7" t="s">
        <v>332</v>
      </c>
      <c r="F392" s="8">
        <f>IFERROR(__xludf.DUMMYFUNCTION("IF(
  REGEXMATCH(E392, "":""),
  60*VALUE(INDEX(SPLIT(E392, "":""),1,1)) + VALUE(INDEX(SPLIT(E392, "":""),1,2)),
  VALUE(E392)
)"),53.52)</f>
        <v>53.52</v>
      </c>
      <c r="G392" s="8">
        <f>average(F388-F390,F389-F391)</f>
        <v>0.925</v>
      </c>
      <c r="H392" s="8">
        <v>0.9250000000000007</v>
      </c>
      <c r="I392" s="6">
        <f>C387</f>
        <v>16</v>
      </c>
      <c r="J392" s="6">
        <f>C404</f>
        <v>24</v>
      </c>
      <c r="K392" s="6">
        <f t="array" ref="K392">INDEX('Podium Target Times'!$C:$C, MATCH(A392&amp;B392, 'Podium Target Times'!$A:$A&amp;'Podium Target Times'!$B:$B, 0))
</f>
        <v>52.91</v>
      </c>
      <c r="L392" s="8">
        <f>L393+G393</f>
        <v>54.67166667</v>
      </c>
      <c r="M392" s="6" t="str">
        <f t="shared" si="1"/>
        <v>54.67</v>
      </c>
      <c r="N392" s="9">
        <f>IFERROR(__xludf.DUMMYFUNCTION("LET(
  gen,$A392, ev,$B392, t,$M392,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393">
      <c r="A393" s="10" t="s">
        <v>295</v>
      </c>
      <c r="B393" s="11" t="s">
        <v>49</v>
      </c>
      <c r="C393" s="11">
        <v>19.0</v>
      </c>
      <c r="D393" s="11">
        <v>1.0</v>
      </c>
      <c r="E393" s="12" t="s">
        <v>333</v>
      </c>
      <c r="F393" s="13">
        <f>IFERROR(__xludf.DUMMYFUNCTION("IF(
  REGEXMATCH(E393, "":""),
  60*VALUE(INDEX(SPLIT(E393, "":""),1,1)) + VALUE(INDEX(SPLIT(E393, "":""),1,2)),
  VALUE(E393)
)"),52.22)</f>
        <v>52.22</v>
      </c>
      <c r="G393" s="13">
        <f>average(F390-F393,F391-F394,F392-F395)</f>
        <v>0.6166666667</v>
      </c>
      <c r="H393" s="13">
        <v>0.6166666666666695</v>
      </c>
      <c r="I393" s="11">
        <f>C387</f>
        <v>16</v>
      </c>
      <c r="J393" s="11">
        <f>C404</f>
        <v>24</v>
      </c>
      <c r="K393" s="11">
        <f t="array" ref="K393">INDEX('Podium Target Times'!$C:$C, MATCH(A393&amp;B393, 'Podium Target Times'!$A:$A&amp;'Podium Target Times'!$B:$B, 0))
</f>
        <v>52.91</v>
      </c>
      <c r="L393" s="13">
        <f>L396+G396</f>
        <v>54.055</v>
      </c>
      <c r="M393" s="11" t="str">
        <f t="shared" si="1"/>
        <v>54.06</v>
      </c>
      <c r="N393" s="14">
        <f>IFERROR(__xludf.DUMMYFUNCTION("LET(
  gen,$A393, ev,$B393, t,$M393,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)"),765.0)</f>
        <v>765</v>
      </c>
    </row>
    <row r="394">
      <c r="A394" s="5" t="s">
        <v>295</v>
      </c>
      <c r="B394" s="6" t="s">
        <v>49</v>
      </c>
      <c r="C394" s="6">
        <v>19.0</v>
      </c>
      <c r="D394" s="6">
        <v>2.0</v>
      </c>
      <c r="E394" s="7" t="s">
        <v>334</v>
      </c>
      <c r="F394" s="8">
        <f>IFERROR(__xludf.DUMMYFUNCTION("IF(
  REGEXMATCH(E394, "":""),
  60*VALUE(INDEX(SPLIT(E394, "":""),1,1)) + VALUE(INDEX(SPLIT(E394, "":""),1,2)),
  VALUE(E394)
)"),52.76)</f>
        <v>52.76</v>
      </c>
      <c r="G394" s="8">
        <f>average(F390-F393,F391-F394,F392-F395)</f>
        <v>0.6166666667</v>
      </c>
      <c r="H394" s="8">
        <v>0.6166666666666695</v>
      </c>
      <c r="I394" s="6">
        <f>C387</f>
        <v>16</v>
      </c>
      <c r="J394" s="6">
        <f>C404</f>
        <v>24</v>
      </c>
      <c r="K394" s="6">
        <f t="array" ref="K394">INDEX('Podium Target Times'!$C:$C, MATCH(A394&amp;B394, 'Podium Target Times'!$A:$A&amp;'Podium Target Times'!$B:$B, 0))
</f>
        <v>52.91</v>
      </c>
      <c r="L394" s="8">
        <f>L396+G396</f>
        <v>54.055</v>
      </c>
      <c r="M394" s="6" t="str">
        <f t="shared" si="1"/>
        <v>54.06</v>
      </c>
      <c r="N394" s="9">
        <f>IFERROR(__xludf.DUMMYFUNCTION("LET(
  gen,$A394, ev,$B394, t,$M394,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)"),765.0)</f>
        <v>765</v>
      </c>
    </row>
    <row r="395">
      <c r="A395" s="10" t="s">
        <v>295</v>
      </c>
      <c r="B395" s="11" t="s">
        <v>49</v>
      </c>
      <c r="C395" s="11">
        <v>19.0</v>
      </c>
      <c r="D395" s="11">
        <v>3.0</v>
      </c>
      <c r="E395" s="12" t="s">
        <v>335</v>
      </c>
      <c r="F395" s="13">
        <f>IFERROR(__xludf.DUMMYFUNCTION("IF(
  REGEXMATCH(E395, "":""),
  60*VALUE(INDEX(SPLIT(E395, "":""),1,1)) + VALUE(INDEX(SPLIT(E395, "":""),1,2)),
  VALUE(E395)
)"),52.9)</f>
        <v>52.9</v>
      </c>
      <c r="G395" s="13">
        <f>average(F390-F393,F391-F394,F392-F395)</f>
        <v>0.6166666667</v>
      </c>
      <c r="H395" s="13">
        <v>0.6166666666666695</v>
      </c>
      <c r="I395" s="11">
        <f>C387</f>
        <v>16</v>
      </c>
      <c r="J395" s="11">
        <f>C404</f>
        <v>24</v>
      </c>
      <c r="K395" s="11">
        <f t="array" ref="K395">INDEX('Podium Target Times'!$C:$C, MATCH(A395&amp;B395, 'Podium Target Times'!$A:$A&amp;'Podium Target Times'!$B:$B, 0))
</f>
        <v>52.91</v>
      </c>
      <c r="L395" s="13">
        <f>L396+G396</f>
        <v>54.055</v>
      </c>
      <c r="M395" s="11" t="str">
        <f t="shared" si="1"/>
        <v>54.06</v>
      </c>
      <c r="N395" s="14">
        <f>IFERROR(__xludf.DUMMYFUNCTION("LET(
  gen,$A395, ev,$B395, t,$M395,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)"),765.0)</f>
        <v>765</v>
      </c>
    </row>
    <row r="396">
      <c r="A396" s="5" t="s">
        <v>295</v>
      </c>
      <c r="B396" s="6" t="s">
        <v>49</v>
      </c>
      <c r="C396" s="6">
        <v>20.0</v>
      </c>
      <c r="D396" s="6">
        <v>1.0</v>
      </c>
      <c r="E396" s="7" t="s">
        <v>336</v>
      </c>
      <c r="F396" s="8">
        <f>IFERROR(__xludf.DUMMYFUNCTION("IF(
  REGEXMATCH(E396, "":""),
  60*VALUE(INDEX(SPLIT(E396, "":""),1,1)) + VALUE(INDEX(SPLIT(E396, "":""),1,2)),
  VALUE(E396)
)"),51.77)</f>
        <v>51.77</v>
      </c>
      <c r="G396" s="8">
        <f>average(F393-F396,F394-F397,F395-F398)</f>
        <v>0.45</v>
      </c>
      <c r="H396" s="8">
        <v>0.44999999999999574</v>
      </c>
      <c r="I396" s="6">
        <f>C387</f>
        <v>16</v>
      </c>
      <c r="J396" s="6">
        <f>C404</f>
        <v>24</v>
      </c>
      <c r="K396" s="6">
        <f t="array" ref="K396">INDEX('Podium Target Times'!$C:$C, MATCH(A396&amp;B396, 'Podium Target Times'!$A:$A&amp;'Podium Target Times'!$B:$B, 0))
</f>
        <v>52.91</v>
      </c>
      <c r="L396" s="8">
        <f>L399+G399</f>
        <v>53.605</v>
      </c>
      <c r="M396" s="6" t="str">
        <f t="shared" si="1"/>
        <v>53.61</v>
      </c>
      <c r="N396" s="9">
        <f>IFERROR(__xludf.DUMMYFUNCTION("LET(
  gen,$A396, ev,$B396, t,$M396,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397">
      <c r="A397" s="10" t="s">
        <v>295</v>
      </c>
      <c r="B397" s="11" t="s">
        <v>49</v>
      </c>
      <c r="C397" s="11">
        <v>20.0</v>
      </c>
      <c r="D397" s="11">
        <v>2.0</v>
      </c>
      <c r="E397" s="12" t="s">
        <v>337</v>
      </c>
      <c r="F397" s="13">
        <f>IFERROR(__xludf.DUMMYFUNCTION("IF(
  REGEXMATCH(E397, "":""),
  60*VALUE(INDEX(SPLIT(E397, "":""),1,1)) + VALUE(INDEX(SPLIT(E397, "":""),1,2)),
  VALUE(E397)
)"),52.31)</f>
        <v>52.31</v>
      </c>
      <c r="G397" s="13">
        <f>average(F393-F396,F394-F397,F395-F398)</f>
        <v>0.45</v>
      </c>
      <c r="H397" s="13">
        <v>0.44999999999999574</v>
      </c>
      <c r="I397" s="11">
        <f>C387</f>
        <v>16</v>
      </c>
      <c r="J397" s="11">
        <f>C404</f>
        <v>24</v>
      </c>
      <c r="K397" s="11">
        <f t="array" ref="K397">INDEX('Podium Target Times'!$C:$C, MATCH(A397&amp;B397, 'Podium Target Times'!$A:$A&amp;'Podium Target Times'!$B:$B, 0))
</f>
        <v>52.91</v>
      </c>
      <c r="L397" s="13">
        <f>L399+G399</f>
        <v>53.605</v>
      </c>
      <c r="M397" s="11" t="str">
        <f t="shared" si="1"/>
        <v>53.61</v>
      </c>
      <c r="N397" s="14">
        <f>IFERROR(__xludf.DUMMYFUNCTION("LET(
  gen,$A397, ev,$B397, t,$M397,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398">
      <c r="A398" s="5" t="s">
        <v>295</v>
      </c>
      <c r="B398" s="6" t="s">
        <v>49</v>
      </c>
      <c r="C398" s="6">
        <v>20.0</v>
      </c>
      <c r="D398" s="6">
        <v>3.0</v>
      </c>
      <c r="E398" s="7" t="s">
        <v>338</v>
      </c>
      <c r="F398" s="8">
        <f>IFERROR(__xludf.DUMMYFUNCTION("IF(
  REGEXMATCH(E398, "":""),
  60*VALUE(INDEX(SPLIT(E398, "":""),1,1)) + VALUE(INDEX(SPLIT(E398, "":""),1,2)),
  VALUE(E398)
)"),52.45)</f>
        <v>52.45</v>
      </c>
      <c r="G398" s="8">
        <f>average(F393-F396,F394-F397,F395-F398)</f>
        <v>0.45</v>
      </c>
      <c r="H398" s="8">
        <v>0.44999999999999574</v>
      </c>
      <c r="I398" s="6">
        <f>C387</f>
        <v>16</v>
      </c>
      <c r="J398" s="6">
        <f>C404</f>
        <v>24</v>
      </c>
      <c r="K398" s="6">
        <f t="array" ref="K398">INDEX('Podium Target Times'!$C:$C, MATCH(A398&amp;B398, 'Podium Target Times'!$A:$A&amp;'Podium Target Times'!$B:$B, 0))
</f>
        <v>52.91</v>
      </c>
      <c r="L398" s="8">
        <f>L399+G399</f>
        <v>53.605</v>
      </c>
      <c r="M398" s="6" t="str">
        <f t="shared" si="1"/>
        <v>53.61</v>
      </c>
      <c r="N398" s="9">
        <f>IFERROR(__xludf.DUMMYFUNCTION("LET(
  gen,$A398, ev,$B398, t,$M398,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399">
      <c r="A399" s="10" t="s">
        <v>295</v>
      </c>
      <c r="B399" s="11" t="s">
        <v>49</v>
      </c>
      <c r="C399" s="11">
        <v>21.0</v>
      </c>
      <c r="D399" s="11">
        <v>2.0</v>
      </c>
      <c r="E399" s="12" t="s">
        <v>339</v>
      </c>
      <c r="F399" s="13">
        <f>IFERROR(__xludf.DUMMYFUNCTION("IF(
  REGEXMATCH(E399, "":""),
  60*VALUE(INDEX(SPLIT(E399, "":""),1,1)) + VALUE(INDEX(SPLIT(E399, "":""),1,2)),
  VALUE(E399)
)"),51.99)</f>
        <v>51.99</v>
      </c>
      <c r="G399" s="13">
        <f>average(F397-F399,F398-F400)</f>
        <v>0.32</v>
      </c>
      <c r="H399" s="13">
        <v>0.3200000000000003</v>
      </c>
      <c r="I399" s="11">
        <f>C387</f>
        <v>16</v>
      </c>
      <c r="J399" s="11">
        <f>C404</f>
        <v>24</v>
      </c>
      <c r="K399" s="11">
        <f t="array" ref="K399">INDEX('Podium Target Times'!$C:$C, MATCH(A399&amp;B399, 'Podium Target Times'!$A:$A&amp;'Podium Target Times'!$B:$B, 0))
</f>
        <v>52.91</v>
      </c>
      <c r="L399" s="13">
        <f>L401+G401</f>
        <v>53.285</v>
      </c>
      <c r="M399" s="11" t="str">
        <f t="shared" si="1"/>
        <v>53.29</v>
      </c>
      <c r="N399" s="14">
        <f>IFERROR(__xludf.DUMMYFUNCTION("LET(
  gen,$A399, ev,$B399, t,$M399,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)"),799.0)</f>
        <v>799</v>
      </c>
    </row>
    <row r="400">
      <c r="A400" s="5" t="s">
        <v>295</v>
      </c>
      <c r="B400" s="6" t="s">
        <v>49</v>
      </c>
      <c r="C400" s="6">
        <v>21.0</v>
      </c>
      <c r="D400" s="6">
        <v>3.0</v>
      </c>
      <c r="E400" s="7" t="s">
        <v>340</v>
      </c>
      <c r="F400" s="8">
        <f>IFERROR(__xludf.DUMMYFUNCTION("IF(
  REGEXMATCH(E400, "":""),
  60*VALUE(INDEX(SPLIT(E400, "":""),1,1)) + VALUE(INDEX(SPLIT(E400, "":""),1,2)),
  VALUE(E400)
)"),52.13)</f>
        <v>52.13</v>
      </c>
      <c r="G400" s="8">
        <f>average(F397-F399,F398-F400)</f>
        <v>0.32</v>
      </c>
      <c r="H400" s="8">
        <v>0.3200000000000003</v>
      </c>
      <c r="I400" s="6">
        <f>C387</f>
        <v>16</v>
      </c>
      <c r="J400" s="6">
        <f>C404</f>
        <v>24</v>
      </c>
      <c r="K400" s="6">
        <f t="array" ref="K400">INDEX('Podium Target Times'!$C:$C, MATCH(A400&amp;B400, 'Podium Target Times'!$A:$A&amp;'Podium Target Times'!$B:$B, 0))
</f>
        <v>52.91</v>
      </c>
      <c r="L400" s="8">
        <f>L401+G401</f>
        <v>53.285</v>
      </c>
      <c r="M400" s="6" t="str">
        <f t="shared" si="1"/>
        <v>53.29</v>
      </c>
      <c r="N400" s="9">
        <f>IFERROR(__xludf.DUMMYFUNCTION("LET(
  gen,$A400, ev,$B400, t,$M400,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)"),799.0)</f>
        <v>799</v>
      </c>
    </row>
    <row r="401">
      <c r="A401" s="10" t="s">
        <v>295</v>
      </c>
      <c r="B401" s="11" t="s">
        <v>49</v>
      </c>
      <c r="C401" s="11">
        <v>22.0</v>
      </c>
      <c r="D401" s="11">
        <v>2.0</v>
      </c>
      <c r="E401" s="12" t="s">
        <v>336</v>
      </c>
      <c r="F401" s="13">
        <f>IFERROR(__xludf.DUMMYFUNCTION("IF(
  REGEXMATCH(E401, "":""),
  60*VALUE(INDEX(SPLIT(E401, "":""),1,1)) + VALUE(INDEX(SPLIT(E401, "":""),1,2)),
  VALUE(E401)
)"),51.77)</f>
        <v>51.77</v>
      </c>
      <c r="G401" s="13">
        <f>average(F399-F401,F400-F402)</f>
        <v>0.225</v>
      </c>
      <c r="H401" s="13">
        <v>0.22500000000000142</v>
      </c>
      <c r="I401" s="11">
        <f>C387</f>
        <v>16</v>
      </c>
      <c r="J401" s="11">
        <f>C404</f>
        <v>24</v>
      </c>
      <c r="K401" s="11">
        <f t="array" ref="K401">INDEX('Podium Target Times'!$C:$C, MATCH(A401&amp;B401, 'Podium Target Times'!$A:$A&amp;'Podium Target Times'!$B:$B, 0))
</f>
        <v>52.91</v>
      </c>
      <c r="L401" s="13">
        <f>L403+G403</f>
        <v>53.06</v>
      </c>
      <c r="M401" s="11" t="str">
        <f t="shared" si="1"/>
        <v>53.06</v>
      </c>
      <c r="N401" s="14">
        <f>IFERROR(__xludf.DUMMYFUNCTION("LET(
  gen,$A401, ev,$B401, t,$M401,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)"),809.0)</f>
        <v>809</v>
      </c>
    </row>
    <row r="402">
      <c r="A402" s="5" t="s">
        <v>295</v>
      </c>
      <c r="B402" s="6" t="s">
        <v>49</v>
      </c>
      <c r="C402" s="6">
        <v>22.0</v>
      </c>
      <c r="D402" s="6">
        <v>3.0</v>
      </c>
      <c r="E402" s="7" t="s">
        <v>341</v>
      </c>
      <c r="F402" s="8">
        <f>IFERROR(__xludf.DUMMYFUNCTION("IF(
  REGEXMATCH(E402, "":""),
  60*VALUE(INDEX(SPLIT(E402, "":""),1,1)) + VALUE(INDEX(SPLIT(E402, "":""),1,2)),
  VALUE(E402)
)"),51.9)</f>
        <v>51.9</v>
      </c>
      <c r="G402" s="8">
        <f>average(F399-F401,F400-F402)</f>
        <v>0.225</v>
      </c>
      <c r="H402" s="8">
        <v>0.22500000000000142</v>
      </c>
      <c r="I402" s="6">
        <f>C387</f>
        <v>16</v>
      </c>
      <c r="J402" s="6">
        <f>C404</f>
        <v>24</v>
      </c>
      <c r="K402" s="6">
        <f t="array" ref="K402">INDEX('Podium Target Times'!$C:$C, MATCH(A402&amp;B402, 'Podium Target Times'!$A:$A&amp;'Podium Target Times'!$B:$B, 0))
</f>
        <v>52.91</v>
      </c>
      <c r="L402" s="8">
        <f t="shared" ref="L402:L403" si="41">L403+G403</f>
        <v>53.06</v>
      </c>
      <c r="M402" s="6" t="str">
        <f t="shared" si="1"/>
        <v>53.06</v>
      </c>
      <c r="N402" s="9">
        <f>IFERROR(__xludf.DUMMYFUNCTION("LET(
  gen,$A402, ev,$B402, t,$M402,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)"),809.0)</f>
        <v>809</v>
      </c>
    </row>
    <row r="403">
      <c r="A403" s="10" t="s">
        <v>295</v>
      </c>
      <c r="B403" s="11" t="s">
        <v>49</v>
      </c>
      <c r="C403" s="11">
        <v>23.0</v>
      </c>
      <c r="D403" s="11">
        <v>3.0</v>
      </c>
      <c r="E403" s="12" t="s">
        <v>342</v>
      </c>
      <c r="F403" s="13">
        <f>IFERROR(__xludf.DUMMYFUNCTION("IF(
  REGEXMATCH(E403, "":""),
  60*VALUE(INDEX(SPLIT(E403, "":""),1,1)) + VALUE(INDEX(SPLIT(E403, "":""),1,2)),
  VALUE(E403)
)"),51.79)</f>
        <v>51.79</v>
      </c>
      <c r="G403" s="13">
        <f t="shared" ref="G403:G404" si="42">F402-F403</f>
        <v>0.11</v>
      </c>
      <c r="H403" s="13">
        <v>0.10999999999999943</v>
      </c>
      <c r="I403" s="11">
        <f>C387</f>
        <v>16</v>
      </c>
      <c r="J403" s="11">
        <f>C404</f>
        <v>24</v>
      </c>
      <c r="K403" s="11">
        <f t="array" ref="K403">INDEX('Podium Target Times'!$C:$C, MATCH(A403&amp;B403, 'Podium Target Times'!$A:$A&amp;'Podium Target Times'!$B:$B, 0))
</f>
        <v>52.91</v>
      </c>
      <c r="L403" s="13">
        <f t="shared" si="41"/>
        <v>52.95</v>
      </c>
      <c r="M403" s="11" t="str">
        <f t="shared" si="1"/>
        <v>52.95</v>
      </c>
      <c r="N403" s="14">
        <f>IFERROR(__xludf.DUMMYFUNCTION("LET(
  gen,$A403, ev,$B403, t,$M403,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)"),814.0)</f>
        <v>814</v>
      </c>
    </row>
    <row r="404">
      <c r="A404" s="5" t="s">
        <v>295</v>
      </c>
      <c r="B404" s="6" t="s">
        <v>49</v>
      </c>
      <c r="C404" s="6">
        <v>24.0</v>
      </c>
      <c r="D404" s="6">
        <v>3.0</v>
      </c>
      <c r="E404" s="7" t="s">
        <v>336</v>
      </c>
      <c r="F404" s="8">
        <f>IFERROR(__xludf.DUMMYFUNCTION("IF(
  REGEXMATCH(E404, "":""),
  60*VALUE(INDEX(SPLIT(E404, "":""),1,1)) + VALUE(INDEX(SPLIT(E404, "":""),1,2)),
  VALUE(E404)
)"),51.77)</f>
        <v>51.77</v>
      </c>
      <c r="G404" s="8">
        <f t="shared" si="42"/>
        <v>0.02</v>
      </c>
      <c r="H404" s="8">
        <v>0.01999999999999602</v>
      </c>
      <c r="I404" s="6">
        <f>C387</f>
        <v>16</v>
      </c>
      <c r="J404" s="6">
        <f>C404</f>
        <v>24</v>
      </c>
      <c r="K404" s="6">
        <f t="array" ref="K404">INDEX('Podium Target Times'!$C:$C, MATCH(A404&amp;B404, 'Podium Target Times'!$A:$A&amp;'Podium Target Times'!$B:$B, 0))
</f>
        <v>52.91</v>
      </c>
      <c r="L404" s="8">
        <f>G404+L405</f>
        <v>52.93</v>
      </c>
      <c r="M404" s="6" t="str">
        <f t="shared" si="1"/>
        <v>52.93</v>
      </c>
      <c r="N404" s="9">
        <f>IFERROR(__xludf.DUMMYFUNCTION("LET(
  gen,$A404, ev,$B404, t,$M404,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)"),815.0)</f>
        <v>815</v>
      </c>
    </row>
    <row r="405">
      <c r="A405" s="10" t="s">
        <v>295</v>
      </c>
      <c r="B405" s="11" t="s">
        <v>49</v>
      </c>
      <c r="C405" s="11">
        <v>25.0</v>
      </c>
      <c r="D405" s="11"/>
      <c r="E405" s="12"/>
      <c r="F405" s="13">
        <f>IFERROR(__xludf.DUMMYFUNCTION("IF(
  REGEXMATCH(E405, "":""),
  60*VALUE(INDEX(SPLIT(E405, "":""),1,1)) + VALUE(INDEX(SPLIT(E405, "":""),1,2)),
  VALUE(E405)
)"),0.0)</f>
        <v>0</v>
      </c>
      <c r="G405" s="13"/>
      <c r="H405" s="13"/>
      <c r="I405" s="11">
        <f>C387</f>
        <v>16</v>
      </c>
      <c r="J405" s="11">
        <f>C404</f>
        <v>24</v>
      </c>
      <c r="K405" s="11">
        <f t="array" ref="K405">INDEX('Podium Target Times'!$C:$C, MATCH(A405&amp;B405, 'Podium Target Times'!$A:$A&amp;'Podium Target Times'!$B:$B, 0))
</f>
        <v>52.91</v>
      </c>
      <c r="L405" s="11">
        <f>K405</f>
        <v>52.91</v>
      </c>
      <c r="M405" s="11" t="str">
        <f t="shared" si="1"/>
        <v>52.91</v>
      </c>
      <c r="N405" s="14">
        <f>IFERROR(__xludf.DUMMYFUNCTION("LET(
  gen,$A405, ev,$B405, t,$M405,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)"),816.0)</f>
        <v>816</v>
      </c>
    </row>
    <row r="406">
      <c r="A406" s="5" t="s">
        <v>295</v>
      </c>
      <c r="B406" s="6" t="s">
        <v>65</v>
      </c>
      <c r="C406" s="6">
        <v>15.0</v>
      </c>
      <c r="D406" s="6">
        <v>1.0</v>
      </c>
      <c r="E406" s="7" t="s">
        <v>343</v>
      </c>
      <c r="F406" s="8">
        <f>IFERROR(__xludf.DUMMYFUNCTION("IF(
  REGEXMATCH(E406, "":""),
  60*VALUE(INDEX(SPLIT(E406, "":""),1,1)) + VALUE(INDEX(SPLIT(E406, "":""),1,2)),
  VALUE(E406)
)"),53.28)</f>
        <v>53.28</v>
      </c>
      <c r="G406" s="8">
        <v>0.0</v>
      </c>
      <c r="H406" s="8">
        <v>0.0</v>
      </c>
      <c r="I406" s="6">
        <f>C406</f>
        <v>15</v>
      </c>
      <c r="J406" s="6">
        <f>C423</f>
        <v>23</v>
      </c>
      <c r="K406" s="6">
        <f t="array" ref="K406">INDEX('Podium Target Times'!$C:$C, MATCH(A406&amp;B406, 'Podium Target Times'!$A:$A&amp;'Podium Target Times'!$B:$B, 0))
</f>
        <v>49.69</v>
      </c>
      <c r="L406" s="8">
        <f>L407+G407</f>
        <v>56.265</v>
      </c>
      <c r="M406" s="6" t="str">
        <f t="shared" si="1"/>
        <v>56.27</v>
      </c>
      <c r="N406" s="9">
        <f>IFERROR(__xludf.DUMMYFUNCTION("LET(
  gen,$A406, ev,$B406, t,$M406,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)"),560.0)</f>
        <v>560</v>
      </c>
    </row>
    <row r="407">
      <c r="A407" s="10" t="s">
        <v>295</v>
      </c>
      <c r="B407" s="11" t="s">
        <v>65</v>
      </c>
      <c r="C407" s="11">
        <v>16.0</v>
      </c>
      <c r="D407" s="11">
        <v>1.0</v>
      </c>
      <c r="E407" s="12" t="s">
        <v>344</v>
      </c>
      <c r="F407" s="13">
        <f>IFERROR(__xludf.DUMMYFUNCTION("IF(
  REGEXMATCH(E407, "":""),
  60*VALUE(INDEX(SPLIT(E407, "":""),1,1)) + VALUE(INDEX(SPLIT(E407, "":""),1,2)),
  VALUE(E407)
)"),51.48)</f>
        <v>51.48</v>
      </c>
      <c r="G407" s="13">
        <f>F406-F407</f>
        <v>1.8</v>
      </c>
      <c r="H407" s="13">
        <v>1.8000000000000043</v>
      </c>
      <c r="I407" s="11">
        <f>C406</f>
        <v>15</v>
      </c>
      <c r="J407" s="11">
        <f>C423</f>
        <v>23</v>
      </c>
      <c r="K407" s="11">
        <f t="array" ref="K407">INDEX('Podium Target Times'!$C:$C, MATCH(A407&amp;B407, 'Podium Target Times'!$A:$A&amp;'Podium Target Times'!$B:$B, 0))
</f>
        <v>49.69</v>
      </c>
      <c r="L407" s="13">
        <f>L409+G409</f>
        <v>54.465</v>
      </c>
      <c r="M407" s="11" t="str">
        <f t="shared" si="1"/>
        <v>54.47</v>
      </c>
      <c r="N407" s="14">
        <f>IFERROR(__xludf.DUMMYFUNCTION("LET(
  gen,$A407, ev,$B407, t,$M407,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)"),618.0)</f>
        <v>618</v>
      </c>
    </row>
    <row r="408">
      <c r="A408" s="5" t="s">
        <v>295</v>
      </c>
      <c r="B408" s="6" t="s">
        <v>65</v>
      </c>
      <c r="C408" s="6">
        <v>16.0</v>
      </c>
      <c r="D408" s="6">
        <v>2.0</v>
      </c>
      <c r="E408" s="7" t="s">
        <v>345</v>
      </c>
      <c r="F408" s="8">
        <f>IFERROR(__xludf.DUMMYFUNCTION("IF(
  REGEXMATCH(E408, "":""),
  60*VALUE(INDEX(SPLIT(E408, "":""),1,1)) + VALUE(INDEX(SPLIT(E408, "":""),1,2)),
  VALUE(E408)
)"),52.43)</f>
        <v>52.43</v>
      </c>
      <c r="G408" s="8">
        <f>F406-F407</f>
        <v>1.8</v>
      </c>
      <c r="H408" s="8">
        <v>1.8000000000000043</v>
      </c>
      <c r="I408" s="6">
        <f>C406</f>
        <v>15</v>
      </c>
      <c r="J408" s="6">
        <f>C423</f>
        <v>23</v>
      </c>
      <c r="K408" s="6">
        <f t="array" ref="K408">INDEX('Podium Target Times'!$C:$C, MATCH(A408&amp;B408, 'Podium Target Times'!$A:$A&amp;'Podium Target Times'!$B:$B, 0))
</f>
        <v>49.69</v>
      </c>
      <c r="L408" s="8">
        <f>L409+G409</f>
        <v>54.465</v>
      </c>
      <c r="M408" s="6" t="str">
        <f t="shared" si="1"/>
        <v>54.47</v>
      </c>
      <c r="N408" s="9">
        <f>IFERROR(__xludf.DUMMYFUNCTION("LET(
  gen,$A408, ev,$B408, t,$M408,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)"),618.0)</f>
        <v>618</v>
      </c>
    </row>
    <row r="409">
      <c r="A409" s="10" t="s">
        <v>295</v>
      </c>
      <c r="B409" s="11" t="s">
        <v>65</v>
      </c>
      <c r="C409" s="11">
        <v>17.0</v>
      </c>
      <c r="D409" s="11">
        <v>1.0</v>
      </c>
      <c r="E409" s="12" t="s">
        <v>346</v>
      </c>
      <c r="F409" s="13">
        <f>IFERROR(__xludf.DUMMYFUNCTION("IF(
  REGEXMATCH(E409, "":""),
  60*VALUE(INDEX(SPLIT(E409, "":""),1,1)) + VALUE(INDEX(SPLIT(E409, "":""),1,2)),
  VALUE(E409)
)"),50.09)</f>
        <v>50.09</v>
      </c>
      <c r="G409" s="13">
        <f>average(F407-F409,F408-F410)</f>
        <v>1.4</v>
      </c>
      <c r="H409" s="13">
        <v>1.399999999999995</v>
      </c>
      <c r="I409" s="11">
        <f>C406</f>
        <v>15</v>
      </c>
      <c r="J409" s="11">
        <f>C423</f>
        <v>23</v>
      </c>
      <c r="K409" s="11">
        <f t="array" ref="K409">INDEX('Podium Target Times'!$C:$C, MATCH(A409&amp;B409, 'Podium Target Times'!$A:$A&amp;'Podium Target Times'!$B:$B, 0))
</f>
        <v>49.69</v>
      </c>
      <c r="L409" s="13">
        <f>L412+G412</f>
        <v>53.065</v>
      </c>
      <c r="M409" s="11" t="str">
        <f t="shared" si="1"/>
        <v>53.07</v>
      </c>
      <c r="N409" s="14">
        <f>IFERROR(__xludf.DUMMYFUNCTION("LET(
  gen,$A409, ev,$B409, t,$M409,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410">
      <c r="A410" s="5" t="s">
        <v>295</v>
      </c>
      <c r="B410" s="6" t="s">
        <v>65</v>
      </c>
      <c r="C410" s="6">
        <v>17.0</v>
      </c>
      <c r="D410" s="6">
        <v>2.0</v>
      </c>
      <c r="E410" s="7" t="s">
        <v>347</v>
      </c>
      <c r="F410" s="8">
        <f>IFERROR(__xludf.DUMMYFUNCTION("IF(
  REGEXMATCH(E410, "":""),
  60*VALUE(INDEX(SPLIT(E410, "":""),1,1)) + VALUE(INDEX(SPLIT(E410, "":""),1,2)),
  VALUE(E410)
)"),51.02)</f>
        <v>51.02</v>
      </c>
      <c r="G410" s="8">
        <f>average(F407-F409,F408-F410)</f>
        <v>1.4</v>
      </c>
      <c r="H410" s="8">
        <v>1.399999999999995</v>
      </c>
      <c r="I410" s="6">
        <f>C406</f>
        <v>15</v>
      </c>
      <c r="J410" s="6">
        <f>C423</f>
        <v>23</v>
      </c>
      <c r="K410" s="6">
        <f t="array" ref="K410">INDEX('Podium Target Times'!$C:$C, MATCH(A410&amp;B410, 'Podium Target Times'!$A:$A&amp;'Podium Target Times'!$B:$B, 0))
</f>
        <v>49.69</v>
      </c>
      <c r="L410" s="8">
        <f>L412+G412</f>
        <v>53.065</v>
      </c>
      <c r="M410" s="6" t="str">
        <f t="shared" si="1"/>
        <v>53.07</v>
      </c>
      <c r="N410" s="9">
        <f>IFERROR(__xludf.DUMMYFUNCTION("LET(
  gen,$A410, ev,$B410, t,$M410,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411">
      <c r="A411" s="10" t="s">
        <v>295</v>
      </c>
      <c r="B411" s="11" t="s">
        <v>65</v>
      </c>
      <c r="C411" s="11">
        <v>17.0</v>
      </c>
      <c r="D411" s="11">
        <v>3.0</v>
      </c>
      <c r="E411" s="12" t="s">
        <v>348</v>
      </c>
      <c r="F411" s="13">
        <f>IFERROR(__xludf.DUMMYFUNCTION("IF(
  REGEXMATCH(E411, "":""),
  60*VALUE(INDEX(SPLIT(E411, "":""),1,1)) + VALUE(INDEX(SPLIT(E411, "":""),1,2)),
  VALUE(E411)
)"),51.44)</f>
        <v>51.44</v>
      </c>
      <c r="G411" s="13">
        <f>average(F407-F409,F408-F410)</f>
        <v>1.4</v>
      </c>
      <c r="H411" s="13">
        <v>1.399999999999995</v>
      </c>
      <c r="I411" s="11">
        <f>C406</f>
        <v>15</v>
      </c>
      <c r="J411" s="11">
        <f>C423</f>
        <v>23</v>
      </c>
      <c r="K411" s="11">
        <f t="array" ref="K411">INDEX('Podium Target Times'!$C:$C, MATCH(A411&amp;B411, 'Podium Target Times'!$A:$A&amp;'Podium Target Times'!$B:$B, 0))
</f>
        <v>49.69</v>
      </c>
      <c r="L411" s="13">
        <f>L412+G412</f>
        <v>53.065</v>
      </c>
      <c r="M411" s="11" t="str">
        <f t="shared" si="1"/>
        <v>53.07</v>
      </c>
      <c r="N411" s="14">
        <f>IFERROR(__xludf.DUMMYFUNCTION("LET(
  gen,$A411, ev,$B411, t,$M411,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412">
      <c r="A412" s="5" t="s">
        <v>295</v>
      </c>
      <c r="B412" s="6" t="s">
        <v>65</v>
      </c>
      <c r="C412" s="6">
        <v>18.0</v>
      </c>
      <c r="D412" s="6">
        <v>1.0</v>
      </c>
      <c r="E412" s="7" t="s">
        <v>349</v>
      </c>
      <c r="F412" s="8">
        <f>IFERROR(__xludf.DUMMYFUNCTION("IF(
  REGEXMATCH(E412, "":""),
  60*VALUE(INDEX(SPLIT(E412, "":""),1,1)) + VALUE(INDEX(SPLIT(E412, "":""),1,2)),
  VALUE(E412)
)"),49.07)</f>
        <v>49.07</v>
      </c>
      <c r="G412" s="8">
        <f>average(F409-F412,F410-F413,F411-F414)</f>
        <v>1.036666667</v>
      </c>
      <c r="H412" s="8">
        <v>1.0366666666666688</v>
      </c>
      <c r="I412" s="6">
        <f>C406</f>
        <v>15</v>
      </c>
      <c r="J412" s="6">
        <f>C423</f>
        <v>23</v>
      </c>
      <c r="K412" s="6">
        <f t="array" ref="K412">INDEX('Podium Target Times'!$C:$C, MATCH(A412&amp;B412, 'Podium Target Times'!$A:$A&amp;'Podium Target Times'!$B:$B, 0))
</f>
        <v>49.69</v>
      </c>
      <c r="L412" s="8">
        <f>L415+G415</f>
        <v>52.02833333</v>
      </c>
      <c r="M412" s="6" t="str">
        <f t="shared" si="1"/>
        <v>52.03</v>
      </c>
      <c r="N412" s="9">
        <f>IFERROR(__xludf.DUMMYFUNCTION("LET(
  gen,$A412, ev,$B412, t,$M412,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)"),709.0)</f>
        <v>709</v>
      </c>
    </row>
    <row r="413">
      <c r="A413" s="10" t="s">
        <v>295</v>
      </c>
      <c r="B413" s="11" t="s">
        <v>65</v>
      </c>
      <c r="C413" s="11">
        <v>18.0</v>
      </c>
      <c r="D413" s="11">
        <v>2.0</v>
      </c>
      <c r="E413" s="12" t="s">
        <v>350</v>
      </c>
      <c r="F413" s="13">
        <f>IFERROR(__xludf.DUMMYFUNCTION("IF(
  REGEXMATCH(E413, "":""),
  60*VALUE(INDEX(SPLIT(E413, "":""),1,1)) + VALUE(INDEX(SPLIT(E413, "":""),1,2)),
  VALUE(E413)
)"),49.98)</f>
        <v>49.98</v>
      </c>
      <c r="G413" s="13">
        <f>average(F409-F412,F410-F413,F411-F414)</f>
        <v>1.036666667</v>
      </c>
      <c r="H413" s="13">
        <v>1.0366666666666688</v>
      </c>
      <c r="I413" s="11">
        <f>C406</f>
        <v>15</v>
      </c>
      <c r="J413" s="11">
        <f>C423</f>
        <v>23</v>
      </c>
      <c r="K413" s="11">
        <f t="array" ref="K413">INDEX('Podium Target Times'!$C:$C, MATCH(A413&amp;B413, 'Podium Target Times'!$A:$A&amp;'Podium Target Times'!$B:$B, 0))
</f>
        <v>49.69</v>
      </c>
      <c r="L413" s="13">
        <f>L415+G415</f>
        <v>52.02833333</v>
      </c>
      <c r="M413" s="11" t="str">
        <f t="shared" si="1"/>
        <v>52.03</v>
      </c>
      <c r="N413" s="14">
        <f>IFERROR(__xludf.DUMMYFUNCTION("LET(
  gen,$A413, ev,$B413, t,$M413,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)"),709.0)</f>
        <v>709</v>
      </c>
    </row>
    <row r="414">
      <c r="A414" s="5" t="s">
        <v>295</v>
      </c>
      <c r="B414" s="6" t="s">
        <v>65</v>
      </c>
      <c r="C414" s="6">
        <v>18.0</v>
      </c>
      <c r="D414" s="6">
        <v>3.0</v>
      </c>
      <c r="E414" s="7" t="s">
        <v>351</v>
      </c>
      <c r="F414" s="8">
        <f>IFERROR(__xludf.DUMMYFUNCTION("IF(
  REGEXMATCH(E414, "":""),
  60*VALUE(INDEX(SPLIT(E414, "":""),1,1)) + VALUE(INDEX(SPLIT(E414, "":""),1,2)),
  VALUE(E414)
)"),50.39)</f>
        <v>50.39</v>
      </c>
      <c r="G414" s="8">
        <f>average(F409-F412,F410-F413,F411-F414)</f>
        <v>1.036666667</v>
      </c>
      <c r="H414" s="8">
        <v>1.0366666666666688</v>
      </c>
      <c r="I414" s="6">
        <f>C406</f>
        <v>15</v>
      </c>
      <c r="J414" s="6">
        <f>C423</f>
        <v>23</v>
      </c>
      <c r="K414" s="6">
        <f t="array" ref="K414">INDEX('Podium Target Times'!$C:$C, MATCH(A414&amp;B414, 'Podium Target Times'!$A:$A&amp;'Podium Target Times'!$B:$B, 0))
</f>
        <v>49.69</v>
      </c>
      <c r="L414" s="8">
        <f>L415+G415</f>
        <v>52.02833333</v>
      </c>
      <c r="M414" s="6" t="str">
        <f t="shared" si="1"/>
        <v>52.03</v>
      </c>
      <c r="N414" s="9">
        <f>IFERROR(__xludf.DUMMYFUNCTION("LET(
  gen,$A414, ev,$B414, t,$M414,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)"),709.0)</f>
        <v>709</v>
      </c>
    </row>
    <row r="415">
      <c r="A415" s="10" t="s">
        <v>295</v>
      </c>
      <c r="B415" s="11" t="s">
        <v>65</v>
      </c>
      <c r="C415" s="11">
        <v>19.0</v>
      </c>
      <c r="D415" s="11">
        <v>1.0</v>
      </c>
      <c r="E415" s="12" t="s">
        <v>352</v>
      </c>
      <c r="F415" s="13">
        <f>IFERROR(__xludf.DUMMYFUNCTION("IF(
  REGEXMATCH(E415, "":""),
  60*VALUE(INDEX(SPLIT(E415, "":""),1,1)) + VALUE(INDEX(SPLIT(E415, "":""),1,2)),
  VALUE(E415)
)"),48.34)</f>
        <v>48.34</v>
      </c>
      <c r="G415" s="13">
        <f>average(F412-F415,F413-F416,F414-F417)</f>
        <v>0.7433333333</v>
      </c>
      <c r="H415" s="13">
        <v>0.7433333333333323</v>
      </c>
      <c r="I415" s="11">
        <f>C406</f>
        <v>15</v>
      </c>
      <c r="J415" s="11">
        <f>C423</f>
        <v>23</v>
      </c>
      <c r="K415" s="11">
        <f t="array" ref="K415">INDEX('Podium Target Times'!$C:$C, MATCH(A415&amp;B415, 'Podium Target Times'!$A:$A&amp;'Podium Target Times'!$B:$B, 0))
</f>
        <v>49.69</v>
      </c>
      <c r="L415" s="13">
        <f>L418+G418</f>
        <v>51.285</v>
      </c>
      <c r="M415" s="11" t="str">
        <f t="shared" si="1"/>
        <v>51.29</v>
      </c>
      <c r="N415" s="14">
        <f>IFERROR(__xludf.DUMMYFUNCTION("LET(
  gen,$A415, ev,$B415, t,$M415,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416">
      <c r="A416" s="5" t="s">
        <v>295</v>
      </c>
      <c r="B416" s="6" t="s">
        <v>65</v>
      </c>
      <c r="C416" s="6">
        <v>19.0</v>
      </c>
      <c r="D416" s="6">
        <v>2.0</v>
      </c>
      <c r="E416" s="7" t="s">
        <v>353</v>
      </c>
      <c r="F416" s="8">
        <f>IFERROR(__xludf.DUMMYFUNCTION("IF(
  REGEXMATCH(E416, "":""),
  60*VALUE(INDEX(SPLIT(E416, "":""),1,1)) + VALUE(INDEX(SPLIT(E416, "":""),1,2)),
  VALUE(E416)
)"),49.23)</f>
        <v>49.23</v>
      </c>
      <c r="G416" s="8">
        <f>average(F412-F415,F413-F416,F414-F417)</f>
        <v>0.7433333333</v>
      </c>
      <c r="H416" s="8">
        <v>0.7433333333333323</v>
      </c>
      <c r="I416" s="6">
        <f>C406</f>
        <v>15</v>
      </c>
      <c r="J416" s="6">
        <f>C423</f>
        <v>23</v>
      </c>
      <c r="K416" s="6">
        <f t="array" ref="K416">INDEX('Podium Target Times'!$C:$C, MATCH(A416&amp;B416, 'Podium Target Times'!$A:$A&amp;'Podium Target Times'!$B:$B, 0))
</f>
        <v>49.69</v>
      </c>
      <c r="L416" s="8">
        <f>L418+G418</f>
        <v>51.285</v>
      </c>
      <c r="M416" s="6" t="str">
        <f t="shared" si="1"/>
        <v>51.29</v>
      </c>
      <c r="N416" s="9">
        <f>IFERROR(__xludf.DUMMYFUNCTION("LET(
  gen,$A416, ev,$B416, t,$M416,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417">
      <c r="A417" s="10" t="s">
        <v>295</v>
      </c>
      <c r="B417" s="11" t="s">
        <v>65</v>
      </c>
      <c r="C417" s="11">
        <v>19.0</v>
      </c>
      <c r="D417" s="11">
        <v>3.0</v>
      </c>
      <c r="E417" s="12" t="s">
        <v>354</v>
      </c>
      <c r="F417" s="13">
        <f>IFERROR(__xludf.DUMMYFUNCTION("IF(
  REGEXMATCH(E417, "":""),
  60*VALUE(INDEX(SPLIT(E417, "":""),1,1)) + VALUE(INDEX(SPLIT(E417, "":""),1,2)),
  VALUE(E417)
)"),49.64)</f>
        <v>49.64</v>
      </c>
      <c r="G417" s="13">
        <f>average(F412-F415,F413-F416,F414-F417)</f>
        <v>0.7433333333</v>
      </c>
      <c r="H417" s="13">
        <v>0.7433333333333323</v>
      </c>
      <c r="I417" s="11">
        <f>C406</f>
        <v>15</v>
      </c>
      <c r="J417" s="11">
        <f>C423</f>
        <v>23</v>
      </c>
      <c r="K417" s="11">
        <f t="array" ref="K417">INDEX('Podium Target Times'!$C:$C, MATCH(A417&amp;B417, 'Podium Target Times'!$A:$A&amp;'Podium Target Times'!$B:$B, 0))
</f>
        <v>49.69</v>
      </c>
      <c r="L417" s="13">
        <f>L418+G418</f>
        <v>51.285</v>
      </c>
      <c r="M417" s="11" t="str">
        <f t="shared" si="1"/>
        <v>51.29</v>
      </c>
      <c r="N417" s="14">
        <f>IFERROR(__xludf.DUMMYFUNCTION("LET(
  gen,$A417, ev,$B417, t,$M417,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)"),740.0)</f>
        <v>740</v>
      </c>
    </row>
    <row r="418">
      <c r="A418" s="5" t="s">
        <v>295</v>
      </c>
      <c r="B418" s="6" t="s">
        <v>65</v>
      </c>
      <c r="C418" s="6">
        <v>20.0</v>
      </c>
      <c r="D418" s="6">
        <v>2.0</v>
      </c>
      <c r="E418" s="7" t="s">
        <v>355</v>
      </c>
      <c r="F418" s="8">
        <f>IFERROR(__xludf.DUMMYFUNCTION("IF(
  REGEXMATCH(E418, "":""),
  60*VALUE(INDEX(SPLIT(E418, "":""),1,1)) + VALUE(INDEX(SPLIT(E418, "":""),1,2)),
  VALUE(E418)
)"),48.72)</f>
        <v>48.72</v>
      </c>
      <c r="G418" s="8">
        <f>average(F416-F418,F417-F419)</f>
        <v>0.515</v>
      </c>
      <c r="H418" s="8">
        <v>0.5150000000000006</v>
      </c>
      <c r="I418" s="6">
        <f>C406</f>
        <v>15</v>
      </c>
      <c r="J418" s="6">
        <f>C423</f>
        <v>23</v>
      </c>
      <c r="K418" s="6">
        <f t="array" ref="K418">INDEX('Podium Target Times'!$C:$C, MATCH(A418&amp;B418, 'Podium Target Times'!$A:$A&amp;'Podium Target Times'!$B:$B, 0))
</f>
        <v>49.69</v>
      </c>
      <c r="L418" s="8">
        <f>L420+G420</f>
        <v>50.77</v>
      </c>
      <c r="M418" s="6" t="str">
        <f t="shared" si="1"/>
        <v>50.77</v>
      </c>
      <c r="N418" s="9">
        <f>IFERROR(__xludf.DUMMYFUNCTION("LET(
  gen,$A418, ev,$B418, t,$M418,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419">
      <c r="A419" s="10" t="s">
        <v>295</v>
      </c>
      <c r="B419" s="11" t="s">
        <v>65</v>
      </c>
      <c r="C419" s="11">
        <v>20.0</v>
      </c>
      <c r="D419" s="11">
        <v>3.0</v>
      </c>
      <c r="E419" s="12" t="s">
        <v>356</v>
      </c>
      <c r="F419" s="13">
        <f>IFERROR(__xludf.DUMMYFUNCTION("IF(
  REGEXMATCH(E419, "":""),
  60*VALUE(INDEX(SPLIT(E419, "":""),1,1)) + VALUE(INDEX(SPLIT(E419, "":""),1,2)),
  VALUE(E419)
)"),49.12)</f>
        <v>49.12</v>
      </c>
      <c r="G419" s="13">
        <f>average(F416-F418,F417-F419)</f>
        <v>0.515</v>
      </c>
      <c r="H419" s="13">
        <v>0.5150000000000006</v>
      </c>
      <c r="I419" s="11">
        <f>C406</f>
        <v>15</v>
      </c>
      <c r="J419" s="11">
        <f>C423</f>
        <v>23</v>
      </c>
      <c r="K419" s="11">
        <f t="array" ref="K419">INDEX('Podium Target Times'!$C:$C, MATCH(A419&amp;B419, 'Podium Target Times'!$A:$A&amp;'Podium Target Times'!$B:$B, 0))
</f>
        <v>49.69</v>
      </c>
      <c r="L419" s="13">
        <f>L420+G420</f>
        <v>50.77</v>
      </c>
      <c r="M419" s="11" t="str">
        <f t="shared" si="1"/>
        <v>50.77</v>
      </c>
      <c r="N419" s="14">
        <f>IFERROR(__xludf.DUMMYFUNCTION("LET(
  gen,$A419, ev,$B419, t,$M419,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420">
      <c r="A420" s="5" t="s">
        <v>295</v>
      </c>
      <c r="B420" s="6" t="s">
        <v>65</v>
      </c>
      <c r="C420" s="6">
        <v>21.0</v>
      </c>
      <c r="D420" s="6">
        <v>2.0</v>
      </c>
      <c r="E420" s="7" t="s">
        <v>352</v>
      </c>
      <c r="F420" s="8">
        <f>IFERROR(__xludf.DUMMYFUNCTION("IF(
  REGEXMATCH(E420, "":""),
  60*VALUE(INDEX(SPLIT(E420, "":""),1,1)) + VALUE(INDEX(SPLIT(E420, "":""),1,2)),
  VALUE(E420)
)"),48.34)</f>
        <v>48.34</v>
      </c>
      <c r="G420" s="8">
        <f>average(F418-F420,F419-F421)</f>
        <v>0.38</v>
      </c>
      <c r="H420" s="8">
        <v>0.37999999999999545</v>
      </c>
      <c r="I420" s="6">
        <f>C406</f>
        <v>15</v>
      </c>
      <c r="J420" s="6">
        <f>C423</f>
        <v>23</v>
      </c>
      <c r="K420" s="6">
        <f t="array" ref="K420">INDEX('Podium Target Times'!$C:$C, MATCH(A420&amp;B420, 'Podium Target Times'!$A:$A&amp;'Podium Target Times'!$B:$B, 0))
</f>
        <v>49.69</v>
      </c>
      <c r="L420" s="8">
        <f>L422+G422</f>
        <v>50.39</v>
      </c>
      <c r="M420" s="6" t="str">
        <f t="shared" si="1"/>
        <v>50.39</v>
      </c>
      <c r="N420" s="9">
        <f>IFERROR(__xludf.DUMMYFUNCTION("LET(
  gen,$A420, ev,$B420, t,$M420,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421">
      <c r="A421" s="10" t="s">
        <v>295</v>
      </c>
      <c r="B421" s="11" t="s">
        <v>65</v>
      </c>
      <c r="C421" s="11">
        <v>21.0</v>
      </c>
      <c r="D421" s="11">
        <v>3.0</v>
      </c>
      <c r="E421" s="12" t="s">
        <v>357</v>
      </c>
      <c r="F421" s="13">
        <f>IFERROR(__xludf.DUMMYFUNCTION("IF(
  REGEXMATCH(E421, "":""),
  60*VALUE(INDEX(SPLIT(E421, "":""),1,1)) + VALUE(INDEX(SPLIT(E421, "":""),1,2)),
  VALUE(E421)
)"),48.74)</f>
        <v>48.74</v>
      </c>
      <c r="G421" s="13">
        <f>average(F418-F420,F419-F421)</f>
        <v>0.38</v>
      </c>
      <c r="H421" s="13">
        <v>0.37999999999999545</v>
      </c>
      <c r="I421" s="11">
        <f>C406</f>
        <v>15</v>
      </c>
      <c r="J421" s="11">
        <f>C423</f>
        <v>23</v>
      </c>
      <c r="K421" s="11">
        <f t="array" ref="K421">INDEX('Podium Target Times'!$C:$C, MATCH(A421&amp;B421, 'Podium Target Times'!$A:$A&amp;'Podium Target Times'!$B:$B, 0))
</f>
        <v>49.69</v>
      </c>
      <c r="L421" s="13">
        <f t="shared" ref="L421:L422" si="43">L422+G422</f>
        <v>50.39</v>
      </c>
      <c r="M421" s="11" t="str">
        <f t="shared" si="1"/>
        <v>50.39</v>
      </c>
      <c r="N421" s="14">
        <f>IFERROR(__xludf.DUMMYFUNCTION("LET(
  gen,$A421, ev,$B421, t,$M421,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422">
      <c r="A422" s="5" t="s">
        <v>295</v>
      </c>
      <c r="B422" s="6" t="s">
        <v>65</v>
      </c>
      <c r="C422" s="6">
        <v>22.0</v>
      </c>
      <c r="D422" s="6">
        <v>3.0</v>
      </c>
      <c r="E422" s="7" t="s">
        <v>358</v>
      </c>
      <c r="F422" s="8">
        <f>IFERROR(__xludf.DUMMYFUNCTION("IF(
  REGEXMATCH(E422, "":""),
  60*VALUE(INDEX(SPLIT(E422, "":""),1,1)) + VALUE(INDEX(SPLIT(E422, "":""),1,2)),
  VALUE(E422)
)"),48.49)</f>
        <v>48.49</v>
      </c>
      <c r="G422" s="8">
        <f t="shared" ref="G422:G423" si="44">F421-F422</f>
        <v>0.25</v>
      </c>
      <c r="H422" s="8">
        <v>0.25</v>
      </c>
      <c r="I422" s="6">
        <f>C406</f>
        <v>15</v>
      </c>
      <c r="J422" s="6">
        <f>C423</f>
        <v>23</v>
      </c>
      <c r="K422" s="6">
        <f t="array" ref="K422">INDEX('Podium Target Times'!$C:$C, MATCH(A422&amp;B422, 'Podium Target Times'!$A:$A&amp;'Podium Target Times'!$B:$B, 0))
</f>
        <v>49.69</v>
      </c>
      <c r="L422" s="8">
        <f t="shared" si="43"/>
        <v>50.14</v>
      </c>
      <c r="M422" s="6" t="str">
        <f t="shared" si="1"/>
        <v>50.14</v>
      </c>
      <c r="N422" s="9">
        <f>IFERROR(__xludf.DUMMYFUNCTION("LET(
  gen,$A422, ev,$B422, t,$M422,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)"),792.0)</f>
        <v>792</v>
      </c>
    </row>
    <row r="423">
      <c r="A423" s="10" t="s">
        <v>295</v>
      </c>
      <c r="B423" s="11" t="s">
        <v>65</v>
      </c>
      <c r="C423" s="11">
        <v>23.0</v>
      </c>
      <c r="D423" s="11">
        <v>3.0</v>
      </c>
      <c r="E423" s="12" t="s">
        <v>352</v>
      </c>
      <c r="F423" s="13">
        <f>IFERROR(__xludf.DUMMYFUNCTION("IF(
  REGEXMATCH(E423, "":""),
  60*VALUE(INDEX(SPLIT(E423, "":""),1,1)) + VALUE(INDEX(SPLIT(E423, "":""),1,2)),
  VALUE(E423)
)"),48.34)</f>
        <v>48.34</v>
      </c>
      <c r="G423" s="13">
        <f t="shared" si="44"/>
        <v>0.15</v>
      </c>
      <c r="H423" s="13">
        <v>0.14999999999999858</v>
      </c>
      <c r="I423" s="11">
        <f>C406</f>
        <v>15</v>
      </c>
      <c r="J423" s="11">
        <f>C423</f>
        <v>23</v>
      </c>
      <c r="K423" s="11">
        <f t="array" ref="K423">INDEX('Podium Target Times'!$C:$C, MATCH(A423&amp;B423, 'Podium Target Times'!$A:$A&amp;'Podium Target Times'!$B:$B, 0))
</f>
        <v>49.69</v>
      </c>
      <c r="L423" s="13">
        <f>G423+L424</f>
        <v>49.99</v>
      </c>
      <c r="M423" s="11" t="str">
        <f t="shared" si="1"/>
        <v>49.99</v>
      </c>
      <c r="N423" s="14">
        <f>IFERROR(__xludf.DUMMYFUNCTION("LET(
  gen,$A423, ev,$B423, t,$M423,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)"),799.0)</f>
        <v>799</v>
      </c>
    </row>
    <row r="424">
      <c r="A424" s="5" t="s">
        <v>295</v>
      </c>
      <c r="B424" s="6" t="s">
        <v>65</v>
      </c>
      <c r="C424" s="6">
        <v>24.0</v>
      </c>
      <c r="D424" s="6"/>
      <c r="E424" s="7"/>
      <c r="F424" s="8">
        <f>IFERROR(__xludf.DUMMYFUNCTION("IF(
  REGEXMATCH(E424, "":""),
  60*VALUE(INDEX(SPLIT(E424, "":""),1,1)) + VALUE(INDEX(SPLIT(E424, "":""),1,2)),
  VALUE(E424)
)"),0.0)</f>
        <v>0</v>
      </c>
      <c r="G424" s="8"/>
      <c r="H424" s="8"/>
      <c r="I424" s="6">
        <f>C406</f>
        <v>15</v>
      </c>
      <c r="J424" s="6">
        <f>C423</f>
        <v>23</v>
      </c>
      <c r="K424" s="6">
        <f t="array" ref="K424">INDEX('Podium Target Times'!$C:$C, MATCH(A424&amp;B424, 'Podium Target Times'!$A:$A&amp;'Podium Target Times'!$B:$B, 0))
</f>
        <v>49.69</v>
      </c>
      <c r="L424" s="8">
        <f>G423+L425</f>
        <v>49.84</v>
      </c>
      <c r="M424" s="6" t="str">
        <f t="shared" si="1"/>
        <v>49.84</v>
      </c>
      <c r="N424" s="9">
        <f>IFERROR(__xludf.DUMMYFUNCTION("LET(
  gen,$A424, ev,$B424, t,$M424,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)"),806.0)</f>
        <v>806</v>
      </c>
    </row>
    <row r="425">
      <c r="A425" s="10" t="s">
        <v>295</v>
      </c>
      <c r="B425" s="11" t="s">
        <v>65</v>
      </c>
      <c r="C425" s="11">
        <v>25.0</v>
      </c>
      <c r="D425" s="11"/>
      <c r="E425" s="12"/>
      <c r="F425" s="13">
        <f>IFERROR(__xludf.DUMMYFUNCTION("IF(
  REGEXMATCH(E425, "":""),
  60*VALUE(INDEX(SPLIT(E425, "":""),1,1)) + VALUE(INDEX(SPLIT(E425, "":""),1,2)),
  VALUE(E425)
)"),0.0)</f>
        <v>0</v>
      </c>
      <c r="G425" s="13"/>
      <c r="H425" s="13"/>
      <c r="I425" s="11">
        <f>C406</f>
        <v>15</v>
      </c>
      <c r="J425" s="11">
        <f>C423</f>
        <v>23</v>
      </c>
      <c r="K425" s="11">
        <f t="array" ref="K425">INDEX('Podium Target Times'!$C:$C, MATCH(A425&amp;B425, 'Podium Target Times'!$A:$A&amp;'Podium Target Times'!$B:$B, 0))
</f>
        <v>49.69</v>
      </c>
      <c r="L425" s="11">
        <f>K425</f>
        <v>49.69</v>
      </c>
      <c r="M425" s="11" t="str">
        <f t="shared" si="1"/>
        <v>49.69</v>
      </c>
      <c r="N425" s="14">
        <f>IFERROR(__xludf.DUMMYFUNCTION("LET(
  gen,$A425, ev,$B425, t,$M425,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)"),814.0)</f>
        <v>814</v>
      </c>
    </row>
    <row r="426">
      <c r="A426" s="5" t="s">
        <v>295</v>
      </c>
      <c r="B426" s="6" t="s">
        <v>82</v>
      </c>
      <c r="C426" s="6">
        <v>15.0</v>
      </c>
      <c r="D426" s="6">
        <v>1.0</v>
      </c>
      <c r="E426" s="7" t="s">
        <v>359</v>
      </c>
      <c r="F426" s="8">
        <f>IFERROR(__xludf.DUMMYFUNCTION("IF(
  REGEXMATCH(E426, "":""),
  60*VALUE(INDEX(SPLIT(E426, "":""),1,1)) + VALUE(INDEX(SPLIT(E426, "":""),1,2)),
  VALUE(E426)
)"),977.69)</f>
        <v>977.69</v>
      </c>
      <c r="G426" s="8">
        <v>0.0</v>
      </c>
      <c r="H426" s="8">
        <v>0.0</v>
      </c>
      <c r="I426" s="6">
        <f>C426</f>
        <v>15</v>
      </c>
      <c r="J426" s="6">
        <f>C443</f>
        <v>23</v>
      </c>
      <c r="K426" s="6">
        <f t="array" ref="K426">INDEX('Podium Target Times'!$C:$C, MATCH(A426&amp;B426, 'Podium Target Times'!$A:$A&amp;'Podium Target Times'!$B:$B, 0))
</f>
        <v>940.49</v>
      </c>
      <c r="L426" s="8">
        <f>L427+G427</f>
        <v>1026.305</v>
      </c>
      <c r="M426" s="6" t="str">
        <f t="shared" si="1"/>
        <v>17:06.31</v>
      </c>
      <c r="N426" s="9">
        <f>IFERROR(__xludf.DUMMYFUNCTION("LET(
  gen,$A426, ev,$B426, t,$M426,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)"),610.0)</f>
        <v>610</v>
      </c>
    </row>
    <row r="427">
      <c r="A427" s="10" t="s">
        <v>295</v>
      </c>
      <c r="B427" s="11" t="s">
        <v>82</v>
      </c>
      <c r="C427" s="11">
        <v>16.0</v>
      </c>
      <c r="D427" s="11">
        <v>1.0</v>
      </c>
      <c r="E427" s="12" t="s">
        <v>360</v>
      </c>
      <c r="F427" s="13">
        <f>IFERROR(__xludf.DUMMYFUNCTION("IF(
  REGEXMATCH(E427, "":""),
  60*VALUE(INDEX(SPLIT(E427, "":""),1,1)) + VALUE(INDEX(SPLIT(E427, "":""),1,2)),
  VALUE(E427)
)"),946.32)</f>
        <v>946.32</v>
      </c>
      <c r="G427" s="13">
        <f>F426-F427</f>
        <v>31.37</v>
      </c>
      <c r="H427" s="13">
        <v>31.370000000000005</v>
      </c>
      <c r="I427" s="11">
        <f>C426</f>
        <v>15</v>
      </c>
      <c r="J427" s="11">
        <f>C443</f>
        <v>23</v>
      </c>
      <c r="K427" s="11">
        <f t="array" ref="K427">INDEX('Podium Target Times'!$C:$C, MATCH(A427&amp;B427, 'Podium Target Times'!$A:$A&amp;'Podium Target Times'!$B:$B, 0))
</f>
        <v>940.49</v>
      </c>
      <c r="L427" s="13">
        <f>L429+G429</f>
        <v>994.935</v>
      </c>
      <c r="M427" s="11" t="str">
        <f t="shared" si="1"/>
        <v>16:34.94</v>
      </c>
      <c r="N427" s="14">
        <f>IFERROR(__xludf.DUMMYFUNCTION("LET(
  gen,$A427, ev,$B427, t,$M427,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)"),670.0)</f>
        <v>670</v>
      </c>
    </row>
    <row r="428">
      <c r="A428" s="5" t="s">
        <v>295</v>
      </c>
      <c r="B428" s="6" t="s">
        <v>82</v>
      </c>
      <c r="C428" s="6">
        <v>16.0</v>
      </c>
      <c r="D428" s="6">
        <v>2.0</v>
      </c>
      <c r="E428" s="7" t="s">
        <v>361</v>
      </c>
      <c r="F428" s="8">
        <f>IFERROR(__xludf.DUMMYFUNCTION("IF(
  REGEXMATCH(E428, "":""),
  60*VALUE(INDEX(SPLIT(E428, "":""),1,1)) + VALUE(INDEX(SPLIT(E428, "":""),1,2)),
  VALUE(E428)
)"),953.7)</f>
        <v>953.7</v>
      </c>
      <c r="G428" s="8">
        <f>F426-F427</f>
        <v>31.37</v>
      </c>
      <c r="H428" s="8">
        <v>31.370000000000005</v>
      </c>
      <c r="I428" s="6">
        <f>C426</f>
        <v>15</v>
      </c>
      <c r="J428" s="6">
        <f>C443</f>
        <v>23</v>
      </c>
      <c r="K428" s="6">
        <f t="array" ref="K428">INDEX('Podium Target Times'!$C:$C, MATCH(A428&amp;B428, 'Podium Target Times'!$A:$A&amp;'Podium Target Times'!$B:$B, 0))
</f>
        <v>940.49</v>
      </c>
      <c r="L428" s="8">
        <f>L429+G429</f>
        <v>994.935</v>
      </c>
      <c r="M428" s="6" t="str">
        <f t="shared" si="1"/>
        <v>16:34.94</v>
      </c>
      <c r="N428" s="9">
        <f>IFERROR(__xludf.DUMMYFUNCTION("LET(
  gen,$A428, ev,$B428, t,$M428,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)"),670.0)</f>
        <v>670</v>
      </c>
    </row>
    <row r="429">
      <c r="A429" s="10" t="s">
        <v>295</v>
      </c>
      <c r="B429" s="11" t="s">
        <v>82</v>
      </c>
      <c r="C429" s="11">
        <v>17.0</v>
      </c>
      <c r="D429" s="11">
        <v>1.0</v>
      </c>
      <c r="E429" s="12" t="s">
        <v>362</v>
      </c>
      <c r="F429" s="13">
        <f>IFERROR(__xludf.DUMMYFUNCTION("IF(
  REGEXMATCH(E429, "":""),
  60*VALUE(INDEX(SPLIT(E429, "":""),1,1)) + VALUE(INDEX(SPLIT(E429, "":""),1,2)),
  VALUE(E429)
)"),924.14)</f>
        <v>924.14</v>
      </c>
      <c r="G429" s="13">
        <f>average(F427-F429,F428-F430)</f>
        <v>22.27</v>
      </c>
      <c r="H429" s="13">
        <v>22.27000000000004</v>
      </c>
      <c r="I429" s="11">
        <f>C426</f>
        <v>15</v>
      </c>
      <c r="J429" s="11">
        <f>C443</f>
        <v>23</v>
      </c>
      <c r="K429" s="11">
        <f t="array" ref="K429">INDEX('Podium Target Times'!$C:$C, MATCH(A429&amp;B429, 'Podium Target Times'!$A:$A&amp;'Podium Target Times'!$B:$B, 0))
</f>
        <v>940.49</v>
      </c>
      <c r="L429" s="13">
        <f>L432+G432</f>
        <v>972.665</v>
      </c>
      <c r="M429" s="11" t="str">
        <f t="shared" si="1"/>
        <v>16:12.67</v>
      </c>
      <c r="N429" s="14">
        <f>IFERROR(__xludf.DUMMYFUNCTION("LET(
  gen,$A429, ev,$B429, t,$M429,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430">
      <c r="A430" s="5" t="s">
        <v>295</v>
      </c>
      <c r="B430" s="6" t="s">
        <v>82</v>
      </c>
      <c r="C430" s="6">
        <v>17.0</v>
      </c>
      <c r="D430" s="6">
        <v>2.0</v>
      </c>
      <c r="E430" s="7" t="s">
        <v>363</v>
      </c>
      <c r="F430" s="8">
        <f>IFERROR(__xludf.DUMMYFUNCTION("IF(
  REGEXMATCH(E430, "":""),
  60*VALUE(INDEX(SPLIT(E430, "":""),1,1)) + VALUE(INDEX(SPLIT(E430, "":""),1,2)),
  VALUE(E430)
)"),931.34)</f>
        <v>931.34</v>
      </c>
      <c r="G430" s="8">
        <f>average(F427-F429,F428-F430)</f>
        <v>22.27</v>
      </c>
      <c r="H430" s="8">
        <v>22.27000000000004</v>
      </c>
      <c r="I430" s="6">
        <f>C426</f>
        <v>15</v>
      </c>
      <c r="J430" s="6">
        <f>C443</f>
        <v>23</v>
      </c>
      <c r="K430" s="6">
        <f t="array" ref="K430">INDEX('Podium Target Times'!$C:$C, MATCH(A430&amp;B430, 'Podium Target Times'!$A:$A&amp;'Podium Target Times'!$B:$B, 0))
</f>
        <v>940.49</v>
      </c>
      <c r="L430" s="8">
        <f>L432+G432</f>
        <v>972.665</v>
      </c>
      <c r="M430" s="6" t="str">
        <f t="shared" si="1"/>
        <v>16:12.67</v>
      </c>
      <c r="N430" s="9">
        <f>IFERROR(__xludf.DUMMYFUNCTION("LET(
  gen,$A430, ev,$B430, t,$M430,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431">
      <c r="A431" s="10" t="s">
        <v>295</v>
      </c>
      <c r="B431" s="11" t="s">
        <v>82</v>
      </c>
      <c r="C431" s="11">
        <v>17.0</v>
      </c>
      <c r="D431" s="11">
        <v>3.0</v>
      </c>
      <c r="E431" s="12" t="s">
        <v>364</v>
      </c>
      <c r="F431" s="13">
        <f>IFERROR(__xludf.DUMMYFUNCTION("IF(
  REGEXMATCH(E431, "":""),
  60*VALUE(INDEX(SPLIT(E431, "":""),1,1)) + VALUE(INDEX(SPLIT(E431, "":""),1,2)),
  VALUE(E431)
)"),933.06)</f>
        <v>933.06</v>
      </c>
      <c r="G431" s="13">
        <f>average(F427-F429,F428-F430)</f>
        <v>22.27</v>
      </c>
      <c r="H431" s="13">
        <v>22.27000000000004</v>
      </c>
      <c r="I431" s="11">
        <f>C426</f>
        <v>15</v>
      </c>
      <c r="J431" s="11">
        <f>C443</f>
        <v>23</v>
      </c>
      <c r="K431" s="11">
        <f t="array" ref="K431">INDEX('Podium Target Times'!$C:$C, MATCH(A431&amp;B431, 'Podium Target Times'!$A:$A&amp;'Podium Target Times'!$B:$B, 0))
</f>
        <v>940.49</v>
      </c>
      <c r="L431" s="13">
        <f>L432+G432</f>
        <v>972.665</v>
      </c>
      <c r="M431" s="11" t="str">
        <f t="shared" si="1"/>
        <v>16:12.67</v>
      </c>
      <c r="N431" s="14">
        <f>IFERROR(__xludf.DUMMYFUNCTION("LET(
  gen,$A431, ev,$B431, t,$M431,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)"),717.0)</f>
        <v>717</v>
      </c>
    </row>
    <row r="432">
      <c r="A432" s="5" t="s">
        <v>295</v>
      </c>
      <c r="B432" s="6" t="s">
        <v>82</v>
      </c>
      <c r="C432" s="6">
        <v>18.0</v>
      </c>
      <c r="D432" s="6">
        <v>1.0</v>
      </c>
      <c r="E432" s="7" t="s">
        <v>365</v>
      </c>
      <c r="F432" s="8">
        <f>IFERROR(__xludf.DUMMYFUNCTION("IF(
  REGEXMATCH(E432, "":""),
  60*VALUE(INDEX(SPLIT(E432, "":""),1,1)) + VALUE(INDEX(SPLIT(E432, "":""),1,2)),
  VALUE(E432)
)"),910.35)</f>
        <v>910.35</v>
      </c>
      <c r="G432" s="8">
        <f>average(F429-F432,F430-F433,F431-F434)</f>
        <v>13.87</v>
      </c>
      <c r="H432" s="8">
        <v>13.869999999999967</v>
      </c>
      <c r="I432" s="6">
        <f>C426</f>
        <v>15</v>
      </c>
      <c r="J432" s="6">
        <f>C443</f>
        <v>23</v>
      </c>
      <c r="K432" s="6">
        <f t="array" ref="K432">INDEX('Podium Target Times'!$C:$C, MATCH(A432&amp;B432, 'Podium Target Times'!$A:$A&amp;'Podium Target Times'!$B:$B, 0))
</f>
        <v>940.49</v>
      </c>
      <c r="L432" s="8">
        <f>L435+G435</f>
        <v>958.795</v>
      </c>
      <c r="M432" s="6" t="str">
        <f t="shared" si="1"/>
        <v>15:58.80</v>
      </c>
      <c r="N432" s="9">
        <f>IFERROR(__xludf.DUMMYFUNCTION("LET(
  gen,$A432, ev,$B432, t,$M432,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33">
      <c r="A433" s="10" t="s">
        <v>295</v>
      </c>
      <c r="B433" s="11" t="s">
        <v>82</v>
      </c>
      <c r="C433" s="11">
        <v>18.0</v>
      </c>
      <c r="D433" s="11">
        <v>2.0</v>
      </c>
      <c r="E433" s="12" t="s">
        <v>366</v>
      </c>
      <c r="F433" s="13">
        <f>IFERROR(__xludf.DUMMYFUNCTION("IF(
  REGEXMATCH(E433, "":""),
  60*VALUE(INDEX(SPLIT(E433, "":""),1,1)) + VALUE(INDEX(SPLIT(E433, "":""),1,2)),
  VALUE(E433)
)"),917.45)</f>
        <v>917.45</v>
      </c>
      <c r="G433" s="13">
        <f>average(F429-F432,F430-F433,F431-F434)</f>
        <v>13.87</v>
      </c>
      <c r="H433" s="13">
        <v>13.869999999999967</v>
      </c>
      <c r="I433" s="11">
        <f>C426</f>
        <v>15</v>
      </c>
      <c r="J433" s="11">
        <f>C443</f>
        <v>23</v>
      </c>
      <c r="K433" s="11">
        <f t="array" ref="K433">INDEX('Podium Target Times'!$C:$C, MATCH(A433&amp;B433, 'Podium Target Times'!$A:$A&amp;'Podium Target Times'!$B:$B, 0))
</f>
        <v>940.49</v>
      </c>
      <c r="L433" s="13">
        <f>L435+G435</f>
        <v>958.795</v>
      </c>
      <c r="M433" s="11" t="str">
        <f t="shared" si="1"/>
        <v>15:58.80</v>
      </c>
      <c r="N433" s="14">
        <f>IFERROR(__xludf.DUMMYFUNCTION("LET(
  gen,$A433, ev,$B433, t,$M433,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34">
      <c r="A434" s="5" t="s">
        <v>295</v>
      </c>
      <c r="B434" s="6" t="s">
        <v>82</v>
      </c>
      <c r="C434" s="6">
        <v>18.0</v>
      </c>
      <c r="D434" s="6">
        <v>3.0</v>
      </c>
      <c r="E434" s="7" t="s">
        <v>367</v>
      </c>
      <c r="F434" s="8">
        <f>IFERROR(__xludf.DUMMYFUNCTION("IF(
  REGEXMATCH(E434, "":""),
  60*VALUE(INDEX(SPLIT(E434, "":""),1,1)) + VALUE(INDEX(SPLIT(E434, "":""),1,2)),
  VALUE(E434)
)"),919.13)</f>
        <v>919.13</v>
      </c>
      <c r="G434" s="8">
        <f>average(F429-F432,F430-F433,F431-F434)</f>
        <v>13.87</v>
      </c>
      <c r="H434" s="8">
        <v>13.869999999999967</v>
      </c>
      <c r="I434" s="6">
        <f>C426</f>
        <v>15</v>
      </c>
      <c r="J434" s="6">
        <f>C443</f>
        <v>23</v>
      </c>
      <c r="K434" s="6">
        <f t="array" ref="K434">INDEX('Podium Target Times'!$C:$C, MATCH(A434&amp;B434, 'Podium Target Times'!$A:$A&amp;'Podium Target Times'!$B:$B, 0))
</f>
        <v>940.49</v>
      </c>
      <c r="L434" s="8">
        <f>L435+G435</f>
        <v>958.795</v>
      </c>
      <c r="M434" s="6" t="str">
        <f t="shared" si="1"/>
        <v>15:58.80</v>
      </c>
      <c r="N434" s="9">
        <f>IFERROR(__xludf.DUMMYFUNCTION("LET(
  gen,$A434, ev,$B434, t,$M434,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35">
      <c r="A435" s="10" t="s">
        <v>295</v>
      </c>
      <c r="B435" s="11" t="s">
        <v>82</v>
      </c>
      <c r="C435" s="11">
        <v>19.0</v>
      </c>
      <c r="D435" s="11">
        <v>1.0</v>
      </c>
      <c r="E435" s="12" t="s">
        <v>368</v>
      </c>
      <c r="F435" s="13">
        <f>IFERROR(__xludf.DUMMYFUNCTION("IF(
  REGEXMATCH(E435, "":""),
  60*VALUE(INDEX(SPLIT(E435, "":""),1,1)) + VALUE(INDEX(SPLIT(E435, "":""),1,2)),
  VALUE(E435)
)"),901.89)</f>
        <v>901.89</v>
      </c>
      <c r="G435" s="13">
        <f>average(F432-F435,F433-F436,F434-F437)</f>
        <v>8.51</v>
      </c>
      <c r="H435" s="13">
        <v>8.510000000000028</v>
      </c>
      <c r="I435" s="11">
        <f>C426</f>
        <v>15</v>
      </c>
      <c r="J435" s="11">
        <f>C443</f>
        <v>23</v>
      </c>
      <c r="K435" s="11">
        <f t="array" ref="K435">INDEX('Podium Target Times'!$C:$C, MATCH(A435&amp;B435, 'Podium Target Times'!$A:$A&amp;'Podium Target Times'!$B:$B, 0))
</f>
        <v>940.49</v>
      </c>
      <c r="L435" s="13">
        <f>L438+G438</f>
        <v>950.285</v>
      </c>
      <c r="M435" s="11" t="str">
        <f t="shared" si="1"/>
        <v>15:50.29</v>
      </c>
      <c r="N435" s="14">
        <f>IFERROR(__xludf.DUMMYFUNCTION("LET(
  gen,$A435, ev,$B435, t,$M435,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36">
      <c r="A436" s="5" t="s">
        <v>295</v>
      </c>
      <c r="B436" s="6" t="s">
        <v>82</v>
      </c>
      <c r="C436" s="6">
        <v>19.0</v>
      </c>
      <c r="D436" s="6">
        <v>2.0</v>
      </c>
      <c r="E436" s="7" t="s">
        <v>369</v>
      </c>
      <c r="F436" s="8">
        <f>IFERROR(__xludf.DUMMYFUNCTION("IF(
  REGEXMATCH(E436, "":""),
  60*VALUE(INDEX(SPLIT(E436, "":""),1,1)) + VALUE(INDEX(SPLIT(E436, "":""),1,2)),
  VALUE(E436)
)"),908.92)</f>
        <v>908.92</v>
      </c>
      <c r="G436" s="8">
        <f>average(F432-F435,F433-F436,F434-F437)</f>
        <v>8.51</v>
      </c>
      <c r="H436" s="8">
        <v>8.510000000000028</v>
      </c>
      <c r="I436" s="6">
        <f>C426</f>
        <v>15</v>
      </c>
      <c r="J436" s="6">
        <f>C443</f>
        <v>23</v>
      </c>
      <c r="K436" s="6">
        <f t="array" ref="K436">INDEX('Podium Target Times'!$C:$C, MATCH(A436&amp;B436, 'Podium Target Times'!$A:$A&amp;'Podium Target Times'!$B:$B, 0))
</f>
        <v>940.49</v>
      </c>
      <c r="L436" s="8">
        <f>L438+G438</f>
        <v>950.285</v>
      </c>
      <c r="M436" s="6" t="str">
        <f t="shared" si="1"/>
        <v>15:50.29</v>
      </c>
      <c r="N436" s="9">
        <f>IFERROR(__xludf.DUMMYFUNCTION("LET(
  gen,$A436, ev,$B436, t,$M436,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37">
      <c r="A437" s="10" t="s">
        <v>295</v>
      </c>
      <c r="B437" s="11" t="s">
        <v>82</v>
      </c>
      <c r="C437" s="11">
        <v>19.0</v>
      </c>
      <c r="D437" s="11">
        <v>3.0</v>
      </c>
      <c r="E437" s="12" t="s">
        <v>370</v>
      </c>
      <c r="F437" s="13">
        <f>IFERROR(__xludf.DUMMYFUNCTION("IF(
  REGEXMATCH(E437, "":""),
  60*VALUE(INDEX(SPLIT(E437, "":""),1,1)) + VALUE(INDEX(SPLIT(E437, "":""),1,2)),
  VALUE(E437)
)"),910.59)</f>
        <v>910.59</v>
      </c>
      <c r="G437" s="13">
        <f>average(F432-F435,F433-F436,F434-F437)</f>
        <v>8.51</v>
      </c>
      <c r="H437" s="13">
        <v>8.510000000000028</v>
      </c>
      <c r="I437" s="11">
        <f>C426</f>
        <v>15</v>
      </c>
      <c r="J437" s="11">
        <f>C443</f>
        <v>23</v>
      </c>
      <c r="K437" s="11">
        <f t="array" ref="K437">INDEX('Podium Target Times'!$C:$C, MATCH(A437&amp;B437, 'Podium Target Times'!$A:$A&amp;'Podium Target Times'!$B:$B, 0))
</f>
        <v>940.49</v>
      </c>
      <c r="L437" s="13">
        <f>L438+G438</f>
        <v>950.285</v>
      </c>
      <c r="M437" s="11" t="str">
        <f t="shared" si="1"/>
        <v>15:50.29</v>
      </c>
      <c r="N437" s="14">
        <f>IFERROR(__xludf.DUMMYFUNCTION("LET(
  gen,$A437, ev,$B437, t,$M437,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38">
      <c r="A438" s="5" t="s">
        <v>295</v>
      </c>
      <c r="B438" s="6" t="s">
        <v>82</v>
      </c>
      <c r="C438" s="6">
        <v>20.0</v>
      </c>
      <c r="D438" s="6">
        <v>2.0</v>
      </c>
      <c r="E438" s="7" t="s">
        <v>371</v>
      </c>
      <c r="F438" s="8">
        <f>IFERROR(__xludf.DUMMYFUNCTION("IF(
  REGEXMATCH(E438, "":""),
  60*VALUE(INDEX(SPLIT(E438, "":""),1,1)) + VALUE(INDEX(SPLIT(E438, "":""),1,2)),
  VALUE(E438)
)"),904.13)</f>
        <v>904.13</v>
      </c>
      <c r="G438" s="8">
        <f>average(F436-F438,F437-F439)</f>
        <v>4.795</v>
      </c>
      <c r="H438" s="8">
        <v>4.795000000000016</v>
      </c>
      <c r="I438" s="6">
        <f>C426</f>
        <v>15</v>
      </c>
      <c r="J438" s="6">
        <f>C443</f>
        <v>23</v>
      </c>
      <c r="K438" s="6">
        <f t="array" ref="K438">INDEX('Podium Target Times'!$C:$C, MATCH(A438&amp;B438, 'Podium Target Times'!$A:$A&amp;'Podium Target Times'!$B:$B, 0))
</f>
        <v>940.49</v>
      </c>
      <c r="L438" s="8">
        <f>L440+G440</f>
        <v>945.49</v>
      </c>
      <c r="M438" s="6" t="str">
        <f t="shared" si="1"/>
        <v>15:45.49</v>
      </c>
      <c r="N438" s="9">
        <f>IFERROR(__xludf.DUMMYFUNCTION("LET(
  gen,$A438, ev,$B438, t,$M438,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439">
      <c r="A439" s="10" t="s">
        <v>295</v>
      </c>
      <c r="B439" s="11" t="s">
        <v>82</v>
      </c>
      <c r="C439" s="11">
        <v>20.0</v>
      </c>
      <c r="D439" s="11">
        <v>3.0</v>
      </c>
      <c r="E439" s="12" t="s">
        <v>372</v>
      </c>
      <c r="F439" s="13">
        <f>IFERROR(__xludf.DUMMYFUNCTION("IF(
  REGEXMATCH(E439, "":""),
  60*VALUE(INDEX(SPLIT(E439, "":""),1,1)) + VALUE(INDEX(SPLIT(E439, "":""),1,2)),
  VALUE(E439)
)"),905.79)</f>
        <v>905.79</v>
      </c>
      <c r="G439" s="13">
        <f>average(F436-F438,F437-F439)</f>
        <v>4.795</v>
      </c>
      <c r="H439" s="13">
        <v>4.795000000000016</v>
      </c>
      <c r="I439" s="11">
        <f>C426</f>
        <v>15</v>
      </c>
      <c r="J439" s="11">
        <f>C443</f>
        <v>23</v>
      </c>
      <c r="K439" s="11">
        <f t="array" ref="K439">INDEX('Podium Target Times'!$C:$C, MATCH(A439&amp;B439, 'Podium Target Times'!$A:$A&amp;'Podium Target Times'!$B:$B, 0))
</f>
        <v>940.49</v>
      </c>
      <c r="L439" s="13">
        <f>L440+G440</f>
        <v>945.49</v>
      </c>
      <c r="M439" s="11" t="str">
        <f t="shared" si="1"/>
        <v>15:45.49</v>
      </c>
      <c r="N439" s="14">
        <f>IFERROR(__xludf.DUMMYFUNCTION("LET(
  gen,$A439, ev,$B439, t,$M439,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)"),780.0)</f>
        <v>780</v>
      </c>
    </row>
    <row r="440">
      <c r="A440" s="5" t="s">
        <v>295</v>
      </c>
      <c r="B440" s="6" t="s">
        <v>82</v>
      </c>
      <c r="C440" s="6">
        <v>21.0</v>
      </c>
      <c r="D440" s="6">
        <v>2.0</v>
      </c>
      <c r="E440" s="7" t="s">
        <v>368</v>
      </c>
      <c r="F440" s="8">
        <f>IFERROR(__xludf.DUMMYFUNCTION("IF(
  REGEXMATCH(E440, "":""),
  60*VALUE(INDEX(SPLIT(E440, "":""),1,1)) + VALUE(INDEX(SPLIT(E440, "":""),1,2)),
  VALUE(E440)
)"),901.89)</f>
        <v>901.89</v>
      </c>
      <c r="G440" s="8">
        <f>average(F438-F440,F439-F441)</f>
        <v>2.24</v>
      </c>
      <c r="H440" s="8">
        <v>2.240000000000009</v>
      </c>
      <c r="I440" s="6">
        <f>C426</f>
        <v>15</v>
      </c>
      <c r="J440" s="6">
        <f>C443</f>
        <v>23</v>
      </c>
      <c r="K440" s="6">
        <f t="array" ref="K440">INDEX('Podium Target Times'!$C:$C, MATCH(A440&amp;B440, 'Podium Target Times'!$A:$A&amp;'Podium Target Times'!$B:$B, 0))
</f>
        <v>940.49</v>
      </c>
      <c r="L440" s="8">
        <f>L442+G442</f>
        <v>943.25</v>
      </c>
      <c r="M440" s="6" t="str">
        <f t="shared" si="1"/>
        <v>15:43.25</v>
      </c>
      <c r="N440" s="9">
        <f>IFERROR(__xludf.DUMMYFUNCTION("LET(
  gen,$A440, ev,$B440, t,$M440,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441">
      <c r="A441" s="10" t="s">
        <v>295</v>
      </c>
      <c r="B441" s="11" t="s">
        <v>82</v>
      </c>
      <c r="C441" s="11">
        <v>21.0</v>
      </c>
      <c r="D441" s="11">
        <v>3.0</v>
      </c>
      <c r="E441" s="12" t="s">
        <v>373</v>
      </c>
      <c r="F441" s="13">
        <f>IFERROR(__xludf.DUMMYFUNCTION("IF(
  REGEXMATCH(E441, "":""),
  60*VALUE(INDEX(SPLIT(E441, "":""),1,1)) + VALUE(INDEX(SPLIT(E441, "":""),1,2)),
  VALUE(E441)
)"),903.55)</f>
        <v>903.55</v>
      </c>
      <c r="G441" s="13">
        <f>average(F438-F440,F439-F441)</f>
        <v>2.24</v>
      </c>
      <c r="H441" s="13">
        <v>2.240000000000009</v>
      </c>
      <c r="I441" s="11">
        <f>C426</f>
        <v>15</v>
      </c>
      <c r="J441" s="11">
        <f>C443</f>
        <v>23</v>
      </c>
      <c r="K441" s="11">
        <f t="array" ref="K441">INDEX('Podium Target Times'!$C:$C, MATCH(A441&amp;B441, 'Podium Target Times'!$A:$A&amp;'Podium Target Times'!$B:$B, 0))
</f>
        <v>940.49</v>
      </c>
      <c r="L441" s="13">
        <f t="shared" ref="L441:L442" si="45">L442+G442</f>
        <v>943.25</v>
      </c>
      <c r="M441" s="11" t="str">
        <f t="shared" si="1"/>
        <v>15:43.25</v>
      </c>
      <c r="N441" s="14">
        <f>IFERROR(__xludf.DUMMYFUNCTION("LET(
  gen,$A441, ev,$B441, t,$M441,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442">
      <c r="A442" s="5" t="s">
        <v>295</v>
      </c>
      <c r="B442" s="6" t="s">
        <v>82</v>
      </c>
      <c r="C442" s="6">
        <v>22.0</v>
      </c>
      <c r="D442" s="6">
        <v>3.0</v>
      </c>
      <c r="E442" s="7" t="s">
        <v>374</v>
      </c>
      <c r="F442" s="8">
        <f>IFERROR(__xludf.DUMMYFUNCTION("IF(
  REGEXMATCH(E442, "":""),
  60*VALUE(INDEX(SPLIT(E442, "":""),1,1)) + VALUE(INDEX(SPLIT(E442, "":""),1,2)),
  VALUE(E442)
)"),902.44)</f>
        <v>902.44</v>
      </c>
      <c r="G442" s="8">
        <f t="shared" ref="G442:G443" si="46">F441-F442</f>
        <v>1.11</v>
      </c>
      <c r="H442" s="8">
        <v>1.1099999999999</v>
      </c>
      <c r="I442" s="6">
        <f>C426</f>
        <v>15</v>
      </c>
      <c r="J442" s="6">
        <f>C443</f>
        <v>23</v>
      </c>
      <c r="K442" s="6">
        <f t="array" ref="K442">INDEX('Podium Target Times'!$C:$C, MATCH(A442&amp;B442, 'Podium Target Times'!$A:$A&amp;'Podium Target Times'!$B:$B, 0))
</f>
        <v>940.49</v>
      </c>
      <c r="L442" s="8">
        <f t="shared" si="45"/>
        <v>942.14</v>
      </c>
      <c r="M442" s="6" t="str">
        <f t="shared" si="1"/>
        <v>15:42.14</v>
      </c>
      <c r="N442" s="9">
        <f>IFERROR(__xludf.DUMMYFUNCTION("LET(
  gen,$A442, ev,$B442, t,$M442,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)"),789.0)</f>
        <v>789</v>
      </c>
    </row>
    <row r="443">
      <c r="A443" s="10" t="s">
        <v>295</v>
      </c>
      <c r="B443" s="11" t="s">
        <v>82</v>
      </c>
      <c r="C443" s="11">
        <v>23.0</v>
      </c>
      <c r="D443" s="11">
        <v>3.0</v>
      </c>
      <c r="E443" s="12" t="s">
        <v>368</v>
      </c>
      <c r="F443" s="13">
        <f>IFERROR(__xludf.DUMMYFUNCTION("IF(
  REGEXMATCH(E443, "":""),
  60*VALUE(INDEX(SPLIT(E443, "":""),1,1)) + VALUE(INDEX(SPLIT(E443, "":""),1,2)),
  VALUE(E443)
)"),901.89)</f>
        <v>901.89</v>
      </c>
      <c r="G443" s="13">
        <f t="shared" si="46"/>
        <v>0.55</v>
      </c>
      <c r="H443" s="13">
        <v>0.5500000000000682</v>
      </c>
      <c r="I443" s="11">
        <f>C426</f>
        <v>15</v>
      </c>
      <c r="J443" s="11">
        <f>C443</f>
        <v>23</v>
      </c>
      <c r="K443" s="11">
        <f t="array" ref="K443">INDEX('Podium Target Times'!$C:$C, MATCH(A443&amp;B443, 'Podium Target Times'!$A:$A&amp;'Podium Target Times'!$B:$B, 0))
</f>
        <v>940.49</v>
      </c>
      <c r="L443" s="13">
        <f>G443+L444</f>
        <v>941.59</v>
      </c>
      <c r="M443" s="11" t="str">
        <f t="shared" si="1"/>
        <v>15:41.59</v>
      </c>
      <c r="N443" s="14">
        <f>IFERROR(__xludf.DUMMYFUNCTION("LET(
  gen,$A443, ev,$B443, t,$M443,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)"),790.0)</f>
        <v>790</v>
      </c>
    </row>
    <row r="444">
      <c r="A444" s="5" t="s">
        <v>295</v>
      </c>
      <c r="B444" s="6" t="s">
        <v>82</v>
      </c>
      <c r="C444" s="6">
        <v>24.0</v>
      </c>
      <c r="D444" s="6"/>
      <c r="E444" s="7"/>
      <c r="F444" s="8">
        <f>IFERROR(__xludf.DUMMYFUNCTION("IF(
  REGEXMATCH(E444, "":""),
  60*VALUE(INDEX(SPLIT(E444, "":""),1,1)) + VALUE(INDEX(SPLIT(E444, "":""),1,2)),
  VALUE(E444)
)"),0.0)</f>
        <v>0</v>
      </c>
      <c r="G444" s="8"/>
      <c r="H444" s="8"/>
      <c r="I444" s="6">
        <f>C426</f>
        <v>15</v>
      </c>
      <c r="J444" s="6">
        <f>C443</f>
        <v>23</v>
      </c>
      <c r="K444" s="6">
        <f t="array" ref="K444">INDEX('Podium Target Times'!$C:$C, MATCH(A444&amp;B444, 'Podium Target Times'!$A:$A&amp;'Podium Target Times'!$B:$B, 0))
</f>
        <v>940.49</v>
      </c>
      <c r="L444" s="8">
        <f>G443+L445</f>
        <v>941.04</v>
      </c>
      <c r="M444" s="6" t="str">
        <f t="shared" si="1"/>
        <v>15:41.04</v>
      </c>
      <c r="N444" s="9">
        <f>IFERROR(__xludf.DUMMYFUNCTION("LET(
  gen,$A444, ev,$B444, t,$M444,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)"),792.0)</f>
        <v>792</v>
      </c>
    </row>
    <row r="445">
      <c r="A445" s="10" t="s">
        <v>295</v>
      </c>
      <c r="B445" s="11" t="s">
        <v>82</v>
      </c>
      <c r="C445" s="11">
        <v>25.0</v>
      </c>
      <c r="D445" s="11"/>
      <c r="E445" s="12"/>
      <c r="F445" s="13">
        <f>IFERROR(__xludf.DUMMYFUNCTION("IF(
  REGEXMATCH(E445, "":""),
  60*VALUE(INDEX(SPLIT(E445, "":""),1,1)) + VALUE(INDEX(SPLIT(E445, "":""),1,2)),
  VALUE(E445)
)"),0.0)</f>
        <v>0</v>
      </c>
      <c r="G445" s="13"/>
      <c r="H445" s="13"/>
      <c r="I445" s="11">
        <f>C426</f>
        <v>15</v>
      </c>
      <c r="J445" s="11">
        <f>C443</f>
        <v>23</v>
      </c>
      <c r="K445" s="11">
        <f t="array" ref="K445">INDEX('Podium Target Times'!$C:$C, MATCH(A445&amp;B445, 'Podium Target Times'!$A:$A&amp;'Podium Target Times'!$B:$B, 0))
</f>
        <v>940.49</v>
      </c>
      <c r="L445" s="11">
        <f>K445</f>
        <v>940.49</v>
      </c>
      <c r="M445" s="11" t="str">
        <f t="shared" si="1"/>
        <v>15:40.49</v>
      </c>
      <c r="N445" s="14">
        <f>IFERROR(__xludf.DUMMYFUNCTION("LET(
  gen,$A445, ev,$B445, t,$M445,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)"),793.0)</f>
        <v>793</v>
      </c>
    </row>
    <row r="446">
      <c r="A446" s="5" t="s">
        <v>295</v>
      </c>
      <c r="B446" s="6" t="s">
        <v>99</v>
      </c>
      <c r="C446" s="6">
        <v>15.0</v>
      </c>
      <c r="D446" s="6">
        <v>1.0</v>
      </c>
      <c r="E446" s="7" t="s">
        <v>375</v>
      </c>
      <c r="F446" s="8">
        <f>IFERROR(__xludf.DUMMYFUNCTION("IF(
  REGEXMATCH(E446, "":""),
  60*VALUE(INDEX(SPLIT(E446, "":""),1,1)) + VALUE(INDEX(SPLIT(E446, "":""),1,2)),
  VALUE(E446)
)"),127.63)</f>
        <v>127.63</v>
      </c>
      <c r="G446" s="8">
        <v>0.0</v>
      </c>
      <c r="H446" s="8">
        <v>0.0</v>
      </c>
      <c r="I446" s="6">
        <f>C446</f>
        <v>15</v>
      </c>
      <c r="J446" s="6">
        <f>C463</f>
        <v>23</v>
      </c>
      <c r="K446" s="6">
        <f t="array" ref="K446">INDEX('Podium Target Times'!$C:$C, MATCH(A446&amp;B446, 'Podium Target Times'!$A:$A&amp;'Podium Target Times'!$B:$B, 0))
</f>
        <v>121.74</v>
      </c>
      <c r="L446" s="8">
        <f>L447+G447</f>
        <v>132.7866667</v>
      </c>
      <c r="M446" s="6" t="str">
        <f t="shared" si="1"/>
        <v>2:12.79</v>
      </c>
      <c r="N446" s="9">
        <f>IFERROR(__xludf.DUMMYFUNCTION("LET(
  gen,$A446, ev,$B446, t,$M446,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)"),598.0)</f>
        <v>598</v>
      </c>
    </row>
    <row r="447">
      <c r="A447" s="10" t="s">
        <v>295</v>
      </c>
      <c r="B447" s="11" t="s">
        <v>99</v>
      </c>
      <c r="C447" s="11">
        <v>16.0</v>
      </c>
      <c r="D447" s="11">
        <v>1.0</v>
      </c>
      <c r="E447" s="12" t="s">
        <v>376</v>
      </c>
      <c r="F447" s="13">
        <f>IFERROR(__xludf.DUMMYFUNCTION("IF(
  REGEXMATCH(E447, "":""),
  60*VALUE(INDEX(SPLIT(E447, "":""),1,1)) + VALUE(INDEX(SPLIT(E447, "":""),1,2)),
  VALUE(E447)
)"),123.66)</f>
        <v>123.66</v>
      </c>
      <c r="G447" s="13">
        <f>F446-F447</f>
        <v>3.97</v>
      </c>
      <c r="H447" s="13">
        <v>3.969999999999999</v>
      </c>
      <c r="I447" s="11">
        <f>C446</f>
        <v>15</v>
      </c>
      <c r="J447" s="11">
        <f>C463</f>
        <v>23</v>
      </c>
      <c r="K447" s="11">
        <f t="array" ref="K447">INDEX('Podium Target Times'!$C:$C, MATCH(A447&amp;B447, 'Podium Target Times'!$A:$A&amp;'Podium Target Times'!$B:$B, 0))
</f>
        <v>121.74</v>
      </c>
      <c r="L447" s="13">
        <f>L449+G449</f>
        <v>128.8166667</v>
      </c>
      <c r="M447" s="11" t="str">
        <f t="shared" si="1"/>
        <v>2:08.82</v>
      </c>
      <c r="N447" s="14">
        <f>IFERROR(__xludf.DUMMYFUNCTION("LET(
  gen,$A447, ev,$B447, t,$M447,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)"),655.0)</f>
        <v>655</v>
      </c>
    </row>
    <row r="448">
      <c r="A448" s="5" t="s">
        <v>295</v>
      </c>
      <c r="B448" s="6" t="s">
        <v>99</v>
      </c>
      <c r="C448" s="6">
        <v>16.0</v>
      </c>
      <c r="D448" s="6">
        <v>2.0</v>
      </c>
      <c r="E448" s="7" t="s">
        <v>377</v>
      </c>
      <c r="F448" s="8">
        <f>IFERROR(__xludf.DUMMYFUNCTION("IF(
  REGEXMATCH(E448, "":""),
  60*VALUE(INDEX(SPLIT(E448, "":""),1,1)) + VALUE(INDEX(SPLIT(E448, "":""),1,2)),
  VALUE(E448)
)"),124.75)</f>
        <v>124.75</v>
      </c>
      <c r="G448" s="8">
        <f>F446-F447</f>
        <v>3.97</v>
      </c>
      <c r="H448" s="8">
        <v>3.969999999999999</v>
      </c>
      <c r="I448" s="6">
        <f>C446</f>
        <v>15</v>
      </c>
      <c r="J448" s="6">
        <f>C463</f>
        <v>23</v>
      </c>
      <c r="K448" s="6">
        <f t="array" ref="K448">INDEX('Podium Target Times'!$C:$C, MATCH(A448&amp;B448, 'Podium Target Times'!$A:$A&amp;'Podium Target Times'!$B:$B, 0))
</f>
        <v>121.74</v>
      </c>
      <c r="L448" s="8">
        <f>L449+G449</f>
        <v>128.8166667</v>
      </c>
      <c r="M448" s="6" t="str">
        <f t="shared" si="1"/>
        <v>2:08.82</v>
      </c>
      <c r="N448" s="9">
        <f>IFERROR(__xludf.DUMMYFUNCTION("LET(
  gen,$A448, ev,$B448, t,$M448,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)"),655.0)</f>
        <v>655</v>
      </c>
    </row>
    <row r="449">
      <c r="A449" s="10" t="s">
        <v>295</v>
      </c>
      <c r="B449" s="11" t="s">
        <v>99</v>
      </c>
      <c r="C449" s="11">
        <v>17.0</v>
      </c>
      <c r="D449" s="11">
        <v>1.0</v>
      </c>
      <c r="E449" s="12" t="s">
        <v>378</v>
      </c>
      <c r="F449" s="13">
        <f>IFERROR(__xludf.DUMMYFUNCTION("IF(
  REGEXMATCH(E449, "":""),
  60*VALUE(INDEX(SPLIT(E449, "":""),1,1)) + VALUE(INDEX(SPLIT(E449, "":""),1,2)),
  VALUE(E449)
)"),120.86)</f>
        <v>120.86</v>
      </c>
      <c r="G449" s="13">
        <f>average(F447-F449,F448-F450)</f>
        <v>2.81</v>
      </c>
      <c r="H449" s="13">
        <v>2.809999999999995</v>
      </c>
      <c r="I449" s="11">
        <f>C446</f>
        <v>15</v>
      </c>
      <c r="J449" s="11">
        <f>C463</f>
        <v>23</v>
      </c>
      <c r="K449" s="11">
        <f t="array" ref="K449">INDEX('Podium Target Times'!$C:$C, MATCH(A449&amp;B449, 'Podium Target Times'!$A:$A&amp;'Podium Target Times'!$B:$B, 0))
</f>
        <v>121.74</v>
      </c>
      <c r="L449" s="13">
        <f>L452+G452</f>
        <v>126.0066667</v>
      </c>
      <c r="M449" s="11" t="str">
        <f t="shared" si="1"/>
        <v>2:06.01</v>
      </c>
      <c r="N449" s="14">
        <f>IFERROR(__xludf.DUMMYFUNCTION("LET(
  gen,$A449, ev,$B449, t,$M449,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)"),700.0)</f>
        <v>700</v>
      </c>
    </row>
    <row r="450">
      <c r="A450" s="5" t="s">
        <v>295</v>
      </c>
      <c r="B450" s="6" t="s">
        <v>99</v>
      </c>
      <c r="C450" s="6">
        <v>17.0</v>
      </c>
      <c r="D450" s="6">
        <v>2.0</v>
      </c>
      <c r="E450" s="7" t="s">
        <v>379</v>
      </c>
      <c r="F450" s="8">
        <f>IFERROR(__xludf.DUMMYFUNCTION("IF(
  REGEXMATCH(E450, "":""),
  60*VALUE(INDEX(SPLIT(E450, "":""),1,1)) + VALUE(INDEX(SPLIT(E450, "":""),1,2)),
  VALUE(E450)
)"),121.93)</f>
        <v>121.93</v>
      </c>
      <c r="G450" s="8">
        <f>average(F447-F449,F448-F450)</f>
        <v>2.81</v>
      </c>
      <c r="H450" s="8">
        <v>2.809999999999995</v>
      </c>
      <c r="I450" s="6">
        <f>C446</f>
        <v>15</v>
      </c>
      <c r="J450" s="6">
        <f>C463</f>
        <v>23</v>
      </c>
      <c r="K450" s="6">
        <f t="array" ref="K450">INDEX('Podium Target Times'!$C:$C, MATCH(A450&amp;B450, 'Podium Target Times'!$A:$A&amp;'Podium Target Times'!$B:$B, 0))
</f>
        <v>121.74</v>
      </c>
      <c r="L450" s="8">
        <f>L452+G452</f>
        <v>126.0066667</v>
      </c>
      <c r="M450" s="6" t="str">
        <f t="shared" si="1"/>
        <v>2:06.01</v>
      </c>
      <c r="N450" s="9">
        <f>IFERROR(__xludf.DUMMYFUNCTION("LET(
  gen,$A450, ev,$B450, t,$M450,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)"),700.0)</f>
        <v>700</v>
      </c>
    </row>
    <row r="451">
      <c r="A451" s="10" t="s">
        <v>295</v>
      </c>
      <c r="B451" s="11" t="s">
        <v>99</v>
      </c>
      <c r="C451" s="11">
        <v>17.0</v>
      </c>
      <c r="D451" s="11">
        <v>3.0</v>
      </c>
      <c r="E451" s="12" t="s">
        <v>380</v>
      </c>
      <c r="F451" s="13">
        <f>IFERROR(__xludf.DUMMYFUNCTION("IF(
  REGEXMATCH(E451, "":""),
  60*VALUE(INDEX(SPLIT(E451, "":""),1,1)) + VALUE(INDEX(SPLIT(E451, "":""),1,2)),
  VALUE(E451)
)"),122.23)</f>
        <v>122.23</v>
      </c>
      <c r="G451" s="13">
        <f>average(F447-F449,F448-F450)</f>
        <v>2.81</v>
      </c>
      <c r="H451" s="13">
        <v>2.809999999999995</v>
      </c>
      <c r="I451" s="11">
        <f>C446</f>
        <v>15</v>
      </c>
      <c r="J451" s="11">
        <f>C463</f>
        <v>23</v>
      </c>
      <c r="K451" s="11">
        <f t="array" ref="K451">INDEX('Podium Target Times'!$C:$C, MATCH(A451&amp;B451, 'Podium Target Times'!$A:$A&amp;'Podium Target Times'!$B:$B, 0))
</f>
        <v>121.74</v>
      </c>
      <c r="L451" s="13">
        <f>L452+G452</f>
        <v>126.0066667</v>
      </c>
      <c r="M451" s="11" t="str">
        <f t="shared" si="1"/>
        <v>2:06.01</v>
      </c>
      <c r="N451" s="14">
        <f>IFERROR(__xludf.DUMMYFUNCTION("LET(
  gen,$A451, ev,$B451, t,$M451,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)"),700.0)</f>
        <v>700</v>
      </c>
    </row>
    <row r="452">
      <c r="A452" s="5" t="s">
        <v>295</v>
      </c>
      <c r="B452" s="6" t="s">
        <v>99</v>
      </c>
      <c r="C452" s="6">
        <v>18.0</v>
      </c>
      <c r="D452" s="6">
        <v>1.0</v>
      </c>
      <c r="E452" s="7" t="s">
        <v>163</v>
      </c>
      <c r="F452" s="8">
        <f>IFERROR(__xludf.DUMMYFUNCTION("IF(
  REGEXMATCH(E452, "":""),
  60*VALUE(INDEX(SPLIT(E452, "":""),1,1)) + VALUE(INDEX(SPLIT(E452, "":""),1,2)),
  VALUE(E452)
)"),119.15)</f>
        <v>119.15</v>
      </c>
      <c r="G452" s="8">
        <f>average(F449-F452,F450-F453,F451-F454)</f>
        <v>1.716666667</v>
      </c>
      <c r="H452" s="8">
        <v>1.7166666666666686</v>
      </c>
      <c r="I452" s="6">
        <f>C446</f>
        <v>15</v>
      </c>
      <c r="J452" s="6">
        <f>C463</f>
        <v>23</v>
      </c>
      <c r="K452" s="6">
        <f t="array" ref="K452">INDEX('Podium Target Times'!$C:$C, MATCH(A452&amp;B452, 'Podium Target Times'!$A:$A&amp;'Podium Target Times'!$B:$B, 0))
</f>
        <v>121.74</v>
      </c>
      <c r="L452" s="8">
        <f>L455+G455</f>
        <v>124.29</v>
      </c>
      <c r="M452" s="6" t="str">
        <f t="shared" si="1"/>
        <v>2:04.29</v>
      </c>
      <c r="N452" s="9">
        <f>IFERROR(__xludf.DUMMYFUNCTION("LET(
  gen,$A452, ev,$B452, t,$M452,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453">
      <c r="A453" s="10" t="s">
        <v>295</v>
      </c>
      <c r="B453" s="11" t="s">
        <v>99</v>
      </c>
      <c r="C453" s="11">
        <v>18.0</v>
      </c>
      <c r="D453" s="11">
        <v>2.0</v>
      </c>
      <c r="E453" s="12" t="s">
        <v>381</v>
      </c>
      <c r="F453" s="13">
        <f>IFERROR(__xludf.DUMMYFUNCTION("IF(
  REGEXMATCH(E453, "":""),
  60*VALUE(INDEX(SPLIT(E453, "":""),1,1)) + VALUE(INDEX(SPLIT(E453, "":""),1,2)),
  VALUE(E453)
)"),120.21)</f>
        <v>120.21</v>
      </c>
      <c r="G453" s="13">
        <f>average(F449-F452,F450-F453,F451-F454)</f>
        <v>1.716666667</v>
      </c>
      <c r="H453" s="13">
        <v>1.7166666666666686</v>
      </c>
      <c r="I453" s="11">
        <f>C446</f>
        <v>15</v>
      </c>
      <c r="J453" s="11">
        <f>C463</f>
        <v>23</v>
      </c>
      <c r="K453" s="11">
        <f t="array" ref="K453">INDEX('Podium Target Times'!$C:$C, MATCH(A453&amp;B453, 'Podium Target Times'!$A:$A&amp;'Podium Target Times'!$B:$B, 0))
</f>
        <v>121.74</v>
      </c>
      <c r="L453" s="13">
        <f>L455+G455</f>
        <v>124.29</v>
      </c>
      <c r="M453" s="11" t="str">
        <f t="shared" si="1"/>
        <v>2:04.29</v>
      </c>
      <c r="N453" s="14">
        <f>IFERROR(__xludf.DUMMYFUNCTION("LET(
  gen,$A453, ev,$B453, t,$M453,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454">
      <c r="A454" s="5" t="s">
        <v>295</v>
      </c>
      <c r="B454" s="6" t="s">
        <v>99</v>
      </c>
      <c r="C454" s="6">
        <v>18.0</v>
      </c>
      <c r="D454" s="6">
        <v>3.0</v>
      </c>
      <c r="E454" s="7" t="s">
        <v>382</v>
      </c>
      <c r="F454" s="8">
        <f>IFERROR(__xludf.DUMMYFUNCTION("IF(
  REGEXMATCH(E454, "":""),
  60*VALUE(INDEX(SPLIT(E454, "":""),1,1)) + VALUE(INDEX(SPLIT(E454, "":""),1,2)),
  VALUE(E454)
)"),120.51)</f>
        <v>120.51</v>
      </c>
      <c r="G454" s="8">
        <f>average(F449-F452,F450-F453,F451-F454)</f>
        <v>1.716666667</v>
      </c>
      <c r="H454" s="8">
        <v>1.7166666666666686</v>
      </c>
      <c r="I454" s="6">
        <f>C446</f>
        <v>15</v>
      </c>
      <c r="J454" s="6">
        <f>C463</f>
        <v>23</v>
      </c>
      <c r="K454" s="6">
        <f t="array" ref="K454">INDEX('Podium Target Times'!$C:$C, MATCH(A454&amp;B454, 'Podium Target Times'!$A:$A&amp;'Podium Target Times'!$B:$B, 0))
</f>
        <v>121.74</v>
      </c>
      <c r="L454" s="8">
        <f>L455+G455</f>
        <v>124.29</v>
      </c>
      <c r="M454" s="6" t="str">
        <f t="shared" si="1"/>
        <v>2:04.29</v>
      </c>
      <c r="N454" s="9">
        <f>IFERROR(__xludf.DUMMYFUNCTION("LET(
  gen,$A454, ev,$B454, t,$M454,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)"),730.0)</f>
        <v>730</v>
      </c>
    </row>
    <row r="455">
      <c r="A455" s="10" t="s">
        <v>295</v>
      </c>
      <c r="B455" s="11" t="s">
        <v>99</v>
      </c>
      <c r="C455" s="11">
        <v>19.0</v>
      </c>
      <c r="D455" s="11">
        <v>1.0</v>
      </c>
      <c r="E455" s="12" t="s">
        <v>383</v>
      </c>
      <c r="F455" s="13">
        <f>IFERROR(__xludf.DUMMYFUNCTION("IF(
  REGEXMATCH(E455, "":""),
  60*VALUE(INDEX(SPLIT(E455, "":""),1,1)) + VALUE(INDEX(SPLIT(E455, "":""),1,2)),
  VALUE(E455)
)"),118.07)</f>
        <v>118.07</v>
      </c>
      <c r="G455" s="13">
        <f>average(F452-F455,F453-F456,F454-F457)</f>
        <v>1.09</v>
      </c>
      <c r="H455" s="13">
        <v>1.0900000000000034</v>
      </c>
      <c r="I455" s="11">
        <f>C446</f>
        <v>15</v>
      </c>
      <c r="J455" s="11">
        <f>C463</f>
        <v>23</v>
      </c>
      <c r="K455" s="11">
        <f t="array" ref="K455">INDEX('Podium Target Times'!$C:$C, MATCH(A455&amp;B455, 'Podium Target Times'!$A:$A&amp;'Podium Target Times'!$B:$B, 0))
</f>
        <v>121.74</v>
      </c>
      <c r="L455" s="13">
        <f>L458+G458</f>
        <v>123.2</v>
      </c>
      <c r="M455" s="11" t="str">
        <f t="shared" si="1"/>
        <v>2:03.20</v>
      </c>
      <c r="N455" s="14">
        <f>IFERROR(__xludf.DUMMYFUNCTION("LET(
  gen,$A455, ev,$B455, t,$M455,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456">
      <c r="A456" s="5" t="s">
        <v>295</v>
      </c>
      <c r="B456" s="6" t="s">
        <v>99</v>
      </c>
      <c r="C456" s="6">
        <v>19.0</v>
      </c>
      <c r="D456" s="6">
        <v>2.0</v>
      </c>
      <c r="E456" s="7" t="s">
        <v>384</v>
      </c>
      <c r="F456" s="8">
        <f>IFERROR(__xludf.DUMMYFUNCTION("IF(
  REGEXMATCH(E456, "":""),
  60*VALUE(INDEX(SPLIT(E456, "":""),1,1)) + VALUE(INDEX(SPLIT(E456, "":""),1,2)),
  VALUE(E456)
)"),119.12)</f>
        <v>119.12</v>
      </c>
      <c r="G456" s="8">
        <f>average(F452-F455,F453-F456,F454-F457)</f>
        <v>1.09</v>
      </c>
      <c r="H456" s="8">
        <v>1.0900000000000034</v>
      </c>
      <c r="I456" s="6">
        <f>C446</f>
        <v>15</v>
      </c>
      <c r="J456" s="6">
        <f>C463</f>
        <v>23</v>
      </c>
      <c r="K456" s="6">
        <f t="array" ref="K456">INDEX('Podium Target Times'!$C:$C, MATCH(A456&amp;B456, 'Podium Target Times'!$A:$A&amp;'Podium Target Times'!$B:$B, 0))
</f>
        <v>121.74</v>
      </c>
      <c r="L456" s="8">
        <f>L458+G458</f>
        <v>123.2</v>
      </c>
      <c r="M456" s="6" t="str">
        <f t="shared" si="1"/>
        <v>2:03.20</v>
      </c>
      <c r="N456" s="9">
        <f>IFERROR(__xludf.DUMMYFUNCTION("LET(
  gen,$A456, ev,$B456, t,$M456,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457">
      <c r="A457" s="10" t="s">
        <v>295</v>
      </c>
      <c r="B457" s="11" t="s">
        <v>99</v>
      </c>
      <c r="C457" s="11">
        <v>19.0</v>
      </c>
      <c r="D457" s="11">
        <v>3.0</v>
      </c>
      <c r="E457" s="12" t="s">
        <v>385</v>
      </c>
      <c r="F457" s="13">
        <f>IFERROR(__xludf.DUMMYFUNCTION("IF(
  REGEXMATCH(E457, "":""),
  60*VALUE(INDEX(SPLIT(E457, "":""),1,1)) + VALUE(INDEX(SPLIT(E457, "":""),1,2)),
  VALUE(E457)
)"),119.41)</f>
        <v>119.41</v>
      </c>
      <c r="G457" s="13">
        <f>average(F452-F455,F453-F456,F454-F457)</f>
        <v>1.09</v>
      </c>
      <c r="H457" s="13">
        <v>1.0900000000000034</v>
      </c>
      <c r="I457" s="11">
        <f>C446</f>
        <v>15</v>
      </c>
      <c r="J457" s="11">
        <f>C463</f>
        <v>23</v>
      </c>
      <c r="K457" s="11">
        <f t="array" ref="K457">INDEX('Podium Target Times'!$C:$C, MATCH(A457&amp;B457, 'Podium Target Times'!$A:$A&amp;'Podium Target Times'!$B:$B, 0))
</f>
        <v>121.74</v>
      </c>
      <c r="L457" s="13">
        <f>L458+G458</f>
        <v>123.2</v>
      </c>
      <c r="M457" s="11" t="str">
        <f t="shared" si="1"/>
        <v>2:03.20</v>
      </c>
      <c r="N457" s="14">
        <f>IFERROR(__xludf.DUMMYFUNCTION("LET(
  gen,$A457, ev,$B457, t,$M457,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)"),749.0)</f>
        <v>749</v>
      </c>
    </row>
    <row r="458">
      <c r="A458" s="5" t="s">
        <v>295</v>
      </c>
      <c r="B458" s="6" t="s">
        <v>99</v>
      </c>
      <c r="C458" s="6">
        <v>20.0</v>
      </c>
      <c r="D458" s="6">
        <v>2.0</v>
      </c>
      <c r="E458" s="7" t="s">
        <v>386</v>
      </c>
      <c r="F458" s="8">
        <f>IFERROR(__xludf.DUMMYFUNCTION("IF(
  REGEXMATCH(E458, "":""),
  60*VALUE(INDEX(SPLIT(E458, "":""),1,1)) + VALUE(INDEX(SPLIT(E458, "":""),1,2)),
  VALUE(E458)
)"),118.47999999999999)</f>
        <v>118.48</v>
      </c>
      <c r="G458" s="8">
        <f>average(F456-F458,F457-F459)</f>
        <v>0.64</v>
      </c>
      <c r="H458" s="8">
        <v>0.6400000000000006</v>
      </c>
      <c r="I458" s="6">
        <f>C446</f>
        <v>15</v>
      </c>
      <c r="J458" s="6">
        <f>C463</f>
        <v>23</v>
      </c>
      <c r="K458" s="6">
        <f t="array" ref="K458">INDEX('Podium Target Times'!$C:$C, MATCH(A458&amp;B458, 'Podium Target Times'!$A:$A&amp;'Podium Target Times'!$B:$B, 0))
</f>
        <v>121.74</v>
      </c>
      <c r="L458" s="8">
        <f>L460+G460</f>
        <v>122.56</v>
      </c>
      <c r="M458" s="6" t="str">
        <f t="shared" si="1"/>
        <v>2:02.56</v>
      </c>
      <c r="N458" s="9">
        <f>IFERROR(__xludf.DUMMYFUNCTION("LET(
  gen,$A458, ev,$B458, t,$M458,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459">
      <c r="A459" s="10" t="s">
        <v>295</v>
      </c>
      <c r="B459" s="11" t="s">
        <v>99</v>
      </c>
      <c r="C459" s="11">
        <v>20.0</v>
      </c>
      <c r="D459" s="11">
        <v>3.0</v>
      </c>
      <c r="E459" s="12" t="s">
        <v>387</v>
      </c>
      <c r="F459" s="13">
        <f>IFERROR(__xludf.DUMMYFUNCTION("IF(
  REGEXMATCH(E459, "":""),
  60*VALUE(INDEX(SPLIT(E459, "":""),1,1)) + VALUE(INDEX(SPLIT(E459, "":""),1,2)),
  VALUE(E459)
)"),118.77000000000001)</f>
        <v>118.77</v>
      </c>
      <c r="G459" s="13">
        <f>average(F456-F458,F457-F459)</f>
        <v>0.64</v>
      </c>
      <c r="H459" s="13">
        <v>0.6400000000000006</v>
      </c>
      <c r="I459" s="11">
        <f>C446</f>
        <v>15</v>
      </c>
      <c r="J459" s="11">
        <f>C463</f>
        <v>23</v>
      </c>
      <c r="K459" s="11">
        <f t="array" ref="K459">INDEX('Podium Target Times'!$C:$C, MATCH(A459&amp;B459, 'Podium Target Times'!$A:$A&amp;'Podium Target Times'!$B:$B, 0))
</f>
        <v>121.74</v>
      </c>
      <c r="L459" s="13">
        <f>L460+G460</f>
        <v>122.56</v>
      </c>
      <c r="M459" s="11" t="str">
        <f t="shared" si="1"/>
        <v>2:02.56</v>
      </c>
      <c r="N459" s="14">
        <f>IFERROR(__xludf.DUMMYFUNCTION("LET(
  gen,$A459, ev,$B459, t,$M459,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460">
      <c r="A460" s="5" t="s">
        <v>295</v>
      </c>
      <c r="B460" s="6" t="s">
        <v>99</v>
      </c>
      <c r="C460" s="6">
        <v>21.0</v>
      </c>
      <c r="D460" s="6">
        <v>2.0</v>
      </c>
      <c r="E460" s="7" t="s">
        <v>383</v>
      </c>
      <c r="F460" s="8">
        <f>IFERROR(__xludf.DUMMYFUNCTION("IF(
  REGEXMATCH(E460, "":""),
  60*VALUE(INDEX(SPLIT(E460, "":""),1,1)) + VALUE(INDEX(SPLIT(E460, "":""),1,2)),
  VALUE(E460)
)"),118.07)</f>
        <v>118.07</v>
      </c>
      <c r="G460" s="8">
        <f>average(F458-F460,F459-F461)</f>
        <v>0.41</v>
      </c>
      <c r="H460" s="8">
        <v>0.4100000000000037</v>
      </c>
      <c r="I460" s="6">
        <f>C446</f>
        <v>15</v>
      </c>
      <c r="J460" s="6">
        <f>C463</f>
        <v>23</v>
      </c>
      <c r="K460" s="6">
        <f t="array" ref="K460">INDEX('Podium Target Times'!$C:$C, MATCH(A460&amp;B460, 'Podium Target Times'!$A:$A&amp;'Podium Target Times'!$B:$B, 0))
</f>
        <v>121.74</v>
      </c>
      <c r="L460" s="8">
        <f>L462+G462</f>
        <v>122.15</v>
      </c>
      <c r="M460" s="6" t="str">
        <f t="shared" si="1"/>
        <v>2:02.15</v>
      </c>
      <c r="N460" s="9">
        <f>IFERROR(__xludf.DUMMYFUNCTION("LET(
  gen,$A460, ev,$B460, t,$M460,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61">
      <c r="A461" s="10" t="s">
        <v>295</v>
      </c>
      <c r="B461" s="11" t="s">
        <v>99</v>
      </c>
      <c r="C461" s="11">
        <v>21.0</v>
      </c>
      <c r="D461" s="11">
        <v>3.0</v>
      </c>
      <c r="E461" s="12" t="s">
        <v>388</v>
      </c>
      <c r="F461" s="13">
        <f>IFERROR(__xludf.DUMMYFUNCTION("IF(
  REGEXMATCH(E461, "":""),
  60*VALUE(INDEX(SPLIT(E461, "":""),1,1)) + VALUE(INDEX(SPLIT(E461, "":""),1,2)),
  VALUE(E461)
)"),118.36)</f>
        <v>118.36</v>
      </c>
      <c r="G461" s="13">
        <f>average(F458-F460,F459-F461)</f>
        <v>0.41</v>
      </c>
      <c r="H461" s="13">
        <v>0.4100000000000037</v>
      </c>
      <c r="I461" s="11">
        <f>C446</f>
        <v>15</v>
      </c>
      <c r="J461" s="11">
        <f>C463</f>
        <v>23</v>
      </c>
      <c r="K461" s="11">
        <f t="array" ref="K461">INDEX('Podium Target Times'!$C:$C, MATCH(A461&amp;B461, 'Podium Target Times'!$A:$A&amp;'Podium Target Times'!$B:$B, 0))
</f>
        <v>121.74</v>
      </c>
      <c r="L461" s="13">
        <f t="shared" ref="L461:L462" si="47">L462+G462</f>
        <v>122.15</v>
      </c>
      <c r="M461" s="11" t="str">
        <f t="shared" si="1"/>
        <v>2:02.15</v>
      </c>
      <c r="N461" s="14">
        <f>IFERROR(__xludf.DUMMYFUNCTION("LET(
  gen,$A461, ev,$B461, t,$M461,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)"),769.0)</f>
        <v>769</v>
      </c>
    </row>
    <row r="462">
      <c r="A462" s="5" t="s">
        <v>295</v>
      </c>
      <c r="B462" s="6" t="s">
        <v>99</v>
      </c>
      <c r="C462" s="6">
        <v>22.0</v>
      </c>
      <c r="D462" s="6">
        <v>3.0</v>
      </c>
      <c r="E462" s="7" t="s">
        <v>389</v>
      </c>
      <c r="F462" s="8">
        <f>IFERROR(__xludf.DUMMYFUNCTION("IF(
  REGEXMATCH(E462, "":""),
  60*VALUE(INDEX(SPLIT(E462, "":""),1,1)) + VALUE(INDEX(SPLIT(E462, "":""),1,2)),
  VALUE(E462)
)"),118.13)</f>
        <v>118.13</v>
      </c>
      <c r="G462" s="8">
        <f t="shared" ref="G462:G463" si="48">F461-F462</f>
        <v>0.23</v>
      </c>
      <c r="H462" s="8">
        <v>0.23000000000000398</v>
      </c>
      <c r="I462" s="6">
        <f>C446</f>
        <v>15</v>
      </c>
      <c r="J462" s="6">
        <f>C463</f>
        <v>23</v>
      </c>
      <c r="K462" s="6">
        <f t="array" ref="K462">INDEX('Podium Target Times'!$C:$C, MATCH(A462&amp;B462, 'Podium Target Times'!$A:$A&amp;'Podium Target Times'!$B:$B, 0))
</f>
        <v>121.74</v>
      </c>
      <c r="L462" s="8">
        <f t="shared" si="47"/>
        <v>121.92</v>
      </c>
      <c r="M462" s="6" t="str">
        <f t="shared" si="1"/>
        <v>2:01.92</v>
      </c>
      <c r="N462" s="9">
        <f>IFERROR(__xludf.DUMMYFUNCTION("LET(
  gen,$A462, ev,$B462, t,$M462,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)"),773.0)</f>
        <v>773</v>
      </c>
    </row>
    <row r="463">
      <c r="A463" s="10" t="s">
        <v>295</v>
      </c>
      <c r="B463" s="11" t="s">
        <v>99</v>
      </c>
      <c r="C463" s="11">
        <v>23.0</v>
      </c>
      <c r="D463" s="11">
        <v>3.0</v>
      </c>
      <c r="E463" s="12" t="s">
        <v>383</v>
      </c>
      <c r="F463" s="13">
        <f>IFERROR(__xludf.DUMMYFUNCTION("IF(
  REGEXMATCH(E463, "":""),
  60*VALUE(INDEX(SPLIT(E463, "":""),1,1)) + VALUE(INDEX(SPLIT(E463, "":""),1,2)),
  VALUE(E463)
)"),118.07)</f>
        <v>118.07</v>
      </c>
      <c r="G463" s="13">
        <f t="shared" si="48"/>
        <v>0.06</v>
      </c>
      <c r="H463" s="13">
        <v>0.060000000000002274</v>
      </c>
      <c r="I463" s="11">
        <f>C446</f>
        <v>15</v>
      </c>
      <c r="J463" s="11">
        <f>C463</f>
        <v>23</v>
      </c>
      <c r="K463" s="11">
        <f t="array" ref="K463">INDEX('Podium Target Times'!$C:$C, MATCH(A463&amp;B463, 'Podium Target Times'!$A:$A&amp;'Podium Target Times'!$B:$B, 0))
</f>
        <v>121.74</v>
      </c>
      <c r="L463" s="13">
        <f>G463+L464</f>
        <v>121.86</v>
      </c>
      <c r="M463" s="11" t="str">
        <f t="shared" si="1"/>
        <v>2:01.86</v>
      </c>
      <c r="N463" s="14">
        <f>IFERROR(__xludf.DUMMYFUNCTION("LET(
  gen,$A463, ev,$B463, t,$M463,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)"),774.0)</f>
        <v>774</v>
      </c>
    </row>
    <row r="464">
      <c r="A464" s="5" t="s">
        <v>295</v>
      </c>
      <c r="B464" s="6" t="s">
        <v>99</v>
      </c>
      <c r="C464" s="6">
        <v>24.0</v>
      </c>
      <c r="D464" s="6"/>
      <c r="E464" s="7"/>
      <c r="F464" s="8">
        <f>IFERROR(__xludf.DUMMYFUNCTION("IF(
  REGEXMATCH(E464, "":""),
  60*VALUE(INDEX(SPLIT(E464, "":""),1,1)) + VALUE(INDEX(SPLIT(E464, "":""),1,2)),
  VALUE(E464)
)"),0.0)</f>
        <v>0</v>
      </c>
      <c r="G464" s="8"/>
      <c r="H464" s="8"/>
      <c r="I464" s="6">
        <f>C446</f>
        <v>15</v>
      </c>
      <c r="J464" s="6">
        <f>C463</f>
        <v>23</v>
      </c>
      <c r="K464" s="6">
        <f t="array" ref="K464">INDEX('Podium Target Times'!$C:$C, MATCH(A464&amp;B464, 'Podium Target Times'!$A:$A&amp;'Podium Target Times'!$B:$B, 0))
</f>
        <v>121.74</v>
      </c>
      <c r="L464" s="8">
        <f>G463+L465</f>
        <v>121.8</v>
      </c>
      <c r="M464" s="6" t="str">
        <f t="shared" si="1"/>
        <v>2:01.80</v>
      </c>
      <c r="N464" s="9">
        <f>IFERROR(__xludf.DUMMYFUNCTION("LET(
  gen,$A464, ev,$B464, t,$M464,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465">
      <c r="A465" s="10" t="s">
        <v>295</v>
      </c>
      <c r="B465" s="11" t="s">
        <v>99</v>
      </c>
      <c r="C465" s="11">
        <v>25.0</v>
      </c>
      <c r="D465" s="11"/>
      <c r="E465" s="12"/>
      <c r="F465" s="13">
        <f>IFERROR(__xludf.DUMMYFUNCTION("IF(
  REGEXMATCH(E465, "":""),
  60*VALUE(INDEX(SPLIT(E465, "":""),1,1)) + VALUE(INDEX(SPLIT(E465, "":""),1,2)),
  VALUE(E465)
)"),0.0)</f>
        <v>0</v>
      </c>
      <c r="G465" s="13"/>
      <c r="H465" s="13"/>
      <c r="I465" s="11">
        <f>C446</f>
        <v>15</v>
      </c>
      <c r="J465" s="11">
        <f>C463</f>
        <v>23</v>
      </c>
      <c r="K465" s="11">
        <f t="array" ref="K465">INDEX('Podium Target Times'!$C:$C, MATCH(A465&amp;B465, 'Podium Target Times'!$A:$A&amp;'Podium Target Times'!$B:$B, 0))
</f>
        <v>121.74</v>
      </c>
      <c r="L465" s="11">
        <f>K465</f>
        <v>121.74</v>
      </c>
      <c r="M465" s="11" t="str">
        <f t="shared" si="1"/>
        <v>2:01.74</v>
      </c>
      <c r="N465" s="14">
        <f>IFERROR(__xludf.DUMMYFUNCTION("LET(
  gen,$A465, ev,$B465, t,$M465,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)"),777.0)</f>
        <v>777</v>
      </c>
    </row>
    <row r="466">
      <c r="A466" s="5" t="s">
        <v>295</v>
      </c>
      <c r="B466" s="6" t="s">
        <v>115</v>
      </c>
      <c r="C466" s="6">
        <v>15.0</v>
      </c>
      <c r="D466" s="6">
        <v>1.0</v>
      </c>
      <c r="E466" s="7" t="s">
        <v>390</v>
      </c>
      <c r="F466" s="8">
        <f>IFERROR(__xludf.DUMMYFUNCTION("IF(
  REGEXMATCH(E466, "":""),
  60*VALUE(INDEX(SPLIT(E466, "":""),1,1)) + VALUE(INDEX(SPLIT(E466, "":""),1,2)),
  VALUE(E466)
)"),143.31)</f>
        <v>143.31</v>
      </c>
      <c r="G466" s="8">
        <v>0.0</v>
      </c>
      <c r="H466" s="8">
        <v>0.0</v>
      </c>
      <c r="I466" s="6">
        <f>C466</f>
        <v>15</v>
      </c>
      <c r="J466" s="6">
        <f>C483</f>
        <v>23</v>
      </c>
      <c r="K466" s="6">
        <f t="array" ref="K466">INDEX('Podium Target Times'!$C:$C, MATCH(A466&amp;B466, 'Podium Target Times'!$A:$A&amp;'Podium Target Times'!$B:$B, 0))
</f>
        <v>134.3</v>
      </c>
      <c r="L466" s="8">
        <f>L467+G467</f>
        <v>151.275</v>
      </c>
      <c r="M466" s="6" t="str">
        <f t="shared" si="1"/>
        <v>2:31.28</v>
      </c>
      <c r="N466" s="9">
        <f>IFERROR(__xludf.DUMMYFUNCTION("LET(
  gen,$A466, ev,$B466, t,$M466,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)"),570.0)</f>
        <v>570</v>
      </c>
    </row>
    <row r="467">
      <c r="A467" s="10" t="s">
        <v>295</v>
      </c>
      <c r="B467" s="11" t="s">
        <v>115</v>
      </c>
      <c r="C467" s="11">
        <v>16.0</v>
      </c>
      <c r="D467" s="11">
        <v>1.0</v>
      </c>
      <c r="E467" s="12" t="s">
        <v>391</v>
      </c>
      <c r="F467" s="13">
        <f>IFERROR(__xludf.DUMMYFUNCTION("IF(
  REGEXMATCH(E467, "":""),
  60*VALUE(INDEX(SPLIT(E467, "":""),1,1)) + VALUE(INDEX(SPLIT(E467, "":""),1,2)),
  VALUE(E467)
)"),138.55)</f>
        <v>138.55</v>
      </c>
      <c r="G467" s="13">
        <f>F466-F467</f>
        <v>4.76</v>
      </c>
      <c r="H467" s="13">
        <v>4.759999999999991</v>
      </c>
      <c r="I467" s="11">
        <f>C466</f>
        <v>15</v>
      </c>
      <c r="J467" s="11">
        <f>C483</f>
        <v>23</v>
      </c>
      <c r="K467" s="11">
        <f t="array" ref="K467">INDEX('Podium Target Times'!$C:$C, MATCH(A467&amp;B467, 'Podium Target Times'!$A:$A&amp;'Podium Target Times'!$B:$B, 0))
</f>
        <v>134.3</v>
      </c>
      <c r="L467" s="13">
        <f>L469+G469</f>
        <v>146.515</v>
      </c>
      <c r="M467" s="11" t="str">
        <f t="shared" si="1"/>
        <v>2:26.52</v>
      </c>
      <c r="N467" s="14">
        <f>IFERROR(__xludf.DUMMYFUNCTION("LET(
  gen,$A467, ev,$B467, t,$M467,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)"),628.0)</f>
        <v>628</v>
      </c>
    </row>
    <row r="468">
      <c r="A468" s="5" t="s">
        <v>295</v>
      </c>
      <c r="B468" s="6" t="s">
        <v>115</v>
      </c>
      <c r="C468" s="6">
        <v>16.0</v>
      </c>
      <c r="D468" s="6">
        <v>2.0</v>
      </c>
      <c r="E468" s="7" t="s">
        <v>392</v>
      </c>
      <c r="F468" s="8">
        <f>IFERROR(__xludf.DUMMYFUNCTION("IF(
  REGEXMATCH(E468, "":""),
  60*VALUE(INDEX(SPLIT(E468, "":""),1,1)) + VALUE(INDEX(SPLIT(E468, "":""),1,2)),
  VALUE(E468)
)"),140.95)</f>
        <v>140.95</v>
      </c>
      <c r="G468" s="8">
        <f>F466-F467</f>
        <v>4.76</v>
      </c>
      <c r="H468" s="8">
        <v>4.759999999999991</v>
      </c>
      <c r="I468" s="6">
        <f>C466</f>
        <v>15</v>
      </c>
      <c r="J468" s="6">
        <f>C483</f>
        <v>23</v>
      </c>
      <c r="K468" s="6">
        <f t="array" ref="K468">INDEX('Podium Target Times'!$C:$C, MATCH(A468&amp;B468, 'Podium Target Times'!$A:$A&amp;'Podium Target Times'!$B:$B, 0))
</f>
        <v>134.3</v>
      </c>
      <c r="L468" s="8">
        <f>L469+G469</f>
        <v>146.515</v>
      </c>
      <c r="M468" s="6" t="str">
        <f t="shared" si="1"/>
        <v>2:26.52</v>
      </c>
      <c r="N468" s="9">
        <f>IFERROR(__xludf.DUMMYFUNCTION("LET(
  gen,$A468, ev,$B468, t,$M468,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)"),628.0)</f>
        <v>628</v>
      </c>
    </row>
    <row r="469">
      <c r="A469" s="10" t="s">
        <v>295</v>
      </c>
      <c r="B469" s="11" t="s">
        <v>115</v>
      </c>
      <c r="C469" s="11">
        <v>17.0</v>
      </c>
      <c r="D469" s="11">
        <v>1.0</v>
      </c>
      <c r="E469" s="12" t="s">
        <v>393</v>
      </c>
      <c r="F469" s="13">
        <f>IFERROR(__xludf.DUMMYFUNCTION("IF(
  REGEXMATCH(E469, "":""),
  60*VALUE(INDEX(SPLIT(E469, "":""),1,1)) + VALUE(INDEX(SPLIT(E469, "":""),1,2)),
  VALUE(E469)
)"),134.89)</f>
        <v>134.89</v>
      </c>
      <c r="G469" s="13">
        <f>average(F467-F469,F468-F470)</f>
        <v>3.685</v>
      </c>
      <c r="H469" s="13">
        <v>3.6850000000000023</v>
      </c>
      <c r="I469" s="11">
        <f>C466</f>
        <v>15</v>
      </c>
      <c r="J469" s="11">
        <f>C483</f>
        <v>23</v>
      </c>
      <c r="K469" s="11">
        <f t="array" ref="K469">INDEX('Podium Target Times'!$C:$C, MATCH(A469&amp;B469, 'Podium Target Times'!$A:$A&amp;'Podium Target Times'!$B:$B, 0))
</f>
        <v>134.3</v>
      </c>
      <c r="L469" s="13">
        <f>L472+G472</f>
        <v>142.83</v>
      </c>
      <c r="M469" s="11" t="str">
        <f t="shared" si="1"/>
        <v>2:22.83</v>
      </c>
      <c r="N469" s="14">
        <f>IFERROR(__xludf.DUMMYFUNCTION("LET(
  gen,$A469, ev,$B469, t,$M469,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)"),678.0)</f>
        <v>678</v>
      </c>
    </row>
    <row r="470">
      <c r="A470" s="5" t="s">
        <v>295</v>
      </c>
      <c r="B470" s="6" t="s">
        <v>115</v>
      </c>
      <c r="C470" s="6">
        <v>17.0</v>
      </c>
      <c r="D470" s="6">
        <v>2.0</v>
      </c>
      <c r="E470" s="7" t="s">
        <v>394</v>
      </c>
      <c r="F470" s="8">
        <f>IFERROR(__xludf.DUMMYFUNCTION("IF(
  REGEXMATCH(E470, "":""),
  60*VALUE(INDEX(SPLIT(E470, "":""),1,1)) + VALUE(INDEX(SPLIT(E470, "":""),1,2)),
  VALUE(E470)
)"),137.24)</f>
        <v>137.24</v>
      </c>
      <c r="G470" s="8">
        <f>average(F467-F469,F468-F470)</f>
        <v>3.685</v>
      </c>
      <c r="H470" s="8">
        <v>3.6850000000000023</v>
      </c>
      <c r="I470" s="6">
        <f>C466</f>
        <v>15</v>
      </c>
      <c r="J470" s="6">
        <f>C483</f>
        <v>23</v>
      </c>
      <c r="K470" s="6">
        <f t="array" ref="K470">INDEX('Podium Target Times'!$C:$C, MATCH(A470&amp;B470, 'Podium Target Times'!$A:$A&amp;'Podium Target Times'!$B:$B, 0))
</f>
        <v>134.3</v>
      </c>
      <c r="L470" s="8">
        <f>L472+G472</f>
        <v>142.83</v>
      </c>
      <c r="M470" s="6" t="str">
        <f t="shared" si="1"/>
        <v>2:22.83</v>
      </c>
      <c r="N470" s="9">
        <f>IFERROR(__xludf.DUMMYFUNCTION("LET(
  gen,$A470, ev,$B470, t,$M470,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)"),678.0)</f>
        <v>678</v>
      </c>
    </row>
    <row r="471">
      <c r="A471" s="10" t="s">
        <v>295</v>
      </c>
      <c r="B471" s="11" t="s">
        <v>115</v>
      </c>
      <c r="C471" s="11">
        <v>17.0</v>
      </c>
      <c r="D471" s="11">
        <v>3.0</v>
      </c>
      <c r="E471" s="12" t="s">
        <v>395</v>
      </c>
      <c r="F471" s="13">
        <f>IFERROR(__xludf.DUMMYFUNCTION("IF(
  REGEXMATCH(E471, "":""),
  60*VALUE(INDEX(SPLIT(E471, "":""),1,1)) + VALUE(INDEX(SPLIT(E471, "":""),1,2)),
  VALUE(E471)
)"),138.23)</f>
        <v>138.23</v>
      </c>
      <c r="G471" s="13">
        <f>average(F467-F469,F468-F470)</f>
        <v>3.685</v>
      </c>
      <c r="H471" s="13">
        <v>3.6850000000000023</v>
      </c>
      <c r="I471" s="11">
        <f>C466</f>
        <v>15</v>
      </c>
      <c r="J471" s="11">
        <f>C483</f>
        <v>23</v>
      </c>
      <c r="K471" s="11">
        <f t="array" ref="K471">INDEX('Podium Target Times'!$C:$C, MATCH(A471&amp;B471, 'Podium Target Times'!$A:$A&amp;'Podium Target Times'!$B:$B, 0))
</f>
        <v>134.3</v>
      </c>
      <c r="L471" s="13">
        <f>L472+G472</f>
        <v>142.83</v>
      </c>
      <c r="M471" s="11" t="str">
        <f t="shared" si="1"/>
        <v>2:22.83</v>
      </c>
      <c r="N471" s="14">
        <f>IFERROR(__xludf.DUMMYFUNCTION("LET(
  gen,$A471, ev,$B471, t,$M471,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)"),678.0)</f>
        <v>678</v>
      </c>
    </row>
    <row r="472">
      <c r="A472" s="5" t="s">
        <v>295</v>
      </c>
      <c r="B472" s="6" t="s">
        <v>115</v>
      </c>
      <c r="C472" s="6">
        <v>18.0</v>
      </c>
      <c r="D472" s="6">
        <v>1.0</v>
      </c>
      <c r="E472" s="7" t="s">
        <v>396</v>
      </c>
      <c r="F472" s="8">
        <f>IFERROR(__xludf.DUMMYFUNCTION("IF(
  REGEXMATCH(E472, "":""),
  60*VALUE(INDEX(SPLIT(E472, "":""),1,1)) + VALUE(INDEX(SPLIT(E472, "":""),1,2)),
  VALUE(E472)
)"),132.22)</f>
        <v>132.22</v>
      </c>
      <c r="G472" s="8">
        <f>average(F469-F472,F470-F473,F471-F474)</f>
        <v>2.716666667</v>
      </c>
      <c r="H472" s="8">
        <v>2.7166666666666686</v>
      </c>
      <c r="I472" s="6">
        <f>C466</f>
        <v>15</v>
      </c>
      <c r="J472" s="6">
        <f>C483</f>
        <v>23</v>
      </c>
      <c r="K472" s="6">
        <f t="array" ref="K472">INDEX('Podium Target Times'!$C:$C, MATCH(A472&amp;B472, 'Podium Target Times'!$A:$A&amp;'Podium Target Times'!$B:$B, 0))
</f>
        <v>134.3</v>
      </c>
      <c r="L472" s="8">
        <f>L475+G475</f>
        <v>140.1133333</v>
      </c>
      <c r="M472" s="6" t="str">
        <f t="shared" si="1"/>
        <v>2:20.11</v>
      </c>
      <c r="N472" s="9">
        <f>IFERROR(__xludf.DUMMYFUNCTION("LET(
  gen,$A472, ev,$B472, t,$M472,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473">
      <c r="A473" s="10" t="s">
        <v>295</v>
      </c>
      <c r="B473" s="11" t="s">
        <v>115</v>
      </c>
      <c r="C473" s="11">
        <v>18.0</v>
      </c>
      <c r="D473" s="11">
        <v>2.0</v>
      </c>
      <c r="E473" s="12" t="s">
        <v>397</v>
      </c>
      <c r="F473" s="13">
        <f>IFERROR(__xludf.DUMMYFUNCTION("IF(
  REGEXMATCH(E473, "":""),
  60*VALUE(INDEX(SPLIT(E473, "":""),1,1)) + VALUE(INDEX(SPLIT(E473, "":""),1,2)),
  VALUE(E473)
)"),134.51)</f>
        <v>134.51</v>
      </c>
      <c r="G473" s="13">
        <f>average(F469-F472,F470-F473,F471-F474)</f>
        <v>2.716666667</v>
      </c>
      <c r="H473" s="13">
        <v>2.7166666666666686</v>
      </c>
      <c r="I473" s="11">
        <f>C466</f>
        <v>15</v>
      </c>
      <c r="J473" s="11">
        <f>C483</f>
        <v>23</v>
      </c>
      <c r="K473" s="11">
        <f t="array" ref="K473">INDEX('Podium Target Times'!$C:$C, MATCH(A473&amp;B473, 'Podium Target Times'!$A:$A&amp;'Podium Target Times'!$B:$B, 0))
</f>
        <v>134.3</v>
      </c>
      <c r="L473" s="13">
        <f>L475+G475</f>
        <v>140.1133333</v>
      </c>
      <c r="M473" s="11" t="str">
        <f t="shared" si="1"/>
        <v>2:20.11</v>
      </c>
      <c r="N473" s="14">
        <f>IFERROR(__xludf.DUMMYFUNCTION("LET(
  gen,$A473, ev,$B473, t,$M473,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474">
      <c r="A474" s="5" t="s">
        <v>295</v>
      </c>
      <c r="B474" s="6" t="s">
        <v>115</v>
      </c>
      <c r="C474" s="6">
        <v>18.0</v>
      </c>
      <c r="D474" s="6">
        <v>3.0</v>
      </c>
      <c r="E474" s="7" t="s">
        <v>398</v>
      </c>
      <c r="F474" s="8">
        <f>IFERROR(__xludf.DUMMYFUNCTION("IF(
  REGEXMATCH(E474, "":""),
  60*VALUE(INDEX(SPLIT(E474, "":""),1,1)) + VALUE(INDEX(SPLIT(E474, "":""),1,2)),
  VALUE(E474)
)"),135.48)</f>
        <v>135.48</v>
      </c>
      <c r="G474" s="8">
        <f>average(F469-F472,F470-F473,F471-F474)</f>
        <v>2.716666667</v>
      </c>
      <c r="H474" s="8">
        <v>2.7166666666666686</v>
      </c>
      <c r="I474" s="6">
        <f>C466</f>
        <v>15</v>
      </c>
      <c r="J474" s="6">
        <f>C483</f>
        <v>23</v>
      </c>
      <c r="K474" s="6">
        <f t="array" ref="K474">INDEX('Podium Target Times'!$C:$C, MATCH(A474&amp;B474, 'Podium Target Times'!$A:$A&amp;'Podium Target Times'!$B:$B, 0))
</f>
        <v>134.3</v>
      </c>
      <c r="L474" s="8">
        <f>L475+G475</f>
        <v>140.1133333</v>
      </c>
      <c r="M474" s="6" t="str">
        <f t="shared" si="1"/>
        <v>2:20.11</v>
      </c>
      <c r="N474" s="9">
        <f>IFERROR(__xludf.DUMMYFUNCTION("LET(
  gen,$A474, ev,$B474, t,$M474,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)"),718.0)</f>
        <v>718</v>
      </c>
    </row>
    <row r="475">
      <c r="A475" s="10" t="s">
        <v>295</v>
      </c>
      <c r="B475" s="11" t="s">
        <v>115</v>
      </c>
      <c r="C475" s="11">
        <v>19.0</v>
      </c>
      <c r="D475" s="11">
        <v>1.0</v>
      </c>
      <c r="E475" s="12" t="s">
        <v>399</v>
      </c>
      <c r="F475" s="13">
        <f>IFERROR(__xludf.DUMMYFUNCTION("IF(
  REGEXMATCH(E475, "":""),
  60*VALUE(INDEX(SPLIT(E475, "":""),1,1)) + VALUE(INDEX(SPLIT(E475, "":""),1,2)),
  VALUE(E475)
)"),130.32)</f>
        <v>130.32</v>
      </c>
      <c r="G475" s="13">
        <f>average(F472-F475,F473-F476,F474-F477)</f>
        <v>1.923333333</v>
      </c>
      <c r="H475" s="13">
        <v>1.9233333333333273</v>
      </c>
      <c r="I475" s="11">
        <f>C466</f>
        <v>15</v>
      </c>
      <c r="J475" s="11">
        <f>C483</f>
        <v>23</v>
      </c>
      <c r="K475" s="11">
        <f t="array" ref="K475">INDEX('Podium Target Times'!$C:$C, MATCH(A475&amp;B475, 'Podium Target Times'!$A:$A&amp;'Podium Target Times'!$B:$B, 0))
</f>
        <v>134.3</v>
      </c>
      <c r="L475" s="13">
        <f>L478+G478</f>
        <v>138.19</v>
      </c>
      <c r="M475" s="11" t="str">
        <f t="shared" si="1"/>
        <v>2:18.19</v>
      </c>
      <c r="N475" s="14">
        <f>IFERROR(__xludf.DUMMYFUNCTION("LET(
  gen,$A475, ev,$B475, t,$M475,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76">
      <c r="A476" s="5" t="s">
        <v>295</v>
      </c>
      <c r="B476" s="6" t="s">
        <v>115</v>
      </c>
      <c r="C476" s="6">
        <v>19.0</v>
      </c>
      <c r="D476" s="6">
        <v>2.0</v>
      </c>
      <c r="E476" s="7" t="s">
        <v>400</v>
      </c>
      <c r="F476" s="8">
        <f>IFERROR(__xludf.DUMMYFUNCTION("IF(
  REGEXMATCH(E476, "":""),
  60*VALUE(INDEX(SPLIT(E476, "":""),1,1)) + VALUE(INDEX(SPLIT(E476, "":""),1,2)),
  VALUE(E476)
)"),132.58)</f>
        <v>132.58</v>
      </c>
      <c r="G476" s="8">
        <f>average(F472-F475,F473-F476,F474-F477)</f>
        <v>1.923333333</v>
      </c>
      <c r="H476" s="8">
        <v>1.9233333333333273</v>
      </c>
      <c r="I476" s="6">
        <f>C466</f>
        <v>15</v>
      </c>
      <c r="J476" s="6">
        <f>C483</f>
        <v>23</v>
      </c>
      <c r="K476" s="6">
        <f t="array" ref="K476">INDEX('Podium Target Times'!$C:$C, MATCH(A476&amp;B476, 'Podium Target Times'!$A:$A&amp;'Podium Target Times'!$B:$B, 0))
</f>
        <v>134.3</v>
      </c>
      <c r="L476" s="8">
        <f>L478+G478</f>
        <v>138.19</v>
      </c>
      <c r="M476" s="6" t="str">
        <f t="shared" si="1"/>
        <v>2:18.19</v>
      </c>
      <c r="N476" s="9">
        <f>IFERROR(__xludf.DUMMYFUNCTION("LET(
  gen,$A476, ev,$B476, t,$M476,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77">
      <c r="A477" s="10" t="s">
        <v>295</v>
      </c>
      <c r="B477" s="11" t="s">
        <v>115</v>
      </c>
      <c r="C477" s="11">
        <v>19.0</v>
      </c>
      <c r="D477" s="11">
        <v>3.0</v>
      </c>
      <c r="E477" s="12" t="s">
        <v>401</v>
      </c>
      <c r="F477" s="13">
        <f>IFERROR(__xludf.DUMMYFUNCTION("IF(
  REGEXMATCH(E477, "":""),
  60*VALUE(INDEX(SPLIT(E477, "":""),1,1)) + VALUE(INDEX(SPLIT(E477, "":""),1,2)),
  VALUE(E477)
)"),133.54)</f>
        <v>133.54</v>
      </c>
      <c r="G477" s="13">
        <f>average(F472-F475,F473-F476,F474-F477)</f>
        <v>1.923333333</v>
      </c>
      <c r="H477" s="13">
        <v>1.9233333333333273</v>
      </c>
      <c r="I477" s="11">
        <f>C466</f>
        <v>15</v>
      </c>
      <c r="J477" s="11">
        <f>C483</f>
        <v>23</v>
      </c>
      <c r="K477" s="11">
        <f t="array" ref="K477">INDEX('Podium Target Times'!$C:$C, MATCH(A477&amp;B477, 'Podium Target Times'!$A:$A&amp;'Podium Target Times'!$B:$B, 0))
</f>
        <v>134.3</v>
      </c>
      <c r="L477" s="13">
        <f>L478+G478</f>
        <v>138.19</v>
      </c>
      <c r="M477" s="11" t="str">
        <f t="shared" si="1"/>
        <v>2:18.19</v>
      </c>
      <c r="N477" s="14">
        <f>IFERROR(__xludf.DUMMYFUNCTION("LET(
  gen,$A477, ev,$B477, t,$M477,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)"),748.0)</f>
        <v>748</v>
      </c>
    </row>
    <row r="478">
      <c r="A478" s="5" t="s">
        <v>295</v>
      </c>
      <c r="B478" s="6" t="s">
        <v>115</v>
      </c>
      <c r="C478" s="6">
        <v>20.0</v>
      </c>
      <c r="D478" s="6">
        <v>2.0</v>
      </c>
      <c r="E478" s="7" t="s">
        <v>402</v>
      </c>
      <c r="F478" s="8">
        <f>IFERROR(__xludf.DUMMYFUNCTION("IF(
  REGEXMATCH(E478, "":""),
  60*VALUE(INDEX(SPLIT(E478, "":""),1,1)) + VALUE(INDEX(SPLIT(E478, "":""),1,2)),
  VALUE(E478)
)"),131.26)</f>
        <v>131.26</v>
      </c>
      <c r="G478" s="8">
        <f>average(F476-F478,F477-F479)</f>
        <v>1.325</v>
      </c>
      <c r="H478" s="8">
        <v>1.3250000000000028</v>
      </c>
      <c r="I478" s="6">
        <f>C466</f>
        <v>15</v>
      </c>
      <c r="J478" s="6">
        <f>C483</f>
        <v>23</v>
      </c>
      <c r="K478" s="6">
        <f t="array" ref="K478">INDEX('Podium Target Times'!$C:$C, MATCH(A478&amp;B478, 'Podium Target Times'!$A:$A&amp;'Podium Target Times'!$B:$B, 0))
</f>
        <v>134.3</v>
      </c>
      <c r="L478" s="8">
        <f>L480+G480</f>
        <v>136.865</v>
      </c>
      <c r="M478" s="6" t="str">
        <f t="shared" si="1"/>
        <v>2:16.87</v>
      </c>
      <c r="N478" s="9">
        <f>IFERROR(__xludf.DUMMYFUNCTION("LET(
  gen,$A478, ev,$B478, t,$M478,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479">
      <c r="A479" s="10" t="s">
        <v>295</v>
      </c>
      <c r="B479" s="11" t="s">
        <v>115</v>
      </c>
      <c r="C479" s="11">
        <v>20.0</v>
      </c>
      <c r="D479" s="11">
        <v>3.0</v>
      </c>
      <c r="E479" s="12" t="s">
        <v>403</v>
      </c>
      <c r="F479" s="13">
        <f>IFERROR(__xludf.DUMMYFUNCTION("IF(
  REGEXMATCH(E479, "":""),
  60*VALUE(INDEX(SPLIT(E479, "":""),1,1)) + VALUE(INDEX(SPLIT(E479, "":""),1,2)),
  VALUE(E479)
)"),132.21)</f>
        <v>132.21</v>
      </c>
      <c r="G479" s="13">
        <f>average(F476-F478,F477-F479)</f>
        <v>1.325</v>
      </c>
      <c r="H479" s="13">
        <v>1.3250000000000028</v>
      </c>
      <c r="I479" s="11">
        <f>C466</f>
        <v>15</v>
      </c>
      <c r="J479" s="11">
        <f>C483</f>
        <v>23</v>
      </c>
      <c r="K479" s="11">
        <f t="array" ref="K479">INDEX('Podium Target Times'!$C:$C, MATCH(A479&amp;B479, 'Podium Target Times'!$A:$A&amp;'Podium Target Times'!$B:$B, 0))
</f>
        <v>134.3</v>
      </c>
      <c r="L479" s="13">
        <f>L480+G480</f>
        <v>136.865</v>
      </c>
      <c r="M479" s="11" t="str">
        <f t="shared" si="1"/>
        <v>2:16.87</v>
      </c>
      <c r="N479" s="14">
        <f>IFERROR(__xludf.DUMMYFUNCTION("LET(
  gen,$A479, ev,$B479, t,$M479,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480">
      <c r="A480" s="5" t="s">
        <v>295</v>
      </c>
      <c r="B480" s="6" t="s">
        <v>115</v>
      </c>
      <c r="C480" s="6">
        <v>21.0</v>
      </c>
      <c r="D480" s="6">
        <v>2.0</v>
      </c>
      <c r="E480" s="7" t="s">
        <v>399</v>
      </c>
      <c r="F480" s="8">
        <f>IFERROR(__xludf.DUMMYFUNCTION("IF(
  REGEXMATCH(E480, "":""),
  60*VALUE(INDEX(SPLIT(E480, "":""),1,1)) + VALUE(INDEX(SPLIT(E480, "":""),1,2)),
  VALUE(E480)
)"),130.32)</f>
        <v>130.32</v>
      </c>
      <c r="G480" s="8">
        <f>average(F478-F480,F479-F481)</f>
        <v>0.945</v>
      </c>
      <c r="H480" s="8">
        <v>0.9450000000000074</v>
      </c>
      <c r="I480" s="6">
        <f>C466</f>
        <v>15</v>
      </c>
      <c r="J480" s="6">
        <f>C483</f>
        <v>23</v>
      </c>
      <c r="K480" s="6">
        <f t="array" ref="K480">INDEX('Podium Target Times'!$C:$C, MATCH(A480&amp;B480, 'Podium Target Times'!$A:$A&amp;'Podium Target Times'!$B:$B, 0))
</f>
        <v>134.3</v>
      </c>
      <c r="L480" s="8">
        <f>L482+G482</f>
        <v>135.92</v>
      </c>
      <c r="M480" s="6" t="str">
        <f t="shared" si="1"/>
        <v>2:15.92</v>
      </c>
      <c r="N480" s="9">
        <f>IFERROR(__xludf.DUMMYFUNCTION("LET(
  gen,$A480, ev,$B480, t,$M480,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481">
      <c r="A481" s="10" t="s">
        <v>295</v>
      </c>
      <c r="B481" s="11" t="s">
        <v>115</v>
      </c>
      <c r="C481" s="11">
        <v>21.0</v>
      </c>
      <c r="D481" s="11">
        <v>3.0</v>
      </c>
      <c r="E481" s="12" t="s">
        <v>402</v>
      </c>
      <c r="F481" s="13">
        <f>IFERROR(__xludf.DUMMYFUNCTION("IF(
  REGEXMATCH(E481, "":""),
  60*VALUE(INDEX(SPLIT(E481, "":""),1,1)) + VALUE(INDEX(SPLIT(E481, "":""),1,2)),
  VALUE(E481)
)"),131.26)</f>
        <v>131.26</v>
      </c>
      <c r="G481" s="13">
        <f>average(F478-F480,F479-F481)</f>
        <v>0.945</v>
      </c>
      <c r="H481" s="13">
        <v>0.9450000000000074</v>
      </c>
      <c r="I481" s="11">
        <f>C466</f>
        <v>15</v>
      </c>
      <c r="J481" s="11">
        <f>C483</f>
        <v>23</v>
      </c>
      <c r="K481" s="11">
        <f t="array" ref="K481">INDEX('Podium Target Times'!$C:$C, MATCH(A481&amp;B481, 'Podium Target Times'!$A:$A&amp;'Podium Target Times'!$B:$B, 0))
</f>
        <v>134.3</v>
      </c>
      <c r="L481" s="13">
        <f t="shared" ref="L481:L482" si="49">L482+G482</f>
        <v>135.92</v>
      </c>
      <c r="M481" s="11" t="str">
        <f t="shared" si="1"/>
        <v>2:15.92</v>
      </c>
      <c r="N481" s="14">
        <f>IFERROR(__xludf.DUMMYFUNCTION("LET(
  gen,$A481, ev,$B481, t,$M481,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)"),786.0)</f>
        <v>786</v>
      </c>
    </row>
    <row r="482">
      <c r="A482" s="5" t="s">
        <v>295</v>
      </c>
      <c r="B482" s="6" t="s">
        <v>115</v>
      </c>
      <c r="C482" s="6">
        <v>22.0</v>
      </c>
      <c r="D482" s="6">
        <v>3.0</v>
      </c>
      <c r="E482" s="7" t="s">
        <v>404</v>
      </c>
      <c r="F482" s="8">
        <f>IFERROR(__xludf.DUMMYFUNCTION("IF(
  REGEXMATCH(E482, "":""),
  60*VALUE(INDEX(SPLIT(E482, "":""),1,1)) + VALUE(INDEX(SPLIT(E482, "":""),1,2)),
  VALUE(E482)
)"),130.66)</f>
        <v>130.66</v>
      </c>
      <c r="G482" s="8">
        <f t="shared" ref="G482:G483" si="50">F481-F482</f>
        <v>0.6</v>
      </c>
      <c r="H482" s="8">
        <v>0.5999999999999943</v>
      </c>
      <c r="I482" s="6">
        <f>C466</f>
        <v>15</v>
      </c>
      <c r="J482" s="6">
        <f>C483</f>
        <v>23</v>
      </c>
      <c r="K482" s="6">
        <f t="array" ref="K482">INDEX('Podium Target Times'!$C:$C, MATCH(A482&amp;B482, 'Podium Target Times'!$A:$A&amp;'Podium Target Times'!$B:$B, 0))
</f>
        <v>134.3</v>
      </c>
      <c r="L482" s="8">
        <f t="shared" si="49"/>
        <v>135.32</v>
      </c>
      <c r="M482" s="6" t="str">
        <f t="shared" si="1"/>
        <v>2:15.32</v>
      </c>
      <c r="N482" s="9">
        <f>IFERROR(__xludf.DUMMYFUNCTION("LET(
  gen,$A482, ev,$B482, t,$M482,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483">
      <c r="A483" s="10" t="s">
        <v>295</v>
      </c>
      <c r="B483" s="11" t="s">
        <v>115</v>
      </c>
      <c r="C483" s="11">
        <v>23.0</v>
      </c>
      <c r="D483" s="11">
        <v>3.0</v>
      </c>
      <c r="E483" s="12" t="s">
        <v>399</v>
      </c>
      <c r="F483" s="13">
        <f>IFERROR(__xludf.DUMMYFUNCTION("IF(
  REGEXMATCH(E483, "":""),
  60*VALUE(INDEX(SPLIT(E483, "":""),1,1)) + VALUE(INDEX(SPLIT(E483, "":""),1,2)),
  VALUE(E483)
)"),130.32)</f>
        <v>130.32</v>
      </c>
      <c r="G483" s="13">
        <f t="shared" si="50"/>
        <v>0.34</v>
      </c>
      <c r="H483" s="13">
        <v>0.3400000000000034</v>
      </c>
      <c r="I483" s="11">
        <f>C466</f>
        <v>15</v>
      </c>
      <c r="J483" s="11">
        <f>C483</f>
        <v>23</v>
      </c>
      <c r="K483" s="11">
        <f t="array" ref="K483">INDEX('Podium Target Times'!$C:$C, MATCH(A483&amp;B483, 'Podium Target Times'!$A:$A&amp;'Podium Target Times'!$B:$B, 0))
</f>
        <v>134.3</v>
      </c>
      <c r="L483" s="13">
        <f>G483+L484</f>
        <v>134.98</v>
      </c>
      <c r="M483" s="11" t="str">
        <f t="shared" si="1"/>
        <v>2:14.98</v>
      </c>
      <c r="N483" s="14">
        <f>IFERROR(__xludf.DUMMYFUNCTION("LET(
  gen,$A483, ev,$B483, t,$M483,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)"),803.0)</f>
        <v>803</v>
      </c>
    </row>
    <row r="484">
      <c r="A484" s="5" t="s">
        <v>295</v>
      </c>
      <c r="B484" s="6" t="s">
        <v>115</v>
      </c>
      <c r="C484" s="6">
        <v>24.0</v>
      </c>
      <c r="D484" s="6"/>
      <c r="E484" s="7"/>
      <c r="F484" s="8">
        <f>IFERROR(__xludf.DUMMYFUNCTION("IF(
  REGEXMATCH(E484, "":""),
  60*VALUE(INDEX(SPLIT(E484, "":""),1,1)) + VALUE(INDEX(SPLIT(E484, "":""),1,2)),
  VALUE(E484)
)"),0.0)</f>
        <v>0</v>
      </c>
      <c r="G484" s="8"/>
      <c r="H484" s="8"/>
      <c r="I484" s="6">
        <f>C466</f>
        <v>15</v>
      </c>
      <c r="J484" s="6">
        <f>C483</f>
        <v>23</v>
      </c>
      <c r="K484" s="6">
        <f t="array" ref="K484">INDEX('Podium Target Times'!$C:$C, MATCH(A484&amp;B484, 'Podium Target Times'!$A:$A&amp;'Podium Target Times'!$B:$B, 0))
</f>
        <v>134.3</v>
      </c>
      <c r="L484" s="8">
        <f>G483+L485</f>
        <v>134.64</v>
      </c>
      <c r="M484" s="6" t="str">
        <f t="shared" si="1"/>
        <v>2:14.64</v>
      </c>
      <c r="N484" s="9">
        <f>IFERROR(__xludf.DUMMYFUNCTION("LET(
  gen,$A484, ev,$B484, t,$M484,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)"),809.0)</f>
        <v>809</v>
      </c>
    </row>
    <row r="485">
      <c r="A485" s="10" t="s">
        <v>295</v>
      </c>
      <c r="B485" s="11" t="s">
        <v>115</v>
      </c>
      <c r="C485" s="11">
        <v>25.0</v>
      </c>
      <c r="D485" s="11"/>
      <c r="E485" s="12"/>
      <c r="F485" s="13">
        <f>IFERROR(__xludf.DUMMYFUNCTION("IF(
  REGEXMATCH(E485, "":""),
  60*VALUE(INDEX(SPLIT(E485, "":""),1,1)) + VALUE(INDEX(SPLIT(E485, "":""),1,2)),
  VALUE(E485)
)"),0.0)</f>
        <v>0</v>
      </c>
      <c r="G485" s="13"/>
      <c r="H485" s="13"/>
      <c r="I485" s="11">
        <f>C466</f>
        <v>15</v>
      </c>
      <c r="J485" s="11">
        <f>C483</f>
        <v>23</v>
      </c>
      <c r="K485" s="11">
        <f t="array" ref="K485">INDEX('Podium Target Times'!$C:$C, MATCH(A485&amp;B485, 'Podium Target Times'!$A:$A&amp;'Podium Target Times'!$B:$B, 0))
</f>
        <v>134.3</v>
      </c>
      <c r="L485" s="11">
        <f>K485</f>
        <v>134.3</v>
      </c>
      <c r="M485" s="11" t="str">
        <f t="shared" si="1"/>
        <v>2:14.30</v>
      </c>
      <c r="N485" s="14">
        <f>IFERROR(__xludf.DUMMYFUNCTION("LET(
  gen,$A485, ev,$B485, t,$M485,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)"),815.0)</f>
        <v>815</v>
      </c>
    </row>
    <row r="486">
      <c r="A486" s="5" t="s">
        <v>295</v>
      </c>
      <c r="B486" s="6" t="s">
        <v>132</v>
      </c>
      <c r="C486" s="6">
        <v>15.0</v>
      </c>
      <c r="D486" s="6">
        <v>1.0</v>
      </c>
      <c r="E486" s="7" t="s">
        <v>405</v>
      </c>
      <c r="F486" s="8">
        <f>IFERROR(__xludf.DUMMYFUNCTION("IF(
  REGEXMATCH(E486, "":""),
  60*VALUE(INDEX(SPLIT(E486, "":""),1,1)) + VALUE(INDEX(SPLIT(E486, "":""),1,2)),
  VALUE(E486)
)"),127.69)</f>
        <v>127.69</v>
      </c>
      <c r="G486" s="8">
        <v>0.0</v>
      </c>
      <c r="H486" s="8">
        <v>0.0</v>
      </c>
      <c r="I486" s="6">
        <f>C486</f>
        <v>15</v>
      </c>
      <c r="J486" s="6">
        <f>C503</f>
        <v>23</v>
      </c>
      <c r="K486" s="6">
        <f t="array" ref="K486">INDEX('Podium Target Times'!$C:$C, MATCH(A486&amp;B486, 'Podium Target Times'!$A:$A&amp;'Podium Target Times'!$B:$B, 0))
</f>
        <v>120.6</v>
      </c>
      <c r="L486" s="8">
        <f>L487+G487</f>
        <v>133.8483333</v>
      </c>
      <c r="M486" s="6" t="str">
        <f t="shared" si="1"/>
        <v>2:13.85</v>
      </c>
      <c r="N486" s="9">
        <f>IFERROR(__xludf.DUMMYFUNCTION("LET(
  gen,$A486, ev,$B486, t,$M486,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)"),560.0)</f>
        <v>560</v>
      </c>
    </row>
    <row r="487">
      <c r="A487" s="10" t="s">
        <v>295</v>
      </c>
      <c r="B487" s="11" t="s">
        <v>132</v>
      </c>
      <c r="C487" s="11">
        <v>16.0</v>
      </c>
      <c r="D487" s="11">
        <v>1.0</v>
      </c>
      <c r="E487" s="12" t="s">
        <v>406</v>
      </c>
      <c r="F487" s="13">
        <f>IFERROR(__xludf.DUMMYFUNCTION("IF(
  REGEXMATCH(E487, "":""),
  60*VALUE(INDEX(SPLIT(E487, "":""),1,1)) + VALUE(INDEX(SPLIT(E487, "":""),1,2)),
  VALUE(E487)
)"),123.12)</f>
        <v>123.12</v>
      </c>
      <c r="G487" s="13">
        <f>F486-F487</f>
        <v>4.57</v>
      </c>
      <c r="H487" s="13">
        <v>4.569999999999993</v>
      </c>
      <c r="I487" s="11">
        <f>C486</f>
        <v>15</v>
      </c>
      <c r="J487" s="11">
        <f>C503</f>
        <v>23</v>
      </c>
      <c r="K487" s="11">
        <f t="array" ref="K487">INDEX('Podium Target Times'!$C:$C, MATCH(A487&amp;B487, 'Podium Target Times'!$A:$A&amp;'Podium Target Times'!$B:$B, 0))
</f>
        <v>120.6</v>
      </c>
      <c r="L487" s="13">
        <f>L489+G489</f>
        <v>129.2783333</v>
      </c>
      <c r="M487" s="11" t="str">
        <f t="shared" si="1"/>
        <v>2:09.28</v>
      </c>
      <c r="N487" s="14">
        <f>IFERROR(__xludf.DUMMYFUNCTION("LET(
  gen,$A487, ev,$B487, t,$M487,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)"),621.0)</f>
        <v>621</v>
      </c>
    </row>
    <row r="488">
      <c r="A488" s="5" t="s">
        <v>295</v>
      </c>
      <c r="B488" s="6" t="s">
        <v>132</v>
      </c>
      <c r="C488" s="6">
        <v>16.0</v>
      </c>
      <c r="D488" s="6">
        <v>2.0</v>
      </c>
      <c r="E488" s="7" t="s">
        <v>407</v>
      </c>
      <c r="F488" s="8">
        <f>IFERROR(__xludf.DUMMYFUNCTION("IF(
  REGEXMATCH(E488, "":""),
  60*VALUE(INDEX(SPLIT(E488, "":""),1,1)) + VALUE(INDEX(SPLIT(E488, "":""),1,2)),
  VALUE(E488)
)"),124.65)</f>
        <v>124.65</v>
      </c>
      <c r="G488" s="8">
        <f>F486-F487</f>
        <v>4.57</v>
      </c>
      <c r="H488" s="8">
        <v>4.569999999999993</v>
      </c>
      <c r="I488" s="6">
        <f>C486</f>
        <v>15</v>
      </c>
      <c r="J488" s="6">
        <f>C503</f>
        <v>23</v>
      </c>
      <c r="K488" s="6">
        <f t="array" ref="K488">INDEX('Podium Target Times'!$C:$C, MATCH(A488&amp;B488, 'Podium Target Times'!$A:$A&amp;'Podium Target Times'!$B:$B, 0))
</f>
        <v>120.6</v>
      </c>
      <c r="L488" s="8">
        <f>L489+G489</f>
        <v>129.2783333</v>
      </c>
      <c r="M488" s="6" t="str">
        <f t="shared" si="1"/>
        <v>2:09.28</v>
      </c>
      <c r="N488" s="9">
        <f>IFERROR(__xludf.DUMMYFUNCTION("LET(
  gen,$A488, ev,$B488, t,$M488,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)"),621.0)</f>
        <v>621</v>
      </c>
    </row>
    <row r="489">
      <c r="A489" s="10" t="s">
        <v>295</v>
      </c>
      <c r="B489" s="11" t="s">
        <v>132</v>
      </c>
      <c r="C489" s="11">
        <v>17.0</v>
      </c>
      <c r="D489" s="11">
        <v>1.0</v>
      </c>
      <c r="E489" s="12" t="s">
        <v>408</v>
      </c>
      <c r="F489" s="13">
        <f>IFERROR(__xludf.DUMMYFUNCTION("IF(
  REGEXMATCH(E489, "":""),
  60*VALUE(INDEX(SPLIT(E489, "":""),1,1)) + VALUE(INDEX(SPLIT(E489, "":""),1,2)),
  VALUE(E489)
)"),119.88)</f>
        <v>119.88</v>
      </c>
      <c r="G489" s="13">
        <f>average(F487-F489,F488-F490)</f>
        <v>3.26</v>
      </c>
      <c r="H489" s="13">
        <v>3.260000000000005</v>
      </c>
      <c r="I489" s="11">
        <f>C486</f>
        <v>15</v>
      </c>
      <c r="J489" s="11">
        <f>C503</f>
        <v>23</v>
      </c>
      <c r="K489" s="11">
        <f t="array" ref="K489">INDEX('Podium Target Times'!$C:$C, MATCH(A489&amp;B489, 'Podium Target Times'!$A:$A&amp;'Podium Target Times'!$B:$B, 0))
</f>
        <v>120.6</v>
      </c>
      <c r="L489" s="13">
        <f>L492+G492</f>
        <v>126.0183333</v>
      </c>
      <c r="M489" s="11" t="str">
        <f t="shared" si="1"/>
        <v>2:06.02</v>
      </c>
      <c r="N489" s="14">
        <f>IFERROR(__xludf.DUMMYFUNCTION("LET(
  gen,$A489, ev,$B489, t,$M489,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)"),671.0)</f>
        <v>671</v>
      </c>
    </row>
    <row r="490">
      <c r="A490" s="5" t="s">
        <v>295</v>
      </c>
      <c r="B490" s="6" t="s">
        <v>132</v>
      </c>
      <c r="C490" s="6">
        <v>17.0</v>
      </c>
      <c r="D490" s="6">
        <v>2.0</v>
      </c>
      <c r="E490" s="7" t="s">
        <v>409</v>
      </c>
      <c r="F490" s="8">
        <f>IFERROR(__xludf.DUMMYFUNCTION("IF(
  REGEXMATCH(E490, "":""),
  60*VALUE(INDEX(SPLIT(E490, "":""),1,1)) + VALUE(INDEX(SPLIT(E490, "":""),1,2)),
  VALUE(E490)
)"),121.37)</f>
        <v>121.37</v>
      </c>
      <c r="G490" s="8">
        <f>average(F487-F489,F488-F490)</f>
        <v>3.26</v>
      </c>
      <c r="H490" s="8">
        <v>3.260000000000005</v>
      </c>
      <c r="I490" s="6">
        <f>C486</f>
        <v>15</v>
      </c>
      <c r="J490" s="6">
        <f>C503</f>
        <v>23</v>
      </c>
      <c r="K490" s="6">
        <f t="array" ref="K490">INDEX('Podium Target Times'!$C:$C, MATCH(A490&amp;B490, 'Podium Target Times'!$A:$A&amp;'Podium Target Times'!$B:$B, 0))
</f>
        <v>120.6</v>
      </c>
      <c r="L490" s="8">
        <f>L492+G492</f>
        <v>126.0183333</v>
      </c>
      <c r="M490" s="6" t="str">
        <f t="shared" si="1"/>
        <v>2:06.02</v>
      </c>
      <c r="N490" s="9">
        <f>IFERROR(__xludf.DUMMYFUNCTION("LET(
  gen,$A490, ev,$B490, t,$M490,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)"),671.0)</f>
        <v>671</v>
      </c>
    </row>
    <row r="491">
      <c r="A491" s="10" t="s">
        <v>295</v>
      </c>
      <c r="B491" s="11" t="s">
        <v>132</v>
      </c>
      <c r="C491" s="11">
        <v>17.0</v>
      </c>
      <c r="D491" s="11">
        <v>3.0</v>
      </c>
      <c r="E491" s="12" t="s">
        <v>410</v>
      </c>
      <c r="F491" s="13">
        <f>IFERROR(__xludf.DUMMYFUNCTION("IF(
  REGEXMATCH(E491, "":""),
  60*VALUE(INDEX(SPLIT(E491, "":""),1,1)) + VALUE(INDEX(SPLIT(E491, "":""),1,2)),
  VALUE(E491)
)"),121.77)</f>
        <v>121.77</v>
      </c>
      <c r="G491" s="13">
        <f>average(F487-F489,F488-F490)</f>
        <v>3.26</v>
      </c>
      <c r="H491" s="13">
        <v>3.260000000000005</v>
      </c>
      <c r="I491" s="11">
        <f>C486</f>
        <v>15</v>
      </c>
      <c r="J491" s="11">
        <f>C503</f>
        <v>23</v>
      </c>
      <c r="K491" s="11">
        <f t="array" ref="K491">INDEX('Podium Target Times'!$C:$C, MATCH(A491&amp;B491, 'Podium Target Times'!$A:$A&amp;'Podium Target Times'!$B:$B, 0))
</f>
        <v>120.6</v>
      </c>
      <c r="L491" s="13">
        <f>L492+G492</f>
        <v>126.0183333</v>
      </c>
      <c r="M491" s="11" t="str">
        <f t="shared" si="1"/>
        <v>2:06.02</v>
      </c>
      <c r="N491" s="14">
        <f>IFERROR(__xludf.DUMMYFUNCTION("LET(
  gen,$A491, ev,$B491, t,$M491,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)"),671.0)</f>
        <v>671</v>
      </c>
    </row>
    <row r="492">
      <c r="A492" s="5" t="s">
        <v>295</v>
      </c>
      <c r="B492" s="6" t="s">
        <v>132</v>
      </c>
      <c r="C492" s="6">
        <v>18.0</v>
      </c>
      <c r="D492" s="6">
        <v>1.0</v>
      </c>
      <c r="E492" s="7" t="s">
        <v>411</v>
      </c>
      <c r="F492" s="8">
        <f>IFERROR(__xludf.DUMMYFUNCTION("IF(
  REGEXMATCH(E492, "":""),
  60*VALUE(INDEX(SPLIT(E492, "":""),1,1)) + VALUE(INDEX(SPLIT(E492, "":""),1,2)),
  VALUE(E492)
)"),117.84)</f>
        <v>117.84</v>
      </c>
      <c r="G492" s="8">
        <f>average(F489-F492,F490-F493,F491-F494)</f>
        <v>2.06</v>
      </c>
      <c r="H492" s="8">
        <v>2.0599999999999974</v>
      </c>
      <c r="I492" s="6">
        <f>C486</f>
        <v>15</v>
      </c>
      <c r="J492" s="6">
        <f>C503</f>
        <v>23</v>
      </c>
      <c r="K492" s="6">
        <f t="array" ref="K492">INDEX('Podium Target Times'!$C:$C, MATCH(A492&amp;B492, 'Podium Target Times'!$A:$A&amp;'Podium Target Times'!$B:$B, 0))
</f>
        <v>120.6</v>
      </c>
      <c r="L492" s="8">
        <f>L495+G495</f>
        <v>123.9583333</v>
      </c>
      <c r="M492" s="6" t="str">
        <f t="shared" si="1"/>
        <v>2:03.96</v>
      </c>
      <c r="N492" s="9">
        <f>IFERROR(__xludf.DUMMYFUNCTION("LET(
  gen,$A492, ev,$B492, t,$M492,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493">
      <c r="A493" s="10" t="s">
        <v>295</v>
      </c>
      <c r="B493" s="11" t="s">
        <v>132</v>
      </c>
      <c r="C493" s="11">
        <v>18.0</v>
      </c>
      <c r="D493" s="11">
        <v>2.0</v>
      </c>
      <c r="E493" s="12" t="s">
        <v>412</v>
      </c>
      <c r="F493" s="13">
        <f>IFERROR(__xludf.DUMMYFUNCTION("IF(
  REGEXMATCH(E493, "":""),
  60*VALUE(INDEX(SPLIT(E493, "":""),1,1)) + VALUE(INDEX(SPLIT(E493, "":""),1,2)),
  VALUE(E493)
)"),119.3)</f>
        <v>119.3</v>
      </c>
      <c r="G493" s="13">
        <f>average(F489-F492,F490-F493,F491-F494)</f>
        <v>2.06</v>
      </c>
      <c r="H493" s="13">
        <v>2.0599999999999974</v>
      </c>
      <c r="I493" s="11">
        <f>C486</f>
        <v>15</v>
      </c>
      <c r="J493" s="11">
        <f>C503</f>
        <v>23</v>
      </c>
      <c r="K493" s="11">
        <f t="array" ref="K493">INDEX('Podium Target Times'!$C:$C, MATCH(A493&amp;B493, 'Podium Target Times'!$A:$A&amp;'Podium Target Times'!$B:$B, 0))
</f>
        <v>120.6</v>
      </c>
      <c r="L493" s="13">
        <f>L495+G495</f>
        <v>123.9583333</v>
      </c>
      <c r="M493" s="11" t="str">
        <f t="shared" si="1"/>
        <v>2:03.96</v>
      </c>
      <c r="N493" s="14">
        <f>IFERROR(__xludf.DUMMYFUNCTION("LET(
  gen,$A493, ev,$B493, t,$M493,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494">
      <c r="A494" s="5" t="s">
        <v>295</v>
      </c>
      <c r="B494" s="6" t="s">
        <v>132</v>
      </c>
      <c r="C494" s="6">
        <v>18.0</v>
      </c>
      <c r="D494" s="6">
        <v>3.0</v>
      </c>
      <c r="E494" s="7" t="s">
        <v>413</v>
      </c>
      <c r="F494" s="8">
        <f>IFERROR(__xludf.DUMMYFUNCTION("IF(
  REGEXMATCH(E494, "":""),
  60*VALUE(INDEX(SPLIT(E494, "":""),1,1)) + VALUE(INDEX(SPLIT(E494, "":""),1,2)),
  VALUE(E494)
)"),119.7)</f>
        <v>119.7</v>
      </c>
      <c r="G494" s="8">
        <f>average(F489-F492,F490-F493,F491-F494)</f>
        <v>2.06</v>
      </c>
      <c r="H494" s="8">
        <v>2.0599999999999974</v>
      </c>
      <c r="I494" s="6">
        <f>C486</f>
        <v>15</v>
      </c>
      <c r="J494" s="6">
        <f>C503</f>
        <v>23</v>
      </c>
      <c r="K494" s="6">
        <f t="array" ref="K494">INDEX('Podium Target Times'!$C:$C, MATCH(A494&amp;B494, 'Podium Target Times'!$A:$A&amp;'Podium Target Times'!$B:$B, 0))
</f>
        <v>120.6</v>
      </c>
      <c r="L494" s="8">
        <f>L495+G495</f>
        <v>123.9583333</v>
      </c>
      <c r="M494" s="6" t="str">
        <f t="shared" si="1"/>
        <v>2:03.96</v>
      </c>
      <c r="N494" s="9">
        <f>IFERROR(__xludf.DUMMYFUNCTION("LET(
  gen,$A494, ev,$B494, t,$M494,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)"),705.0)</f>
        <v>705</v>
      </c>
    </row>
    <row r="495">
      <c r="A495" s="10" t="s">
        <v>295</v>
      </c>
      <c r="B495" s="11" t="s">
        <v>132</v>
      </c>
      <c r="C495" s="11">
        <v>19.0</v>
      </c>
      <c r="D495" s="11">
        <v>1.0</v>
      </c>
      <c r="E495" s="12" t="s">
        <v>414</v>
      </c>
      <c r="F495" s="13">
        <f>IFERROR(__xludf.DUMMYFUNCTION("IF(
  REGEXMATCH(E495, "":""),
  60*VALUE(INDEX(SPLIT(E495, "":""),1,1)) + VALUE(INDEX(SPLIT(E495, "":""),1,2)),
  VALUE(E495)
)"),116.50999999999999)</f>
        <v>116.51</v>
      </c>
      <c r="G495" s="13">
        <f>average(F492-F495,F493-F496,F494-F497)</f>
        <v>1.343333333</v>
      </c>
      <c r="H495" s="13">
        <v>1.3433333333333384</v>
      </c>
      <c r="I495" s="11">
        <f>C486</f>
        <v>15</v>
      </c>
      <c r="J495" s="11">
        <f>C503</f>
        <v>23</v>
      </c>
      <c r="K495" s="11">
        <f t="array" ref="K495">INDEX('Podium Target Times'!$C:$C, MATCH(A495&amp;B495, 'Podium Target Times'!$A:$A&amp;'Podium Target Times'!$B:$B, 0))
</f>
        <v>120.6</v>
      </c>
      <c r="L495" s="13">
        <f>L498+G498</f>
        <v>122.615</v>
      </c>
      <c r="M495" s="11" t="str">
        <f t="shared" si="1"/>
        <v>2:02.62</v>
      </c>
      <c r="N495" s="14">
        <f>IFERROR(__xludf.DUMMYFUNCTION("LET(
  gen,$A495, ev,$B495, t,$M495,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496">
      <c r="A496" s="5" t="s">
        <v>295</v>
      </c>
      <c r="B496" s="6" t="s">
        <v>132</v>
      </c>
      <c r="C496" s="6">
        <v>19.0</v>
      </c>
      <c r="D496" s="6">
        <v>2.0</v>
      </c>
      <c r="E496" s="7" t="s">
        <v>415</v>
      </c>
      <c r="F496" s="8">
        <f>IFERROR(__xludf.DUMMYFUNCTION("IF(
  REGEXMATCH(E496, "":""),
  60*VALUE(INDEX(SPLIT(E496, "":""),1,1)) + VALUE(INDEX(SPLIT(E496, "":""),1,2)),
  VALUE(E496)
)"),117.95)</f>
        <v>117.95</v>
      </c>
      <c r="G496" s="8">
        <f>average(F492-F495,F493-F496,F494-F497)</f>
        <v>1.343333333</v>
      </c>
      <c r="H496" s="8">
        <v>1.3433333333333384</v>
      </c>
      <c r="I496" s="6">
        <f>C486</f>
        <v>15</v>
      </c>
      <c r="J496" s="6">
        <f>C503</f>
        <v>23</v>
      </c>
      <c r="K496" s="6">
        <f t="array" ref="K496">INDEX('Podium Target Times'!$C:$C, MATCH(A496&amp;B496, 'Podium Target Times'!$A:$A&amp;'Podium Target Times'!$B:$B, 0))
</f>
        <v>120.6</v>
      </c>
      <c r="L496" s="8">
        <f>L498+G498</f>
        <v>122.615</v>
      </c>
      <c r="M496" s="6" t="str">
        <f t="shared" si="1"/>
        <v>2:02.62</v>
      </c>
      <c r="N496" s="9">
        <f>IFERROR(__xludf.DUMMYFUNCTION("LET(
  gen,$A496, ev,$B496, t,$M496,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497">
      <c r="A497" s="10" t="s">
        <v>295</v>
      </c>
      <c r="B497" s="11" t="s">
        <v>132</v>
      </c>
      <c r="C497" s="11">
        <v>19.0</v>
      </c>
      <c r="D497" s="11">
        <v>3.0</v>
      </c>
      <c r="E497" s="12" t="s">
        <v>416</v>
      </c>
      <c r="F497" s="13">
        <f>IFERROR(__xludf.DUMMYFUNCTION("IF(
  REGEXMATCH(E497, "":""),
  60*VALUE(INDEX(SPLIT(E497, "":""),1,1)) + VALUE(INDEX(SPLIT(E497, "":""),1,2)),
  VALUE(E497)
)"),118.35)</f>
        <v>118.35</v>
      </c>
      <c r="G497" s="13">
        <f>average(F492-F495,F493-F496,F494-F497)</f>
        <v>1.343333333</v>
      </c>
      <c r="H497" s="13">
        <v>1.3433333333333384</v>
      </c>
      <c r="I497" s="11">
        <f>C486</f>
        <v>15</v>
      </c>
      <c r="J497" s="11">
        <f>C503</f>
        <v>23</v>
      </c>
      <c r="K497" s="11">
        <f t="array" ref="K497">INDEX('Podium Target Times'!$C:$C, MATCH(A497&amp;B497, 'Podium Target Times'!$A:$A&amp;'Podium Target Times'!$B:$B, 0))
</f>
        <v>120.6</v>
      </c>
      <c r="L497" s="13">
        <f>L498+G498</f>
        <v>122.615</v>
      </c>
      <c r="M497" s="11" t="str">
        <f t="shared" si="1"/>
        <v>2:02.62</v>
      </c>
      <c r="N497" s="14">
        <f>IFERROR(__xludf.DUMMYFUNCTION("LET(
  gen,$A497, ev,$B497, t,$M497,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)"),728.0)</f>
        <v>728</v>
      </c>
    </row>
    <row r="498">
      <c r="A498" s="5" t="s">
        <v>295</v>
      </c>
      <c r="B498" s="6" t="s">
        <v>132</v>
      </c>
      <c r="C498" s="6">
        <v>20.0</v>
      </c>
      <c r="D498" s="6">
        <v>2.0</v>
      </c>
      <c r="E498" s="7" t="s">
        <v>417</v>
      </c>
      <c r="F498" s="8">
        <f>IFERROR(__xludf.DUMMYFUNCTION("IF(
  REGEXMATCH(E498, "":""),
  60*VALUE(INDEX(SPLIT(E498, "":""),1,1)) + VALUE(INDEX(SPLIT(E498, "":""),1,2)),
  VALUE(E498)
)"),117.06)</f>
        <v>117.06</v>
      </c>
      <c r="G498" s="8">
        <f>average(F496-F498,F497-F499)</f>
        <v>0.895</v>
      </c>
      <c r="H498" s="8">
        <v>0.894999999999996</v>
      </c>
      <c r="I498" s="6">
        <f>C486</f>
        <v>15</v>
      </c>
      <c r="J498" s="6">
        <f>C503</f>
        <v>23</v>
      </c>
      <c r="K498" s="6">
        <f t="array" ref="K498">INDEX('Podium Target Times'!$C:$C, MATCH(A498&amp;B498, 'Podium Target Times'!$A:$A&amp;'Podium Target Times'!$B:$B, 0))
</f>
        <v>120.6</v>
      </c>
      <c r="L498" s="8">
        <f>L500+G500</f>
        <v>121.72</v>
      </c>
      <c r="M498" s="6" t="str">
        <f t="shared" si="1"/>
        <v>2:01.72</v>
      </c>
      <c r="N498" s="9">
        <f>IFERROR(__xludf.DUMMYFUNCTION("LET(
  gen,$A498, ev,$B498, t,$M498,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499">
      <c r="A499" s="10" t="s">
        <v>295</v>
      </c>
      <c r="B499" s="11" t="s">
        <v>132</v>
      </c>
      <c r="C499" s="11">
        <v>20.0</v>
      </c>
      <c r="D499" s="11">
        <v>3.0</v>
      </c>
      <c r="E499" s="12" t="s">
        <v>418</v>
      </c>
      <c r="F499" s="13">
        <f>IFERROR(__xludf.DUMMYFUNCTION("IF(
  REGEXMATCH(E499, "":""),
  60*VALUE(INDEX(SPLIT(E499, "":""),1,1)) + VALUE(INDEX(SPLIT(E499, "":""),1,2)),
  VALUE(E499)
)"),117.45)</f>
        <v>117.45</v>
      </c>
      <c r="G499" s="13">
        <f>average(F496-F498,F497-F499)</f>
        <v>0.895</v>
      </c>
      <c r="H499" s="13">
        <v>0.894999999999996</v>
      </c>
      <c r="I499" s="11">
        <f>C486</f>
        <v>15</v>
      </c>
      <c r="J499" s="11">
        <f>C503</f>
        <v>23</v>
      </c>
      <c r="K499" s="11">
        <f t="array" ref="K499">INDEX('Podium Target Times'!$C:$C, MATCH(A499&amp;B499, 'Podium Target Times'!$A:$A&amp;'Podium Target Times'!$B:$B, 0))
</f>
        <v>120.6</v>
      </c>
      <c r="L499" s="13">
        <f>L500+G500</f>
        <v>121.72</v>
      </c>
      <c r="M499" s="11" t="str">
        <f t="shared" si="1"/>
        <v>2:01.72</v>
      </c>
      <c r="N499" s="14">
        <f>IFERROR(__xludf.DUMMYFUNCTION("LET(
  gen,$A499, ev,$B499, t,$M499,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)"),744.0)</f>
        <v>744</v>
      </c>
    </row>
    <row r="500">
      <c r="A500" s="5" t="s">
        <v>295</v>
      </c>
      <c r="B500" s="6" t="s">
        <v>132</v>
      </c>
      <c r="C500" s="6">
        <v>21.0</v>
      </c>
      <c r="D500" s="6">
        <v>2.0</v>
      </c>
      <c r="E500" s="7" t="s">
        <v>414</v>
      </c>
      <c r="F500" s="8">
        <f>IFERROR(__xludf.DUMMYFUNCTION("IF(
  REGEXMATCH(E500, "":""),
  60*VALUE(INDEX(SPLIT(E500, "":""),1,1)) + VALUE(INDEX(SPLIT(E500, "":""),1,2)),
  VALUE(E500)
)"),116.50999999999999)</f>
        <v>116.51</v>
      </c>
      <c r="G500" s="8">
        <f>average(F498-F500,F499-F501)</f>
        <v>0.55</v>
      </c>
      <c r="H500" s="8">
        <v>0.5500000000000043</v>
      </c>
      <c r="I500" s="6">
        <f>C486</f>
        <v>15</v>
      </c>
      <c r="J500" s="6">
        <f>C503</f>
        <v>23</v>
      </c>
      <c r="K500" s="6">
        <f t="array" ref="K500">INDEX('Podium Target Times'!$C:$C, MATCH(A500&amp;B500, 'Podium Target Times'!$A:$A&amp;'Podium Target Times'!$B:$B, 0))
</f>
        <v>120.6</v>
      </c>
      <c r="L500" s="8">
        <f>L502+G502</f>
        <v>121.17</v>
      </c>
      <c r="M500" s="6" t="str">
        <f t="shared" si="1"/>
        <v>2:01.17</v>
      </c>
      <c r="N500" s="9">
        <f>IFERROR(__xludf.DUMMYFUNCTION("LET(
  gen,$A500, ev,$B500, t,$M500,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)"),755.0)</f>
        <v>755</v>
      </c>
    </row>
    <row r="501">
      <c r="A501" s="10" t="s">
        <v>295</v>
      </c>
      <c r="B501" s="11" t="s">
        <v>132</v>
      </c>
      <c r="C501" s="11">
        <v>21.0</v>
      </c>
      <c r="D501" s="11">
        <v>3.0</v>
      </c>
      <c r="E501" s="12" t="s">
        <v>419</v>
      </c>
      <c r="F501" s="13">
        <f>IFERROR(__xludf.DUMMYFUNCTION("IF(
  REGEXMATCH(E501, "":""),
  60*VALUE(INDEX(SPLIT(E501, "":""),1,1)) + VALUE(INDEX(SPLIT(E501, "":""),1,2)),
  VALUE(E501)
)"),116.9)</f>
        <v>116.9</v>
      </c>
      <c r="G501" s="13">
        <f>average(F498-F500,F499-F501)</f>
        <v>0.55</v>
      </c>
      <c r="H501" s="13">
        <v>0.5500000000000043</v>
      </c>
      <c r="I501" s="11">
        <f>C486</f>
        <v>15</v>
      </c>
      <c r="J501" s="11">
        <f>C503</f>
        <v>23</v>
      </c>
      <c r="K501" s="11">
        <f t="array" ref="K501">INDEX('Podium Target Times'!$C:$C, MATCH(A501&amp;B501, 'Podium Target Times'!$A:$A&amp;'Podium Target Times'!$B:$B, 0))
</f>
        <v>120.6</v>
      </c>
      <c r="L501" s="13">
        <f t="shared" ref="L501:L502" si="51">L502+G502</f>
        <v>121.17</v>
      </c>
      <c r="M501" s="11" t="str">
        <f t="shared" si="1"/>
        <v>2:01.17</v>
      </c>
      <c r="N501" s="14">
        <f>IFERROR(__xludf.DUMMYFUNCTION("LET(
  gen,$A501, ev,$B501, t,$M501,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)"),755.0)</f>
        <v>755</v>
      </c>
    </row>
    <row r="502">
      <c r="A502" s="5" t="s">
        <v>295</v>
      </c>
      <c r="B502" s="6" t="s">
        <v>132</v>
      </c>
      <c r="C502" s="6">
        <v>22.0</v>
      </c>
      <c r="D502" s="6">
        <v>3.0</v>
      </c>
      <c r="E502" s="7" t="s">
        <v>420</v>
      </c>
      <c r="F502" s="8">
        <f>IFERROR(__xludf.DUMMYFUNCTION("IF(
  REGEXMATCH(E502, "":""),
  60*VALUE(INDEX(SPLIT(E502, "":""),1,1)) + VALUE(INDEX(SPLIT(E502, "":""),1,2)),
  VALUE(E502)
)"),116.6)</f>
        <v>116.6</v>
      </c>
      <c r="G502" s="8">
        <f t="shared" ref="G502:G503" si="52">F501-F502</f>
        <v>0.3</v>
      </c>
      <c r="H502" s="8">
        <v>0.30000000000001137</v>
      </c>
      <c r="I502" s="6">
        <f>C486</f>
        <v>15</v>
      </c>
      <c r="J502" s="6">
        <f>C503</f>
        <v>23</v>
      </c>
      <c r="K502" s="6">
        <f t="array" ref="K502">INDEX('Podium Target Times'!$C:$C, MATCH(A502&amp;B502, 'Podium Target Times'!$A:$A&amp;'Podium Target Times'!$B:$B, 0))
</f>
        <v>120.6</v>
      </c>
      <c r="L502" s="8">
        <f t="shared" si="51"/>
        <v>120.87</v>
      </c>
      <c r="M502" s="6" t="str">
        <f t="shared" si="1"/>
        <v>2:00.87</v>
      </c>
      <c r="N502" s="9">
        <f>IFERROR(__xludf.DUMMYFUNCTION("LET(
  gen,$A502, ev,$B502, t,$M502,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)"),760.0)</f>
        <v>760</v>
      </c>
    </row>
    <row r="503">
      <c r="A503" s="10" t="s">
        <v>295</v>
      </c>
      <c r="B503" s="11" t="s">
        <v>132</v>
      </c>
      <c r="C503" s="11">
        <v>23.0</v>
      </c>
      <c r="D503" s="11">
        <v>3.0</v>
      </c>
      <c r="E503" s="12" t="s">
        <v>414</v>
      </c>
      <c r="F503" s="13">
        <f>IFERROR(__xludf.DUMMYFUNCTION("IF(
  REGEXMATCH(E503, "":""),
  60*VALUE(INDEX(SPLIT(E503, "":""),1,1)) + VALUE(INDEX(SPLIT(E503, "":""),1,2)),
  VALUE(E503)
)"),116.50999999999999)</f>
        <v>116.51</v>
      </c>
      <c r="G503" s="13">
        <f t="shared" si="52"/>
        <v>0.09</v>
      </c>
      <c r="H503" s="13">
        <v>0.09000000000000341</v>
      </c>
      <c r="I503" s="11">
        <f>C486</f>
        <v>15</v>
      </c>
      <c r="J503" s="11">
        <f>C503</f>
        <v>23</v>
      </c>
      <c r="K503" s="11">
        <f t="array" ref="K503">INDEX('Podium Target Times'!$C:$C, MATCH(A503&amp;B503, 'Podium Target Times'!$A:$A&amp;'Podium Target Times'!$B:$B, 0))
</f>
        <v>120.6</v>
      </c>
      <c r="L503" s="13">
        <f>G503+L504</f>
        <v>120.78</v>
      </c>
      <c r="M503" s="11" t="str">
        <f t="shared" si="1"/>
        <v>2:00.78</v>
      </c>
      <c r="N503" s="14">
        <f>IFERROR(__xludf.DUMMYFUNCTION("LET(
  gen,$A503, ev,$B503, t,$M503,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504">
      <c r="A504" s="5" t="s">
        <v>295</v>
      </c>
      <c r="B504" s="6" t="s">
        <v>132</v>
      </c>
      <c r="C504" s="6">
        <v>24.0</v>
      </c>
      <c r="D504" s="6"/>
      <c r="E504" s="7"/>
      <c r="F504" s="8">
        <f>IFERROR(__xludf.DUMMYFUNCTION("IF(
  REGEXMATCH(E504, "":""),
  60*VALUE(INDEX(SPLIT(E504, "":""),1,1)) + VALUE(INDEX(SPLIT(E504, "":""),1,2)),
  VALUE(E504)
)"),0.0)</f>
        <v>0</v>
      </c>
      <c r="G504" s="8"/>
      <c r="H504" s="8"/>
      <c r="I504" s="6">
        <f>C486</f>
        <v>15</v>
      </c>
      <c r="J504" s="6">
        <f>C503</f>
        <v>23</v>
      </c>
      <c r="K504" s="6">
        <f t="array" ref="K504">INDEX('Podium Target Times'!$C:$C, MATCH(A504&amp;B504, 'Podium Target Times'!$A:$A&amp;'Podium Target Times'!$B:$B, 0))
</f>
        <v>120.6</v>
      </c>
      <c r="L504" s="8">
        <f>G503+L505</f>
        <v>120.69</v>
      </c>
      <c r="M504" s="6" t="str">
        <f t="shared" si="1"/>
        <v>2:00.69</v>
      </c>
      <c r="N504" s="9">
        <f>IFERROR(__xludf.DUMMYFUNCTION("LET(
  gen,$A504, ev,$B504, t,$M504,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)"),764.0)</f>
        <v>764</v>
      </c>
    </row>
    <row r="505">
      <c r="A505" s="10" t="s">
        <v>295</v>
      </c>
      <c r="B505" s="11" t="s">
        <v>132</v>
      </c>
      <c r="C505" s="11">
        <v>25.0</v>
      </c>
      <c r="D505" s="11"/>
      <c r="E505" s="12"/>
      <c r="F505" s="13">
        <f>IFERROR(__xludf.DUMMYFUNCTION("IF(
  REGEXMATCH(E505, "":""),
  60*VALUE(INDEX(SPLIT(E505, "":""),1,1)) + VALUE(INDEX(SPLIT(E505, "":""),1,2)),
  VALUE(E505)
)"),0.0)</f>
        <v>0</v>
      </c>
      <c r="G505" s="13"/>
      <c r="H505" s="13"/>
      <c r="I505" s="11">
        <f>C486</f>
        <v>15</v>
      </c>
      <c r="J505" s="11">
        <f>C503</f>
        <v>23</v>
      </c>
      <c r="K505" s="11">
        <f t="array" ref="K505">INDEX('Podium Target Times'!$C:$C, MATCH(A505&amp;B505, 'Podium Target Times'!$A:$A&amp;'Podium Target Times'!$B:$B, 0))
</f>
        <v>120.6</v>
      </c>
      <c r="L505" s="11">
        <f>K505</f>
        <v>120.6</v>
      </c>
      <c r="M505" s="11" t="str">
        <f t="shared" si="1"/>
        <v>2:00.60</v>
      </c>
      <c r="N505" s="14">
        <f>IFERROR(__xludf.DUMMYFUNCTION("LET(
  gen,$A505, ev,$B505, t,$M505,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)"),765.0)</f>
        <v>765</v>
      </c>
    </row>
    <row r="506">
      <c r="A506" s="5" t="s">
        <v>295</v>
      </c>
      <c r="B506" s="6" t="s">
        <v>149</v>
      </c>
      <c r="C506" s="6">
        <v>15.0</v>
      </c>
      <c r="D506" s="6">
        <v>1.0</v>
      </c>
      <c r="E506" s="7" t="s">
        <v>421</v>
      </c>
      <c r="F506" s="8">
        <f>IFERROR(__xludf.DUMMYFUNCTION("IF(
  REGEXMATCH(E506, "":""),
  60*VALUE(INDEX(SPLIT(E506, "":""),1,1)) + VALUE(INDEX(SPLIT(E506, "":""),1,2)),
  VALUE(E506)
)"),116.62)</f>
        <v>116.62</v>
      </c>
      <c r="G506" s="8">
        <v>0.0</v>
      </c>
      <c r="H506" s="8">
        <v>0.0</v>
      </c>
      <c r="I506" s="6">
        <f>C506</f>
        <v>15</v>
      </c>
      <c r="J506" s="6">
        <f>C523</f>
        <v>23</v>
      </c>
      <c r="K506" s="6">
        <f t="array" ref="K506">INDEX('Podium Target Times'!$C:$C, MATCH(A506&amp;B506, 'Podium Target Times'!$A:$A&amp;'Podium Target Times'!$B:$B, 0))
</f>
        <v>109.31</v>
      </c>
      <c r="L506" s="8">
        <f>L507+G507</f>
        <v>121.6883333</v>
      </c>
      <c r="M506" s="6" t="str">
        <f t="shared" si="1"/>
        <v>2:01.69</v>
      </c>
      <c r="N506" s="9">
        <f>IFERROR(__xludf.DUMMYFUNCTION("LET(
  gen,$A506, ev,$B506, t,$M506,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)"),588.0)</f>
        <v>588</v>
      </c>
    </row>
    <row r="507">
      <c r="A507" s="10" t="s">
        <v>295</v>
      </c>
      <c r="B507" s="11" t="s">
        <v>149</v>
      </c>
      <c r="C507" s="11">
        <v>16.0</v>
      </c>
      <c r="D507" s="11">
        <v>1.0</v>
      </c>
      <c r="E507" s="12" t="s">
        <v>422</v>
      </c>
      <c r="F507" s="13">
        <f>IFERROR(__xludf.DUMMYFUNCTION("IF(
  REGEXMATCH(E507, "":""),
  60*VALUE(INDEX(SPLIT(E507, "":""),1,1)) + VALUE(INDEX(SPLIT(E507, "":""),1,2)),
  VALUE(E507)
)"),112.75)</f>
        <v>112.75</v>
      </c>
      <c r="G507" s="13">
        <f>F506-F507</f>
        <v>3.87</v>
      </c>
      <c r="H507" s="13">
        <v>3.8700000000000045</v>
      </c>
      <c r="I507" s="11">
        <f>C506</f>
        <v>15</v>
      </c>
      <c r="J507" s="11">
        <f>C523</f>
        <v>23</v>
      </c>
      <c r="K507" s="11">
        <f t="array" ref="K507">INDEX('Podium Target Times'!$C:$C, MATCH(A507&amp;B507, 'Podium Target Times'!$A:$A&amp;'Podium Target Times'!$B:$B, 0))
</f>
        <v>109.31</v>
      </c>
      <c r="L507" s="13">
        <f>L509+G509</f>
        <v>117.8183333</v>
      </c>
      <c r="M507" s="11" t="str">
        <f t="shared" si="1"/>
        <v>1:57.82</v>
      </c>
      <c r="N507" s="14">
        <f>IFERROR(__xludf.DUMMYFUNCTION("LET(
  gen,$A507, ev,$B507, t,$M507,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)"),648.0)</f>
        <v>648</v>
      </c>
    </row>
    <row r="508">
      <c r="A508" s="5" t="s">
        <v>295</v>
      </c>
      <c r="B508" s="6" t="s">
        <v>149</v>
      </c>
      <c r="C508" s="6">
        <v>16.0</v>
      </c>
      <c r="D508" s="6">
        <v>2.0</v>
      </c>
      <c r="E508" s="7" t="s">
        <v>423</v>
      </c>
      <c r="F508" s="8">
        <f>IFERROR(__xludf.DUMMYFUNCTION("IF(
  REGEXMATCH(E508, "":""),
  60*VALUE(INDEX(SPLIT(E508, "":""),1,1)) + VALUE(INDEX(SPLIT(E508, "":""),1,2)),
  VALUE(E508)
)"),114.33)</f>
        <v>114.33</v>
      </c>
      <c r="G508" s="8">
        <f>F506-F507</f>
        <v>3.87</v>
      </c>
      <c r="H508" s="8">
        <v>3.8700000000000045</v>
      </c>
      <c r="I508" s="6">
        <f>C506</f>
        <v>15</v>
      </c>
      <c r="J508" s="6">
        <f>C523</f>
        <v>23</v>
      </c>
      <c r="K508" s="6">
        <f t="array" ref="K508">INDEX('Podium Target Times'!$C:$C, MATCH(A508&amp;B508, 'Podium Target Times'!$A:$A&amp;'Podium Target Times'!$B:$B, 0))
</f>
        <v>109.31</v>
      </c>
      <c r="L508" s="8">
        <f>L509+G509</f>
        <v>117.8183333</v>
      </c>
      <c r="M508" s="6" t="str">
        <f t="shared" si="1"/>
        <v>1:57.82</v>
      </c>
      <c r="N508" s="9">
        <f>IFERROR(__xludf.DUMMYFUNCTION("LET(
  gen,$A508, ev,$B508, t,$M508,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)"),648.0)</f>
        <v>648</v>
      </c>
    </row>
    <row r="509">
      <c r="A509" s="10" t="s">
        <v>295</v>
      </c>
      <c r="B509" s="11" t="s">
        <v>149</v>
      </c>
      <c r="C509" s="11">
        <v>17.0</v>
      </c>
      <c r="D509" s="11">
        <v>1.0</v>
      </c>
      <c r="E509" s="12" t="s">
        <v>424</v>
      </c>
      <c r="F509" s="13">
        <f>IFERROR(__xludf.DUMMYFUNCTION("IF(
  REGEXMATCH(E509, "":""),
  60*VALUE(INDEX(SPLIT(E509, "":""),1,1)) + VALUE(INDEX(SPLIT(E509, "":""),1,2)),
  VALUE(E509)
)"),109.93)</f>
        <v>109.93</v>
      </c>
      <c r="G509" s="13">
        <f>average(F507-F509,F508-F510)</f>
        <v>2.84</v>
      </c>
      <c r="H509" s="13">
        <v>2.8399999999999963</v>
      </c>
      <c r="I509" s="11">
        <f>C506</f>
        <v>15</v>
      </c>
      <c r="J509" s="11">
        <f>C523</f>
        <v>23</v>
      </c>
      <c r="K509" s="11">
        <f t="array" ref="K509">INDEX('Podium Target Times'!$C:$C, MATCH(A509&amp;B509, 'Podium Target Times'!$A:$A&amp;'Podium Target Times'!$B:$B, 0))
</f>
        <v>109.31</v>
      </c>
      <c r="L509" s="13">
        <f>L512+G512</f>
        <v>114.9783333</v>
      </c>
      <c r="M509" s="11" t="str">
        <f t="shared" si="1"/>
        <v>1:54.98</v>
      </c>
      <c r="N509" s="14">
        <f>IFERROR(__xludf.DUMMYFUNCTION("LET(
  gen,$A509, ev,$B509, t,$M509,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)"),698.0)</f>
        <v>698</v>
      </c>
    </row>
    <row r="510">
      <c r="A510" s="5" t="s">
        <v>295</v>
      </c>
      <c r="B510" s="6" t="s">
        <v>149</v>
      </c>
      <c r="C510" s="6">
        <v>17.0</v>
      </c>
      <c r="D510" s="6">
        <v>2.0</v>
      </c>
      <c r="E510" s="7" t="s">
        <v>425</v>
      </c>
      <c r="F510" s="8">
        <f>IFERROR(__xludf.DUMMYFUNCTION("IF(
  REGEXMATCH(E510, "":""),
  60*VALUE(INDEX(SPLIT(E510, "":""),1,1)) + VALUE(INDEX(SPLIT(E510, "":""),1,2)),
  VALUE(E510)
)"),111.47)</f>
        <v>111.47</v>
      </c>
      <c r="G510" s="8">
        <f>average(F507-F509,F508-F510)</f>
        <v>2.84</v>
      </c>
      <c r="H510" s="8">
        <v>2.8399999999999963</v>
      </c>
      <c r="I510" s="6">
        <f>C506</f>
        <v>15</v>
      </c>
      <c r="J510" s="6">
        <f>C523</f>
        <v>23</v>
      </c>
      <c r="K510" s="6">
        <f t="array" ref="K510">INDEX('Podium Target Times'!$C:$C, MATCH(A510&amp;B510, 'Podium Target Times'!$A:$A&amp;'Podium Target Times'!$B:$B, 0))
</f>
        <v>109.31</v>
      </c>
      <c r="L510" s="8">
        <f>L512+G512</f>
        <v>114.9783333</v>
      </c>
      <c r="M510" s="6" t="str">
        <f t="shared" si="1"/>
        <v>1:54.98</v>
      </c>
      <c r="N510" s="9">
        <f>IFERROR(__xludf.DUMMYFUNCTION("LET(
  gen,$A510, ev,$B510, t,$M510,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)"),698.0)</f>
        <v>698</v>
      </c>
    </row>
    <row r="511">
      <c r="A511" s="10" t="s">
        <v>295</v>
      </c>
      <c r="B511" s="11" t="s">
        <v>149</v>
      </c>
      <c r="C511" s="11">
        <v>17.0</v>
      </c>
      <c r="D511" s="11">
        <v>3.0</v>
      </c>
      <c r="E511" s="12" t="s">
        <v>426</v>
      </c>
      <c r="F511" s="13">
        <f>IFERROR(__xludf.DUMMYFUNCTION("IF(
  REGEXMATCH(E511, "":""),
  60*VALUE(INDEX(SPLIT(E511, "":""),1,1)) + VALUE(INDEX(SPLIT(E511, "":""),1,2)),
  VALUE(E511)
)"),112.03999999999999)</f>
        <v>112.04</v>
      </c>
      <c r="G511" s="13">
        <f>average(F507-F509,F508-F510)</f>
        <v>2.84</v>
      </c>
      <c r="H511" s="13">
        <v>2.8399999999999963</v>
      </c>
      <c r="I511" s="11">
        <f>C506</f>
        <v>15</v>
      </c>
      <c r="J511" s="11">
        <f>C523</f>
        <v>23</v>
      </c>
      <c r="K511" s="11">
        <f t="array" ref="K511">INDEX('Podium Target Times'!$C:$C, MATCH(A511&amp;B511, 'Podium Target Times'!$A:$A&amp;'Podium Target Times'!$B:$B, 0))
</f>
        <v>109.31</v>
      </c>
      <c r="L511" s="13">
        <f>L512+G512</f>
        <v>114.9783333</v>
      </c>
      <c r="M511" s="11" t="str">
        <f t="shared" si="1"/>
        <v>1:54.98</v>
      </c>
      <c r="N511" s="14">
        <f>IFERROR(__xludf.DUMMYFUNCTION("LET(
  gen,$A511, ev,$B511, t,$M511,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)"),698.0)</f>
        <v>698</v>
      </c>
    </row>
    <row r="512">
      <c r="A512" s="5" t="s">
        <v>295</v>
      </c>
      <c r="B512" s="6" t="s">
        <v>149</v>
      </c>
      <c r="C512" s="6">
        <v>18.0</v>
      </c>
      <c r="D512" s="6">
        <v>1.0</v>
      </c>
      <c r="E512" s="7" t="s">
        <v>427</v>
      </c>
      <c r="F512" s="8">
        <f>IFERROR(__xludf.DUMMYFUNCTION("IF(
  REGEXMATCH(E512, "":""),
  60*VALUE(INDEX(SPLIT(E512, "":""),1,1)) + VALUE(INDEX(SPLIT(E512, "":""),1,2)),
  VALUE(E512)
)"),108.02000000000001)</f>
        <v>108.02</v>
      </c>
      <c r="G512" s="8">
        <f>average(F509-F512,F510-F513,F511-F514)</f>
        <v>1.933333333</v>
      </c>
      <c r="H512" s="8">
        <v>1.9333333333333276</v>
      </c>
      <c r="I512" s="6">
        <f>C506</f>
        <v>15</v>
      </c>
      <c r="J512" s="6">
        <f>C523</f>
        <v>23</v>
      </c>
      <c r="K512" s="6">
        <f t="array" ref="K512">INDEX('Podium Target Times'!$C:$C, MATCH(A512&amp;B512, 'Podium Target Times'!$A:$A&amp;'Podium Target Times'!$B:$B, 0))
</f>
        <v>109.31</v>
      </c>
      <c r="L512" s="8">
        <f>L515+G515</f>
        <v>113.045</v>
      </c>
      <c r="M512" s="6" t="str">
        <f t="shared" si="1"/>
        <v>1:53.05</v>
      </c>
      <c r="N512" s="9">
        <f>IFERROR(__xludf.DUMMYFUNCTION("LET(
  gen,$A512, ev,$B512, t,$M512,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513">
      <c r="A513" s="10" t="s">
        <v>295</v>
      </c>
      <c r="B513" s="11" t="s">
        <v>149</v>
      </c>
      <c r="C513" s="11">
        <v>18.0</v>
      </c>
      <c r="D513" s="11">
        <v>2.0</v>
      </c>
      <c r="E513" s="12" t="s">
        <v>428</v>
      </c>
      <c r="F513" s="13">
        <f>IFERROR(__xludf.DUMMYFUNCTION("IF(
  REGEXMATCH(E513, "":""),
  60*VALUE(INDEX(SPLIT(E513, "":""),1,1)) + VALUE(INDEX(SPLIT(E513, "":""),1,2)),
  VALUE(E513)
)"),109.53)</f>
        <v>109.53</v>
      </c>
      <c r="G513" s="13">
        <f>average(F509-F512,F510-F513,F511-F514)</f>
        <v>1.933333333</v>
      </c>
      <c r="H513" s="13">
        <v>1.9333333333333276</v>
      </c>
      <c r="I513" s="11">
        <f>C506</f>
        <v>15</v>
      </c>
      <c r="J513" s="11">
        <f>C523</f>
        <v>23</v>
      </c>
      <c r="K513" s="11">
        <f t="array" ref="K513">INDEX('Podium Target Times'!$C:$C, MATCH(A513&amp;B513, 'Podium Target Times'!$A:$A&amp;'Podium Target Times'!$B:$B, 0))
</f>
        <v>109.31</v>
      </c>
      <c r="L513" s="13">
        <f>L515+G515</f>
        <v>113.045</v>
      </c>
      <c r="M513" s="11" t="str">
        <f t="shared" si="1"/>
        <v>1:53.05</v>
      </c>
      <c r="N513" s="14">
        <f>IFERROR(__xludf.DUMMYFUNCTION("LET(
  gen,$A513, ev,$B513, t,$M513,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514">
      <c r="A514" s="5" t="s">
        <v>295</v>
      </c>
      <c r="B514" s="6" t="s">
        <v>149</v>
      </c>
      <c r="C514" s="6">
        <v>18.0</v>
      </c>
      <c r="D514" s="6">
        <v>3.0</v>
      </c>
      <c r="E514" s="7" t="s">
        <v>429</v>
      </c>
      <c r="F514" s="8">
        <f>IFERROR(__xludf.DUMMYFUNCTION("IF(
  REGEXMATCH(E514, "":""),
  60*VALUE(INDEX(SPLIT(E514, "":""),1,1)) + VALUE(INDEX(SPLIT(E514, "":""),1,2)),
  VALUE(E514)
)"),110.09)</f>
        <v>110.09</v>
      </c>
      <c r="G514" s="8">
        <f>average(F509-F512,F510-F513,F511-F514)</f>
        <v>1.933333333</v>
      </c>
      <c r="H514" s="8">
        <v>1.9333333333333276</v>
      </c>
      <c r="I514" s="6">
        <f>C506</f>
        <v>15</v>
      </c>
      <c r="J514" s="6">
        <f>C523</f>
        <v>23</v>
      </c>
      <c r="K514" s="6">
        <f t="array" ref="K514">INDEX('Podium Target Times'!$C:$C, MATCH(A514&amp;B514, 'Podium Target Times'!$A:$A&amp;'Podium Target Times'!$B:$B, 0))
</f>
        <v>109.31</v>
      </c>
      <c r="L514" s="8">
        <f>L515+G515</f>
        <v>113.045</v>
      </c>
      <c r="M514" s="6" t="str">
        <f t="shared" si="1"/>
        <v>1:53.05</v>
      </c>
      <c r="N514" s="9">
        <f>IFERROR(__xludf.DUMMYFUNCTION("LET(
  gen,$A514, ev,$B514, t,$M514,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)"),734.0)</f>
        <v>734</v>
      </c>
    </row>
    <row r="515">
      <c r="A515" s="10" t="s">
        <v>295</v>
      </c>
      <c r="B515" s="11" t="s">
        <v>149</v>
      </c>
      <c r="C515" s="11">
        <v>19.0</v>
      </c>
      <c r="D515" s="11">
        <v>1.0</v>
      </c>
      <c r="E515" s="12" t="s">
        <v>430</v>
      </c>
      <c r="F515" s="13">
        <f>IFERROR(__xludf.DUMMYFUNCTION("IF(
  REGEXMATCH(E515, "":""),
  60*VALUE(INDEX(SPLIT(E515, "":""),1,1)) + VALUE(INDEX(SPLIT(E515, "":""),1,2)),
  VALUE(E515)
)"),106.7)</f>
        <v>106.7</v>
      </c>
      <c r="G515" s="13">
        <f>average(F512-F515,F513-F516,F514-F517)</f>
        <v>1.33</v>
      </c>
      <c r="H515" s="13">
        <v>1.330000000000003</v>
      </c>
      <c r="I515" s="11">
        <f>C506</f>
        <v>15</v>
      </c>
      <c r="J515" s="11">
        <f>C523</f>
        <v>23</v>
      </c>
      <c r="K515" s="11">
        <f t="array" ref="K515">INDEX('Podium Target Times'!$C:$C, MATCH(A515&amp;B515, 'Podium Target Times'!$A:$A&amp;'Podium Target Times'!$B:$B, 0))
</f>
        <v>109.31</v>
      </c>
      <c r="L515" s="13">
        <f>L518+G518</f>
        <v>111.715</v>
      </c>
      <c r="M515" s="11" t="str">
        <f t="shared" si="1"/>
        <v>1:51.72</v>
      </c>
      <c r="N515" s="14">
        <f>IFERROR(__xludf.DUMMYFUNCTION("LET(
  gen,$A515, ev,$B515, t,$M515,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516">
      <c r="A516" s="5" t="s">
        <v>295</v>
      </c>
      <c r="B516" s="6" t="s">
        <v>149</v>
      </c>
      <c r="C516" s="6">
        <v>19.0</v>
      </c>
      <c r="D516" s="6">
        <v>2.0</v>
      </c>
      <c r="E516" s="7" t="s">
        <v>431</v>
      </c>
      <c r="F516" s="8">
        <f>IFERROR(__xludf.DUMMYFUNCTION("IF(
  REGEXMATCH(E516, "":""),
  60*VALUE(INDEX(SPLIT(E516, "":""),1,1)) + VALUE(INDEX(SPLIT(E516, "":""),1,2)),
  VALUE(E516)
)"),108.2)</f>
        <v>108.2</v>
      </c>
      <c r="G516" s="8">
        <f>average(F512-F515,F513-F516,F514-F517)</f>
        <v>1.33</v>
      </c>
      <c r="H516" s="8">
        <v>1.330000000000003</v>
      </c>
      <c r="I516" s="6">
        <f>C506</f>
        <v>15</v>
      </c>
      <c r="J516" s="6">
        <f>C523</f>
        <v>23</v>
      </c>
      <c r="K516" s="6">
        <f t="array" ref="K516">INDEX('Podium Target Times'!$C:$C, MATCH(A516&amp;B516, 'Podium Target Times'!$A:$A&amp;'Podium Target Times'!$B:$B, 0))
</f>
        <v>109.31</v>
      </c>
      <c r="L516" s="8">
        <f>L518+G518</f>
        <v>111.715</v>
      </c>
      <c r="M516" s="6" t="str">
        <f t="shared" si="1"/>
        <v>1:51.72</v>
      </c>
      <c r="N516" s="9">
        <f>IFERROR(__xludf.DUMMYFUNCTION("LET(
  gen,$A516, ev,$B516, t,$M516,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517">
      <c r="A517" s="10" t="s">
        <v>295</v>
      </c>
      <c r="B517" s="11" t="s">
        <v>149</v>
      </c>
      <c r="C517" s="11">
        <v>19.0</v>
      </c>
      <c r="D517" s="11">
        <v>3.0</v>
      </c>
      <c r="E517" s="12" t="s">
        <v>432</v>
      </c>
      <c r="F517" s="13">
        <f>IFERROR(__xludf.DUMMYFUNCTION("IF(
  REGEXMATCH(E517, "":""),
  60*VALUE(INDEX(SPLIT(E517, "":""),1,1)) + VALUE(INDEX(SPLIT(E517, "":""),1,2)),
  VALUE(E517)
)"),108.75)</f>
        <v>108.75</v>
      </c>
      <c r="G517" s="13">
        <f>average(F512-F515,F513-F516,F514-F517)</f>
        <v>1.33</v>
      </c>
      <c r="H517" s="13">
        <v>1.330000000000003</v>
      </c>
      <c r="I517" s="11">
        <f>C506</f>
        <v>15</v>
      </c>
      <c r="J517" s="11">
        <f>C523</f>
        <v>23</v>
      </c>
      <c r="K517" s="11">
        <f t="array" ref="K517">INDEX('Podium Target Times'!$C:$C, MATCH(A517&amp;B517, 'Podium Target Times'!$A:$A&amp;'Podium Target Times'!$B:$B, 0))
</f>
        <v>109.31</v>
      </c>
      <c r="L517" s="13">
        <f>L518+G518</f>
        <v>111.715</v>
      </c>
      <c r="M517" s="11" t="str">
        <f t="shared" si="1"/>
        <v>1:51.72</v>
      </c>
      <c r="N517" s="14">
        <f>IFERROR(__xludf.DUMMYFUNCTION("LET(
  gen,$A517, ev,$B517, t,$M517,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)"),761.0)</f>
        <v>761</v>
      </c>
    </row>
    <row r="518">
      <c r="A518" s="5" t="s">
        <v>295</v>
      </c>
      <c r="B518" s="6" t="s">
        <v>149</v>
      </c>
      <c r="C518" s="6">
        <v>20.0</v>
      </c>
      <c r="D518" s="6">
        <v>2.0</v>
      </c>
      <c r="E518" s="7" t="s">
        <v>433</v>
      </c>
      <c r="F518" s="8">
        <f>IFERROR(__xludf.DUMMYFUNCTION("IF(
  REGEXMATCH(E518, "":""),
  60*VALUE(INDEX(SPLIT(E518, "":""),1,1)) + VALUE(INDEX(SPLIT(E518, "":""),1,2)),
  VALUE(E518)
)"),107.3)</f>
        <v>107.3</v>
      </c>
      <c r="G518" s="8">
        <f>average(F516-F518,F517-F519)</f>
        <v>0.905</v>
      </c>
      <c r="H518" s="8">
        <v>0.9050000000000011</v>
      </c>
      <c r="I518" s="6">
        <f>C506</f>
        <v>15</v>
      </c>
      <c r="J518" s="6">
        <f>C523</f>
        <v>23</v>
      </c>
      <c r="K518" s="6">
        <f t="array" ref="K518">INDEX('Podium Target Times'!$C:$C, MATCH(A518&amp;B518, 'Podium Target Times'!$A:$A&amp;'Podium Target Times'!$B:$B, 0))
</f>
        <v>109.31</v>
      </c>
      <c r="L518" s="8">
        <f>L520+G520</f>
        <v>110.81</v>
      </c>
      <c r="M518" s="6" t="str">
        <f t="shared" si="1"/>
        <v>1:50.81</v>
      </c>
      <c r="N518" s="9">
        <f>IFERROR(__xludf.DUMMYFUNCTION("LET(
  gen,$A518, ev,$B518, t,$M518,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)"),779.0)</f>
        <v>779</v>
      </c>
    </row>
    <row r="519">
      <c r="A519" s="10" t="s">
        <v>295</v>
      </c>
      <c r="B519" s="11" t="s">
        <v>149</v>
      </c>
      <c r="C519" s="11">
        <v>20.0</v>
      </c>
      <c r="D519" s="11">
        <v>3.0</v>
      </c>
      <c r="E519" s="12" t="s">
        <v>434</v>
      </c>
      <c r="F519" s="13">
        <f>IFERROR(__xludf.DUMMYFUNCTION("IF(
  REGEXMATCH(E519, "":""),
  60*VALUE(INDEX(SPLIT(E519, "":""),1,1)) + VALUE(INDEX(SPLIT(E519, "":""),1,2)),
  VALUE(E519)
)"),107.84)</f>
        <v>107.84</v>
      </c>
      <c r="G519" s="13">
        <f>average(F516-F518,F517-F519)</f>
        <v>0.905</v>
      </c>
      <c r="H519" s="13">
        <v>0.9050000000000011</v>
      </c>
      <c r="I519" s="11">
        <f>C506</f>
        <v>15</v>
      </c>
      <c r="J519" s="11">
        <f>C523</f>
        <v>23</v>
      </c>
      <c r="K519" s="11">
        <f t="array" ref="K519">INDEX('Podium Target Times'!$C:$C, MATCH(A519&amp;B519, 'Podium Target Times'!$A:$A&amp;'Podium Target Times'!$B:$B, 0))
</f>
        <v>109.31</v>
      </c>
      <c r="L519" s="13">
        <f>L520+G520</f>
        <v>110.81</v>
      </c>
      <c r="M519" s="11" t="str">
        <f t="shared" si="1"/>
        <v>1:50.81</v>
      </c>
      <c r="N519" s="14">
        <f>IFERROR(__xludf.DUMMYFUNCTION("LET(
  gen,$A519, ev,$B519, t,$M519,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)"),779.0)</f>
        <v>779</v>
      </c>
    </row>
    <row r="520">
      <c r="A520" s="5" t="s">
        <v>295</v>
      </c>
      <c r="B520" s="6" t="s">
        <v>149</v>
      </c>
      <c r="C520" s="6">
        <v>21.0</v>
      </c>
      <c r="D520" s="6">
        <v>2.0</v>
      </c>
      <c r="E520" s="7" t="s">
        <v>430</v>
      </c>
      <c r="F520" s="8">
        <f>IFERROR(__xludf.DUMMYFUNCTION("IF(
  REGEXMATCH(E520, "":""),
  60*VALUE(INDEX(SPLIT(E520, "":""),1,1)) + VALUE(INDEX(SPLIT(E520, "":""),1,2)),
  VALUE(E520)
)"),106.7)</f>
        <v>106.7</v>
      </c>
      <c r="G520" s="8">
        <f>average(F518-F520,F519-F521)</f>
        <v>0.6</v>
      </c>
      <c r="H520" s="8">
        <v>0.5999999999999943</v>
      </c>
      <c r="I520" s="6">
        <f>C506</f>
        <v>15</v>
      </c>
      <c r="J520" s="6">
        <f>C523</f>
        <v>23</v>
      </c>
      <c r="K520" s="6">
        <f t="array" ref="K520">INDEX('Podium Target Times'!$C:$C, MATCH(A520&amp;B520, 'Podium Target Times'!$A:$A&amp;'Podium Target Times'!$B:$B, 0))
</f>
        <v>109.31</v>
      </c>
      <c r="L520" s="8">
        <f>L522+G522</f>
        <v>110.21</v>
      </c>
      <c r="M520" s="6" t="str">
        <f t="shared" si="1"/>
        <v>1:50.21</v>
      </c>
      <c r="N520" s="9">
        <f>IFERROR(__xludf.DUMMYFUNCTION("LET(
  gen,$A520, ev,$B520, t,$M520,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)"),792.0)</f>
        <v>792</v>
      </c>
    </row>
    <row r="521">
      <c r="A521" s="10" t="s">
        <v>295</v>
      </c>
      <c r="B521" s="11" t="s">
        <v>149</v>
      </c>
      <c r="C521" s="11">
        <v>21.0</v>
      </c>
      <c r="D521" s="11">
        <v>3.0</v>
      </c>
      <c r="E521" s="12" t="s">
        <v>435</v>
      </c>
      <c r="F521" s="13">
        <f>IFERROR(__xludf.DUMMYFUNCTION("IF(
  REGEXMATCH(E521, "":""),
  60*VALUE(INDEX(SPLIT(E521, "":""),1,1)) + VALUE(INDEX(SPLIT(E521, "":""),1,2)),
  VALUE(E521)
)"),107.24000000000001)</f>
        <v>107.24</v>
      </c>
      <c r="G521" s="13">
        <f>average(F518-F520,F519-F521)</f>
        <v>0.6</v>
      </c>
      <c r="H521" s="13">
        <v>0.5999999999999943</v>
      </c>
      <c r="I521" s="11">
        <f>C506</f>
        <v>15</v>
      </c>
      <c r="J521" s="11">
        <f>C523</f>
        <v>23</v>
      </c>
      <c r="K521" s="11">
        <f t="array" ref="K521">INDEX('Podium Target Times'!$C:$C, MATCH(A521&amp;B521, 'Podium Target Times'!$A:$A&amp;'Podium Target Times'!$B:$B, 0))
</f>
        <v>109.31</v>
      </c>
      <c r="L521" s="13">
        <f t="shared" ref="L521:L522" si="53">L522+G522</f>
        <v>110.21</v>
      </c>
      <c r="M521" s="11" t="str">
        <f t="shared" si="1"/>
        <v>1:50.21</v>
      </c>
      <c r="N521" s="14">
        <f>IFERROR(__xludf.DUMMYFUNCTION("LET(
  gen,$A521, ev,$B521, t,$M521,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)"),792.0)</f>
        <v>792</v>
      </c>
    </row>
    <row r="522">
      <c r="A522" s="5" t="s">
        <v>295</v>
      </c>
      <c r="B522" s="6" t="s">
        <v>149</v>
      </c>
      <c r="C522" s="6">
        <v>22.0</v>
      </c>
      <c r="D522" s="6">
        <v>3.0</v>
      </c>
      <c r="E522" s="7" t="s">
        <v>436</v>
      </c>
      <c r="F522" s="8">
        <f>IFERROR(__xludf.DUMMYFUNCTION("IF(
  REGEXMATCH(E522, "":""),
  60*VALUE(INDEX(SPLIT(E522, "":""),1,1)) + VALUE(INDEX(SPLIT(E522, "":""),1,2)),
  VALUE(E522)
)"),106.88)</f>
        <v>106.88</v>
      </c>
      <c r="G522" s="8">
        <f t="shared" ref="G522:G523" si="54">F521-F522</f>
        <v>0.36</v>
      </c>
      <c r="H522" s="8">
        <v>0.36000000000001364</v>
      </c>
      <c r="I522" s="6">
        <f>C506</f>
        <v>15</v>
      </c>
      <c r="J522" s="6">
        <f>C523</f>
        <v>23</v>
      </c>
      <c r="K522" s="6">
        <f t="array" ref="K522">INDEX('Podium Target Times'!$C:$C, MATCH(A522&amp;B522, 'Podium Target Times'!$A:$A&amp;'Podium Target Times'!$B:$B, 0))
</f>
        <v>109.31</v>
      </c>
      <c r="L522" s="8">
        <f t="shared" si="53"/>
        <v>109.85</v>
      </c>
      <c r="M522" s="6" t="str">
        <f t="shared" si="1"/>
        <v>1:49.85</v>
      </c>
      <c r="N522" s="9">
        <f>IFERROR(__xludf.DUMMYFUNCTION("LET(
  gen,$A522, ev,$B522, t,$M522,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)"),800.0)</f>
        <v>800</v>
      </c>
    </row>
    <row r="523">
      <c r="A523" s="10" t="s">
        <v>295</v>
      </c>
      <c r="B523" s="11" t="s">
        <v>149</v>
      </c>
      <c r="C523" s="11">
        <v>23.0</v>
      </c>
      <c r="D523" s="11">
        <v>3.0</v>
      </c>
      <c r="E523" s="12" t="s">
        <v>430</v>
      </c>
      <c r="F523" s="13">
        <f>IFERROR(__xludf.DUMMYFUNCTION("IF(
  REGEXMATCH(E523, "":""),
  60*VALUE(INDEX(SPLIT(E523, "":""),1,1)) + VALUE(INDEX(SPLIT(E523, "":""),1,2)),
  VALUE(E523)
)"),106.7)</f>
        <v>106.7</v>
      </c>
      <c r="G523" s="13">
        <f t="shared" si="54"/>
        <v>0.18</v>
      </c>
      <c r="H523" s="13">
        <v>0.1799999999999926</v>
      </c>
      <c r="I523" s="11">
        <f>C506</f>
        <v>15</v>
      </c>
      <c r="J523" s="11">
        <f>C523</f>
        <v>23</v>
      </c>
      <c r="K523" s="11">
        <f t="array" ref="K523">INDEX('Podium Target Times'!$C:$C, MATCH(A523&amp;B523, 'Podium Target Times'!$A:$A&amp;'Podium Target Times'!$B:$B, 0))
</f>
        <v>109.31</v>
      </c>
      <c r="L523" s="13">
        <f>G523+L524</f>
        <v>109.67</v>
      </c>
      <c r="M523" s="11" t="str">
        <f t="shared" si="1"/>
        <v>1:49.67</v>
      </c>
      <c r="N523" s="14">
        <f>IFERROR(__xludf.DUMMYFUNCTION("LET(
  gen,$A523, ev,$B523, t,$M523,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)"),804.0)</f>
        <v>804</v>
      </c>
    </row>
    <row r="524">
      <c r="A524" s="5" t="s">
        <v>295</v>
      </c>
      <c r="B524" s="6" t="s">
        <v>149</v>
      </c>
      <c r="C524" s="6">
        <v>24.0</v>
      </c>
      <c r="D524" s="6"/>
      <c r="E524" s="7"/>
      <c r="F524" s="8">
        <f>IFERROR(__xludf.DUMMYFUNCTION("IF(
  REGEXMATCH(E524, "":""),
  60*VALUE(INDEX(SPLIT(E524, "":""),1,1)) + VALUE(INDEX(SPLIT(E524, "":""),1,2)),
  VALUE(E524)
)"),0.0)</f>
        <v>0</v>
      </c>
      <c r="G524" s="8"/>
      <c r="H524" s="8"/>
      <c r="I524" s="6">
        <f>C506</f>
        <v>15</v>
      </c>
      <c r="J524" s="6">
        <f>C523</f>
        <v>23</v>
      </c>
      <c r="K524" s="6">
        <f t="array" ref="K524">INDEX('Podium Target Times'!$C:$C, MATCH(A524&amp;B524, 'Podium Target Times'!$A:$A&amp;'Podium Target Times'!$B:$B, 0))
</f>
        <v>109.31</v>
      </c>
      <c r="L524" s="8">
        <f>G523+L525</f>
        <v>109.49</v>
      </c>
      <c r="M524" s="6" t="str">
        <f t="shared" si="1"/>
        <v>1:49.49</v>
      </c>
      <c r="N524" s="9">
        <f>IFERROR(__xludf.DUMMYFUNCTION("LET(
  gen,$A524, ev,$B524, t,$M524,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)"),808.0)</f>
        <v>808</v>
      </c>
    </row>
    <row r="525">
      <c r="A525" s="10" t="s">
        <v>295</v>
      </c>
      <c r="B525" s="11" t="s">
        <v>149</v>
      </c>
      <c r="C525" s="11">
        <v>25.0</v>
      </c>
      <c r="D525" s="11"/>
      <c r="E525" s="12"/>
      <c r="F525" s="13">
        <f>IFERROR(__xludf.DUMMYFUNCTION("IF(
  REGEXMATCH(E525, "":""),
  60*VALUE(INDEX(SPLIT(E525, "":""),1,1)) + VALUE(INDEX(SPLIT(E525, "":""),1,2)),
  VALUE(E525)
)"),0.0)</f>
        <v>0</v>
      </c>
      <c r="G525" s="13"/>
      <c r="H525" s="13"/>
      <c r="I525" s="11">
        <f>C506</f>
        <v>15</v>
      </c>
      <c r="J525" s="11">
        <f>C523</f>
        <v>23</v>
      </c>
      <c r="K525" s="11">
        <f t="array" ref="K525">INDEX('Podium Target Times'!$C:$C, MATCH(A525&amp;B525, 'Podium Target Times'!$A:$A&amp;'Podium Target Times'!$B:$B, 0))
</f>
        <v>109.31</v>
      </c>
      <c r="L525" s="11">
        <f>K525</f>
        <v>109.31</v>
      </c>
      <c r="M525" s="11" t="str">
        <f t="shared" si="1"/>
        <v>1:49.31</v>
      </c>
      <c r="N525" s="14">
        <f>IFERROR(__xludf.DUMMYFUNCTION("LET(
  gen,$A525, ev,$B525, t,$M525,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)"),812.0)</f>
        <v>812</v>
      </c>
    </row>
    <row r="526">
      <c r="A526" s="5" t="s">
        <v>295</v>
      </c>
      <c r="B526" s="6" t="s">
        <v>166</v>
      </c>
      <c r="C526" s="6">
        <v>16.0</v>
      </c>
      <c r="D526" s="6">
        <v>1.0</v>
      </c>
      <c r="E526" s="7" t="s">
        <v>437</v>
      </c>
      <c r="F526" s="8">
        <f>IFERROR(__xludf.DUMMYFUNCTION("IF(
  REGEXMATCH(E526, "":""),
  60*VALUE(INDEX(SPLIT(E526, "":""),1,1)) + VALUE(INDEX(SPLIT(E526, "":""),1,2)),
  VALUE(E526)
)"),126.5)</f>
        <v>126.5</v>
      </c>
      <c r="G526" s="8">
        <v>0.0</v>
      </c>
      <c r="H526" s="8">
        <v>0.0</v>
      </c>
      <c r="I526" s="6">
        <f>C526</f>
        <v>16</v>
      </c>
      <c r="J526" s="6">
        <f>C543</f>
        <v>24</v>
      </c>
      <c r="K526" s="6">
        <f t="array" ref="K526">INDEX('Podium Target Times'!$C:$C, MATCH(A526&amp;B526, 'Podium Target Times'!$A:$A&amp;'Podium Target Times'!$B:$B, 0))
</f>
        <v>122.42</v>
      </c>
      <c r="L526" s="8">
        <f>L527+G527</f>
        <v>131.1516667</v>
      </c>
      <c r="M526" s="6" t="str">
        <f t="shared" si="1"/>
        <v>2:11.15</v>
      </c>
      <c r="N526" s="9">
        <f>IFERROR(__xludf.DUMMYFUNCTION("LET(
  gen,$A526, ev,$B526, t,$M526,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)"),656.0)</f>
        <v>656</v>
      </c>
    </row>
    <row r="527">
      <c r="A527" s="10" t="s">
        <v>295</v>
      </c>
      <c r="B527" s="11" t="s">
        <v>166</v>
      </c>
      <c r="C527" s="11">
        <v>17.0</v>
      </c>
      <c r="D527" s="11">
        <v>1.0</v>
      </c>
      <c r="E527" s="12" t="s">
        <v>438</v>
      </c>
      <c r="F527" s="13">
        <f>IFERROR(__xludf.DUMMYFUNCTION("IF(
  REGEXMATCH(E527, "":""),
  60*VALUE(INDEX(SPLIT(E527, "":""),1,1)) + VALUE(INDEX(SPLIT(E527, "":""),1,2)),
  VALUE(E527)
)"),123.32)</f>
        <v>123.32</v>
      </c>
      <c r="G527" s="13">
        <f>F526-F527</f>
        <v>3.18</v>
      </c>
      <c r="H527" s="13">
        <v>3.180000000000007</v>
      </c>
      <c r="I527" s="11">
        <f>C526</f>
        <v>16</v>
      </c>
      <c r="J527" s="11">
        <f>C543</f>
        <v>24</v>
      </c>
      <c r="K527" s="11">
        <f t="array" ref="K527">INDEX('Podium Target Times'!$C:$C, MATCH(A527&amp;B527, 'Podium Target Times'!$A:$A&amp;'Podium Target Times'!$B:$B, 0))
</f>
        <v>122.42</v>
      </c>
      <c r="L527" s="13">
        <f>L529+G529</f>
        <v>127.9716667</v>
      </c>
      <c r="M527" s="11" t="str">
        <f t="shared" si="1"/>
        <v>2:07.97</v>
      </c>
      <c r="N527" s="14">
        <f>IFERROR(__xludf.DUMMYFUNCTION("LET(
  gen,$A527, ev,$B527, t,$M527,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528">
      <c r="A528" s="5" t="s">
        <v>295</v>
      </c>
      <c r="B528" s="6" t="s">
        <v>166</v>
      </c>
      <c r="C528" s="6">
        <v>17.0</v>
      </c>
      <c r="D528" s="6">
        <v>2.0</v>
      </c>
      <c r="E528" s="7" t="s">
        <v>439</v>
      </c>
      <c r="F528" s="8">
        <f>IFERROR(__xludf.DUMMYFUNCTION("IF(
  REGEXMATCH(E528, "":""),
  60*VALUE(INDEX(SPLIT(E528, "":""),1,1)) + VALUE(INDEX(SPLIT(E528, "":""),1,2)),
  VALUE(E528)
)"),124.42)</f>
        <v>124.42</v>
      </c>
      <c r="G528" s="8">
        <f>F526-F527</f>
        <v>3.18</v>
      </c>
      <c r="H528" s="8">
        <v>3.180000000000007</v>
      </c>
      <c r="I528" s="6">
        <f>C526</f>
        <v>16</v>
      </c>
      <c r="J528" s="6">
        <f>C543</f>
        <v>24</v>
      </c>
      <c r="K528" s="6">
        <f t="array" ref="K528">INDEX('Podium Target Times'!$C:$C, MATCH(A528&amp;B528, 'Podium Target Times'!$A:$A&amp;'Podium Target Times'!$B:$B, 0))
</f>
        <v>122.42</v>
      </c>
      <c r="L528" s="8">
        <f>L529+G529</f>
        <v>127.9716667</v>
      </c>
      <c r="M528" s="6" t="str">
        <f t="shared" si="1"/>
        <v>2:07.97</v>
      </c>
      <c r="N528" s="9">
        <f>IFERROR(__xludf.DUMMYFUNCTION("LET(
  gen,$A528, ev,$B528, t,$M528,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)"),706.0)</f>
        <v>706</v>
      </c>
    </row>
    <row r="529">
      <c r="A529" s="10" t="s">
        <v>295</v>
      </c>
      <c r="B529" s="11" t="s">
        <v>166</v>
      </c>
      <c r="C529" s="11">
        <v>18.0</v>
      </c>
      <c r="D529" s="11">
        <v>1.0</v>
      </c>
      <c r="E529" s="12" t="s">
        <v>440</v>
      </c>
      <c r="F529" s="13">
        <f>IFERROR(__xludf.DUMMYFUNCTION("IF(
  REGEXMATCH(E529, "":""),
  60*VALUE(INDEX(SPLIT(E529, "":""),1,1)) + VALUE(INDEX(SPLIT(E529, "":""),1,2)),
  VALUE(E529)
)"),121.3)</f>
        <v>121.3</v>
      </c>
      <c r="G529" s="13">
        <f>average(F527-F529,F528-F530)</f>
        <v>2.025</v>
      </c>
      <c r="H529" s="13">
        <v>2.0249999999999986</v>
      </c>
      <c r="I529" s="11">
        <f>C526</f>
        <v>16</v>
      </c>
      <c r="J529" s="11">
        <f>C543</f>
        <v>24</v>
      </c>
      <c r="K529" s="11">
        <f t="array" ref="K529">INDEX('Podium Target Times'!$C:$C, MATCH(A529&amp;B529, 'Podium Target Times'!$A:$A&amp;'Podium Target Times'!$B:$B, 0))
</f>
        <v>122.42</v>
      </c>
      <c r="L529" s="13">
        <f>L532+G532</f>
        <v>125.9466667</v>
      </c>
      <c r="M529" s="11" t="str">
        <f t="shared" si="1"/>
        <v>2:05.95</v>
      </c>
      <c r="N529" s="14">
        <f>IFERROR(__xludf.DUMMYFUNCTION("LET(
  gen,$A529, ev,$B529, t,$M529,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530">
      <c r="A530" s="5" t="s">
        <v>295</v>
      </c>
      <c r="B530" s="6" t="s">
        <v>166</v>
      </c>
      <c r="C530" s="6">
        <v>18.0</v>
      </c>
      <c r="D530" s="6">
        <v>2.0</v>
      </c>
      <c r="E530" s="7" t="s">
        <v>441</v>
      </c>
      <c r="F530" s="8">
        <f>IFERROR(__xludf.DUMMYFUNCTION("IF(
  REGEXMATCH(E530, "":""),
  60*VALUE(INDEX(SPLIT(E530, "":""),1,1)) + VALUE(INDEX(SPLIT(E530, "":""),1,2)),
  VALUE(E530)
)"),122.39)</f>
        <v>122.39</v>
      </c>
      <c r="G530" s="8">
        <f>average(F527-F529,F528-F530)</f>
        <v>2.025</v>
      </c>
      <c r="H530" s="8">
        <v>2.0249999999999986</v>
      </c>
      <c r="I530" s="6">
        <f>C526</f>
        <v>16</v>
      </c>
      <c r="J530" s="6">
        <f>C543</f>
        <v>24</v>
      </c>
      <c r="K530" s="6">
        <f t="array" ref="K530">INDEX('Podium Target Times'!$C:$C, MATCH(A530&amp;B530, 'Podium Target Times'!$A:$A&amp;'Podium Target Times'!$B:$B, 0))
</f>
        <v>122.42</v>
      </c>
      <c r="L530" s="8">
        <f>L532+G532</f>
        <v>125.9466667</v>
      </c>
      <c r="M530" s="6" t="str">
        <f t="shared" si="1"/>
        <v>2:05.95</v>
      </c>
      <c r="N530" s="9">
        <f>IFERROR(__xludf.DUMMYFUNCTION("LET(
  gen,$A530, ev,$B530, t,$M530,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531">
      <c r="A531" s="10" t="s">
        <v>295</v>
      </c>
      <c r="B531" s="11" t="s">
        <v>166</v>
      </c>
      <c r="C531" s="11">
        <v>18.0</v>
      </c>
      <c r="D531" s="11">
        <v>3.0</v>
      </c>
      <c r="E531" s="12" t="s">
        <v>442</v>
      </c>
      <c r="F531" s="13">
        <f>IFERROR(__xludf.DUMMYFUNCTION("IF(
  REGEXMATCH(E531, "":""),
  60*VALUE(INDEX(SPLIT(E531, "":""),1,1)) + VALUE(INDEX(SPLIT(E531, "":""),1,2)),
  VALUE(E531)
)"),122.59)</f>
        <v>122.59</v>
      </c>
      <c r="G531" s="13">
        <f>average(F527-F529,F528-F530)</f>
        <v>2.025</v>
      </c>
      <c r="H531" s="13">
        <v>2.0249999999999986</v>
      </c>
      <c r="I531" s="11">
        <f>C526</f>
        <v>16</v>
      </c>
      <c r="J531" s="11">
        <f>C543</f>
        <v>24</v>
      </c>
      <c r="K531" s="11">
        <f t="array" ref="K531">INDEX('Podium Target Times'!$C:$C, MATCH(A531&amp;B531, 'Podium Target Times'!$A:$A&amp;'Podium Target Times'!$B:$B, 0))
</f>
        <v>122.42</v>
      </c>
      <c r="L531" s="13">
        <f>L532+G532</f>
        <v>125.9466667</v>
      </c>
      <c r="M531" s="11" t="str">
        <f t="shared" si="1"/>
        <v>2:05.95</v>
      </c>
      <c r="N531" s="14">
        <f>IFERROR(__xludf.DUMMYFUNCTION("LET(
  gen,$A531, ev,$B531, t,$M531,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)"),741.0)</f>
        <v>741</v>
      </c>
    </row>
    <row r="532">
      <c r="A532" s="5" t="s">
        <v>295</v>
      </c>
      <c r="B532" s="6" t="s">
        <v>166</v>
      </c>
      <c r="C532" s="6">
        <v>19.0</v>
      </c>
      <c r="D532" s="6">
        <v>1.0</v>
      </c>
      <c r="E532" s="7" t="s">
        <v>443</v>
      </c>
      <c r="F532" s="8">
        <f>IFERROR(__xludf.DUMMYFUNCTION("IF(
  REGEXMATCH(E532, "":""),
  60*VALUE(INDEX(SPLIT(E532, "":""),1,1)) + VALUE(INDEX(SPLIT(E532, "":""),1,2)),
  VALUE(E532)
)"),119.95)</f>
        <v>119.95</v>
      </c>
      <c r="G532" s="8">
        <f>average(F529-F532,F530-F533,F531-F534)</f>
        <v>1.36</v>
      </c>
      <c r="H532" s="8">
        <v>1.3599999999999994</v>
      </c>
      <c r="I532" s="6">
        <f>C526</f>
        <v>16</v>
      </c>
      <c r="J532" s="6">
        <f>C543</f>
        <v>24</v>
      </c>
      <c r="K532" s="6">
        <f t="array" ref="K532">INDEX('Podium Target Times'!$C:$C, MATCH(A532&amp;B532, 'Podium Target Times'!$A:$A&amp;'Podium Target Times'!$B:$B, 0))
</f>
        <v>122.42</v>
      </c>
      <c r="L532" s="8">
        <f>L535+G535</f>
        <v>124.5866667</v>
      </c>
      <c r="M532" s="6" t="str">
        <f t="shared" si="1"/>
        <v>2:04.59</v>
      </c>
      <c r="N532" s="9">
        <f>IFERROR(__xludf.DUMMYFUNCTION("LET(
  gen,$A532, ev,$B532, t,$M532,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533">
      <c r="A533" s="10" t="s">
        <v>295</v>
      </c>
      <c r="B533" s="11" t="s">
        <v>166</v>
      </c>
      <c r="C533" s="11">
        <v>19.0</v>
      </c>
      <c r="D533" s="11">
        <v>2.0</v>
      </c>
      <c r="E533" s="12" t="s">
        <v>444</v>
      </c>
      <c r="F533" s="13">
        <f>IFERROR(__xludf.DUMMYFUNCTION("IF(
  REGEXMATCH(E533, "":""),
  60*VALUE(INDEX(SPLIT(E533, "":""),1,1)) + VALUE(INDEX(SPLIT(E533, "":""),1,2)),
  VALUE(E533)
)"),121.03)</f>
        <v>121.03</v>
      </c>
      <c r="G533" s="13">
        <f>average(F529-F532,F530-F533,F531-F534)</f>
        <v>1.36</v>
      </c>
      <c r="H533" s="13">
        <v>1.3599999999999994</v>
      </c>
      <c r="I533" s="11">
        <f>C526</f>
        <v>16</v>
      </c>
      <c r="J533" s="11">
        <f>C543</f>
        <v>24</v>
      </c>
      <c r="K533" s="11">
        <f t="array" ref="K533">INDEX('Podium Target Times'!$C:$C, MATCH(A533&amp;B533, 'Podium Target Times'!$A:$A&amp;'Podium Target Times'!$B:$B, 0))
</f>
        <v>122.42</v>
      </c>
      <c r="L533" s="13">
        <f>L535+G535</f>
        <v>124.5866667</v>
      </c>
      <c r="M533" s="11" t="str">
        <f t="shared" si="1"/>
        <v>2:04.59</v>
      </c>
      <c r="N533" s="14">
        <f>IFERROR(__xludf.DUMMYFUNCTION("LET(
  gen,$A533, ev,$B533, t,$M533,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534">
      <c r="A534" s="5" t="s">
        <v>295</v>
      </c>
      <c r="B534" s="6" t="s">
        <v>166</v>
      </c>
      <c r="C534" s="6">
        <v>19.0</v>
      </c>
      <c r="D534" s="6">
        <v>3.0</v>
      </c>
      <c r="E534" s="7" t="s">
        <v>445</v>
      </c>
      <c r="F534" s="8">
        <f>IFERROR(__xludf.DUMMYFUNCTION("IF(
  REGEXMATCH(E534, "":""),
  60*VALUE(INDEX(SPLIT(E534, "":""),1,1)) + VALUE(INDEX(SPLIT(E534, "":""),1,2)),
  VALUE(E534)
)"),121.22)</f>
        <v>121.22</v>
      </c>
      <c r="G534" s="8">
        <f>average(F529-F532,F530-F533,F531-F534)</f>
        <v>1.36</v>
      </c>
      <c r="H534" s="8">
        <v>1.3599999999999994</v>
      </c>
      <c r="I534" s="6">
        <f>C526</f>
        <v>16</v>
      </c>
      <c r="J534" s="6">
        <f>C543</f>
        <v>24</v>
      </c>
      <c r="K534" s="6">
        <f t="array" ref="K534">INDEX('Podium Target Times'!$C:$C, MATCH(A534&amp;B534, 'Podium Target Times'!$A:$A&amp;'Podium Target Times'!$B:$B, 0))
</f>
        <v>122.42</v>
      </c>
      <c r="L534" s="8">
        <f>L535+G535</f>
        <v>124.5866667</v>
      </c>
      <c r="M534" s="6" t="str">
        <f t="shared" si="1"/>
        <v>2:04.59</v>
      </c>
      <c r="N534" s="9">
        <f>IFERROR(__xludf.DUMMYFUNCTION("LET(
  gen,$A534, ev,$B534, t,$M534,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535">
      <c r="A535" s="10" t="s">
        <v>295</v>
      </c>
      <c r="B535" s="11" t="s">
        <v>166</v>
      </c>
      <c r="C535" s="11">
        <v>20.0</v>
      </c>
      <c r="D535" s="11">
        <v>1.0</v>
      </c>
      <c r="E535" s="12" t="s">
        <v>446</v>
      </c>
      <c r="F535" s="13">
        <f>IFERROR(__xludf.DUMMYFUNCTION("IF(
  REGEXMATCH(E535, "":""),
  60*VALUE(INDEX(SPLIT(E535, "":""),1,1)) + VALUE(INDEX(SPLIT(E535, "":""),1,2)),
  VALUE(E535)
)"),119.05)</f>
        <v>119.05</v>
      </c>
      <c r="G535" s="13">
        <f>average(F532-F535,F533-F536,F534-F537)</f>
        <v>0.9066666667</v>
      </c>
      <c r="H535" s="13">
        <v>0.9066666666666663</v>
      </c>
      <c r="I535" s="11">
        <f>C526</f>
        <v>16</v>
      </c>
      <c r="J535" s="11">
        <f>C543</f>
        <v>24</v>
      </c>
      <c r="K535" s="11">
        <f t="array" ref="K535">INDEX('Podium Target Times'!$C:$C, MATCH(A535&amp;B535, 'Podium Target Times'!$A:$A&amp;'Podium Target Times'!$B:$B, 0))
</f>
        <v>122.42</v>
      </c>
      <c r="L535" s="13">
        <f>L538+G538</f>
        <v>123.68</v>
      </c>
      <c r="M535" s="11" t="str">
        <f t="shared" si="1"/>
        <v>2:03.68</v>
      </c>
      <c r="N535" s="14">
        <f>IFERROR(__xludf.DUMMYFUNCTION("LET(
  gen,$A535, ev,$B535, t,$M535,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)"),783.0)</f>
        <v>783</v>
      </c>
    </row>
    <row r="536">
      <c r="A536" s="5" t="s">
        <v>295</v>
      </c>
      <c r="B536" s="6" t="s">
        <v>166</v>
      </c>
      <c r="C536" s="6">
        <v>20.0</v>
      </c>
      <c r="D536" s="6">
        <v>2.0</v>
      </c>
      <c r="E536" s="7" t="s">
        <v>447</v>
      </c>
      <c r="F536" s="8">
        <f>IFERROR(__xludf.DUMMYFUNCTION("IF(
  REGEXMATCH(E536, "":""),
  60*VALUE(INDEX(SPLIT(E536, "":""),1,1)) + VALUE(INDEX(SPLIT(E536, "":""),1,2)),
  VALUE(E536)
)"),120.12)</f>
        <v>120.12</v>
      </c>
      <c r="G536" s="8">
        <f>average(F532-F535,F533-F536,F534-F537)</f>
        <v>0.9066666667</v>
      </c>
      <c r="H536" s="8">
        <v>0.9066666666666663</v>
      </c>
      <c r="I536" s="6">
        <f>C526</f>
        <v>16</v>
      </c>
      <c r="J536" s="6">
        <f>C543</f>
        <v>24</v>
      </c>
      <c r="K536" s="6">
        <f t="array" ref="K536">INDEX('Podium Target Times'!$C:$C, MATCH(A536&amp;B536, 'Podium Target Times'!$A:$A&amp;'Podium Target Times'!$B:$B, 0))
</f>
        <v>122.42</v>
      </c>
      <c r="L536" s="8">
        <f>L538+G538</f>
        <v>123.68</v>
      </c>
      <c r="M536" s="6" t="str">
        <f t="shared" si="1"/>
        <v>2:03.68</v>
      </c>
      <c r="N536" s="9">
        <f>IFERROR(__xludf.DUMMYFUNCTION("LET(
  gen,$A536, ev,$B536, t,$M536,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)"),783.0)</f>
        <v>783</v>
      </c>
    </row>
    <row r="537">
      <c r="A537" s="10" t="s">
        <v>295</v>
      </c>
      <c r="B537" s="11" t="s">
        <v>166</v>
      </c>
      <c r="C537" s="11">
        <v>20.0</v>
      </c>
      <c r="D537" s="11">
        <v>3.0</v>
      </c>
      <c r="E537" s="12" t="s">
        <v>448</v>
      </c>
      <c r="F537" s="13">
        <f>IFERROR(__xludf.DUMMYFUNCTION("IF(
  REGEXMATCH(E537, "":""),
  60*VALUE(INDEX(SPLIT(E537, "":""),1,1)) + VALUE(INDEX(SPLIT(E537, "":""),1,2)),
  VALUE(E537)
)"),120.31)</f>
        <v>120.31</v>
      </c>
      <c r="G537" s="13">
        <f>average(F532-F535,F533-F536,F534-F537)</f>
        <v>0.9066666667</v>
      </c>
      <c r="H537" s="13">
        <v>0.9066666666666663</v>
      </c>
      <c r="I537" s="11">
        <f>C526</f>
        <v>16</v>
      </c>
      <c r="J537" s="11">
        <f>C543</f>
        <v>24</v>
      </c>
      <c r="K537" s="11">
        <f t="array" ref="K537">INDEX('Podium Target Times'!$C:$C, MATCH(A537&amp;B537, 'Podium Target Times'!$A:$A&amp;'Podium Target Times'!$B:$B, 0))
</f>
        <v>122.42</v>
      </c>
      <c r="L537" s="13">
        <f>L538+G538</f>
        <v>123.68</v>
      </c>
      <c r="M537" s="11" t="str">
        <f t="shared" si="1"/>
        <v>2:03.68</v>
      </c>
      <c r="N537" s="14">
        <f>IFERROR(__xludf.DUMMYFUNCTION("LET(
  gen,$A537, ev,$B537, t,$M537,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)"),783.0)</f>
        <v>783</v>
      </c>
    </row>
    <row r="538">
      <c r="A538" s="5" t="s">
        <v>295</v>
      </c>
      <c r="B538" s="6" t="s">
        <v>166</v>
      </c>
      <c r="C538" s="6">
        <v>21.0</v>
      </c>
      <c r="D538" s="6">
        <v>2.0</v>
      </c>
      <c r="E538" s="7" t="s">
        <v>449</v>
      </c>
      <c r="F538" s="8">
        <f>IFERROR(__xludf.DUMMYFUNCTION("IF(
  REGEXMATCH(E538, "":""),
  60*VALUE(INDEX(SPLIT(E538, "":""),1,1)) + VALUE(INDEX(SPLIT(E538, "":""),1,2)),
  VALUE(E538)
)"),119.49000000000001)</f>
        <v>119.49</v>
      </c>
      <c r="G538" s="8">
        <f>average(F536-F538,F537-F539)</f>
        <v>0.625</v>
      </c>
      <c r="H538" s="8">
        <v>0.625</v>
      </c>
      <c r="I538" s="6">
        <f>C526</f>
        <v>16</v>
      </c>
      <c r="J538" s="6">
        <f>C543</f>
        <v>24</v>
      </c>
      <c r="K538" s="6">
        <f t="array" ref="K538">INDEX('Podium Target Times'!$C:$C, MATCH(A538&amp;B538, 'Podium Target Times'!$A:$A&amp;'Podium Target Times'!$B:$B, 0))
</f>
        <v>122.42</v>
      </c>
      <c r="L538" s="8">
        <f>L540+G540</f>
        <v>123.055</v>
      </c>
      <c r="M538" s="6" t="str">
        <f t="shared" si="1"/>
        <v>2:03.06</v>
      </c>
      <c r="N538" s="9">
        <f>IFERROR(__xludf.DUMMYFUNCTION("LET(
  gen,$A538, ev,$B538, t,$M538,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)"),794.0)</f>
        <v>794</v>
      </c>
    </row>
    <row r="539">
      <c r="A539" s="10" t="s">
        <v>295</v>
      </c>
      <c r="B539" s="11" t="s">
        <v>166</v>
      </c>
      <c r="C539" s="11">
        <v>21.0</v>
      </c>
      <c r="D539" s="11">
        <v>3.0</v>
      </c>
      <c r="E539" s="12" t="s">
        <v>450</v>
      </c>
      <c r="F539" s="13">
        <f>IFERROR(__xludf.DUMMYFUNCTION("IF(
  REGEXMATCH(E539, "":""),
  60*VALUE(INDEX(SPLIT(E539, "":""),1,1)) + VALUE(INDEX(SPLIT(E539, "":""),1,2)),
  VALUE(E539)
)"),119.69)</f>
        <v>119.69</v>
      </c>
      <c r="G539" s="13">
        <f>average(F536-F538,F537-F539)</f>
        <v>0.625</v>
      </c>
      <c r="H539" s="13">
        <v>0.625</v>
      </c>
      <c r="I539" s="11">
        <f>C526</f>
        <v>16</v>
      </c>
      <c r="J539" s="11">
        <f>C543</f>
        <v>24</v>
      </c>
      <c r="K539" s="11">
        <f t="array" ref="K539">INDEX('Podium Target Times'!$C:$C, MATCH(A539&amp;B539, 'Podium Target Times'!$A:$A&amp;'Podium Target Times'!$B:$B, 0))
</f>
        <v>122.42</v>
      </c>
      <c r="L539" s="13">
        <f>L540+G540</f>
        <v>123.055</v>
      </c>
      <c r="M539" s="11" t="str">
        <f t="shared" si="1"/>
        <v>2:03.06</v>
      </c>
      <c r="N539" s="14">
        <f>IFERROR(__xludf.DUMMYFUNCTION("LET(
  gen,$A539, ev,$B539, t,$M539,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)"),794.0)</f>
        <v>794</v>
      </c>
    </row>
    <row r="540">
      <c r="A540" s="5" t="s">
        <v>295</v>
      </c>
      <c r="B540" s="6" t="s">
        <v>166</v>
      </c>
      <c r="C540" s="6">
        <v>22.0</v>
      </c>
      <c r="D540" s="6">
        <v>2.0</v>
      </c>
      <c r="E540" s="7" t="s">
        <v>446</v>
      </c>
      <c r="F540" s="8">
        <f>IFERROR(__xludf.DUMMYFUNCTION("IF(
  REGEXMATCH(E540, "":""),
  60*VALUE(INDEX(SPLIT(E540, "":""),1,1)) + VALUE(INDEX(SPLIT(E540, "":""),1,2)),
  VALUE(E540)
)"),119.05)</f>
        <v>119.05</v>
      </c>
      <c r="G540" s="8">
        <f>average(F538-F540,F539-F541)</f>
        <v>0.445</v>
      </c>
      <c r="H540" s="8">
        <v>0.4450000000000003</v>
      </c>
      <c r="I540" s="6">
        <f>C526</f>
        <v>16</v>
      </c>
      <c r="J540" s="6">
        <f>C543</f>
        <v>24</v>
      </c>
      <c r="K540" s="6">
        <f t="array" ref="K540">INDEX('Podium Target Times'!$C:$C, MATCH(A540&amp;B540, 'Podium Target Times'!$A:$A&amp;'Podium Target Times'!$B:$B, 0))
</f>
        <v>122.42</v>
      </c>
      <c r="L540" s="8">
        <f>L542+G542</f>
        <v>122.61</v>
      </c>
      <c r="M540" s="6" t="str">
        <f t="shared" si="1"/>
        <v>2:02.61</v>
      </c>
      <c r="N540" s="9">
        <f>IFERROR(__xludf.DUMMYFUNCTION("LET(
  gen,$A540, ev,$B540, t,$M540,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)"),803.0)</f>
        <v>803</v>
      </c>
    </row>
    <row r="541">
      <c r="A541" s="10" t="s">
        <v>295</v>
      </c>
      <c r="B541" s="11" t="s">
        <v>166</v>
      </c>
      <c r="C541" s="11">
        <v>22.0</v>
      </c>
      <c r="D541" s="11">
        <v>3.0</v>
      </c>
      <c r="E541" s="12" t="s">
        <v>451</v>
      </c>
      <c r="F541" s="13">
        <f>IFERROR(__xludf.DUMMYFUNCTION("IF(
  REGEXMATCH(E541, "":""),
  60*VALUE(INDEX(SPLIT(E541, "":""),1,1)) + VALUE(INDEX(SPLIT(E541, "":""),1,2)),
  VALUE(E541)
)"),119.24000000000001)</f>
        <v>119.24</v>
      </c>
      <c r="G541" s="13">
        <f>average(F538-F540,F539-F541)</f>
        <v>0.445</v>
      </c>
      <c r="H541" s="13">
        <v>0.4450000000000003</v>
      </c>
      <c r="I541" s="11">
        <f>C526</f>
        <v>16</v>
      </c>
      <c r="J541" s="11">
        <f>C543</f>
        <v>24</v>
      </c>
      <c r="K541" s="11">
        <f t="array" ref="K541">INDEX('Podium Target Times'!$C:$C, MATCH(A541&amp;B541, 'Podium Target Times'!$A:$A&amp;'Podium Target Times'!$B:$B, 0))
</f>
        <v>122.42</v>
      </c>
      <c r="L541" s="13">
        <f t="shared" ref="L541:L542" si="55">L542+G542</f>
        <v>122.61</v>
      </c>
      <c r="M541" s="11" t="str">
        <f t="shared" si="1"/>
        <v>2:02.61</v>
      </c>
      <c r="N541" s="14">
        <f>IFERROR(__xludf.DUMMYFUNCTION("LET(
  gen,$A541, ev,$B541, t,$M541,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)"),803.0)</f>
        <v>803</v>
      </c>
    </row>
    <row r="542">
      <c r="A542" s="5" t="s">
        <v>295</v>
      </c>
      <c r="B542" s="6" t="s">
        <v>166</v>
      </c>
      <c r="C542" s="6">
        <v>23.0</v>
      </c>
      <c r="D542" s="6">
        <v>3.0</v>
      </c>
      <c r="E542" s="7" t="s">
        <v>446</v>
      </c>
      <c r="F542" s="8">
        <f>IFERROR(__xludf.DUMMYFUNCTION("IF(
  REGEXMATCH(E542, "":""),
  60*VALUE(INDEX(SPLIT(E542, "":""),1,1)) + VALUE(INDEX(SPLIT(E542, "":""),1,2)),
  VALUE(E542)
)"),119.05)</f>
        <v>119.05</v>
      </c>
      <c r="G542" s="8">
        <f t="shared" ref="G542:G544" si="56">F541-F542</f>
        <v>0.19</v>
      </c>
      <c r="H542" s="8">
        <v>0.19000000000001194</v>
      </c>
      <c r="I542" s="6">
        <f>C526</f>
        <v>16</v>
      </c>
      <c r="J542" s="6">
        <f>C543</f>
        <v>24</v>
      </c>
      <c r="K542" s="6">
        <f t="array" ref="K542">INDEX('Podium Target Times'!$C:$C, MATCH(A542&amp;B542, 'Podium Target Times'!$A:$A&amp;'Podium Target Times'!$B:$B, 0))
</f>
        <v>122.42</v>
      </c>
      <c r="L542" s="8">
        <f t="shared" si="55"/>
        <v>122.42</v>
      </c>
      <c r="M542" s="6" t="str">
        <f t="shared" si="1"/>
        <v>2:02.42</v>
      </c>
      <c r="N542" s="9">
        <f>IFERROR(__xludf.DUMMYFUNCTION("LET(
  gen,$A542, ev,$B542, t,$M542,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)"),807.0)</f>
        <v>807</v>
      </c>
    </row>
    <row r="543">
      <c r="A543" s="10" t="s">
        <v>295</v>
      </c>
      <c r="B543" s="11" t="s">
        <v>166</v>
      </c>
      <c r="C543" s="11">
        <v>24.0</v>
      </c>
      <c r="D543" s="11">
        <v>3.0</v>
      </c>
      <c r="E543" s="12" t="s">
        <v>446</v>
      </c>
      <c r="F543" s="13">
        <f>IFERROR(__xludf.DUMMYFUNCTION("IF(
  REGEXMATCH(E543, "":""),
  60*VALUE(INDEX(SPLIT(E543, "":""),1,1)) + VALUE(INDEX(SPLIT(E543, "":""),1,2)),
  VALUE(E543)
)"),119.05)</f>
        <v>119.05</v>
      </c>
      <c r="G543" s="13">
        <f t="shared" si="56"/>
        <v>0</v>
      </c>
      <c r="H543" s="13">
        <v>0.0</v>
      </c>
      <c r="I543" s="11">
        <f>C526</f>
        <v>16</v>
      </c>
      <c r="J543" s="11">
        <f>C543</f>
        <v>24</v>
      </c>
      <c r="K543" s="11">
        <f t="array" ref="K543">INDEX('Podium Target Times'!$C:$C, MATCH(A543&amp;B543, 'Podium Target Times'!$A:$A&amp;'Podium Target Times'!$B:$B, 0))
</f>
        <v>122.42</v>
      </c>
      <c r="L543" s="13">
        <f>G543+L544</f>
        <v>122.42</v>
      </c>
      <c r="M543" s="11" t="str">
        <f t="shared" si="1"/>
        <v>2:02.42</v>
      </c>
      <c r="N543" s="14">
        <f>IFERROR(__xludf.DUMMYFUNCTION("LET(
  gen,$A543, ev,$B543, t,$M543,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)"),807.0)</f>
        <v>807</v>
      </c>
    </row>
    <row r="544">
      <c r="A544" s="5" t="s">
        <v>295</v>
      </c>
      <c r="B544" s="6" t="s">
        <v>166</v>
      </c>
      <c r="C544" s="6">
        <v>25.0</v>
      </c>
      <c r="D544" s="6"/>
      <c r="E544" s="7"/>
      <c r="F544" s="8">
        <f>IFERROR(__xludf.DUMMYFUNCTION("IF(
  REGEXMATCH(E544, "":""),
  60*VALUE(INDEX(SPLIT(E544, "":""),1,1)) + VALUE(INDEX(SPLIT(E544, "":""),1,2)),
  VALUE(E544)
)"),0.0)</f>
        <v>0</v>
      </c>
      <c r="G544" s="8">
        <f t="shared" si="56"/>
        <v>119.05</v>
      </c>
      <c r="H544" s="8"/>
      <c r="I544" s="6">
        <f>C526</f>
        <v>16</v>
      </c>
      <c r="J544" s="6">
        <f>C543</f>
        <v>24</v>
      </c>
      <c r="K544" s="6">
        <f t="array" ref="K544">INDEX('Podium Target Times'!$C:$C, MATCH(A544&amp;B544, 'Podium Target Times'!$A:$A&amp;'Podium Target Times'!$B:$B, 0))
</f>
        <v>122.42</v>
      </c>
      <c r="L544" s="6">
        <f>K544</f>
        <v>122.42</v>
      </c>
      <c r="M544" s="6" t="str">
        <f t="shared" si="1"/>
        <v>2:02.42</v>
      </c>
      <c r="N544" s="9">
        <f>IFERROR(__xludf.DUMMYFUNCTION("LET(
  gen,$A544, ev,$B544, t,$M544,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)"),807.0)</f>
        <v>807</v>
      </c>
    </row>
    <row r="545">
      <c r="A545" s="10" t="s">
        <v>295</v>
      </c>
      <c r="B545" s="11" t="s">
        <v>182</v>
      </c>
      <c r="C545" s="11">
        <v>15.0</v>
      </c>
      <c r="D545" s="11">
        <v>1.0</v>
      </c>
      <c r="E545" s="12" t="s">
        <v>452</v>
      </c>
      <c r="F545" s="13">
        <f>IFERROR(__xludf.DUMMYFUNCTION("IF(
  REGEXMATCH(E545, "":""),
  60*VALUE(INDEX(SPLIT(E545, "":""),1,1)) + VALUE(INDEX(SPLIT(E545, "":""),1,2)),
  VALUE(E545)
)"),248.91)</f>
        <v>248.91</v>
      </c>
      <c r="G545" s="13">
        <v>0.0</v>
      </c>
      <c r="H545" s="13">
        <v>0.0</v>
      </c>
      <c r="I545" s="11">
        <f>C545</f>
        <v>15</v>
      </c>
      <c r="J545" s="11">
        <f>C562</f>
        <v>23</v>
      </c>
      <c r="K545" s="11">
        <f t="array" ref="K545">INDEX('Podium Target Times'!$C:$C, MATCH(A545&amp;B545, 'Podium Target Times'!$A:$A&amp;'Podium Target Times'!$B:$B, 0))
</f>
        <v>233.78</v>
      </c>
      <c r="L545" s="13">
        <f>L546+G546</f>
        <v>258.17</v>
      </c>
      <c r="M545" s="11" t="str">
        <f t="shared" si="1"/>
        <v>4:18.17</v>
      </c>
      <c r="N545" s="14">
        <f>IFERROR(__xludf.DUMMYFUNCTION("LET(
  gen,$A545, ev,$B545, t,$M545,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)"),619.0)</f>
        <v>619</v>
      </c>
    </row>
    <row r="546">
      <c r="A546" s="5" t="s">
        <v>295</v>
      </c>
      <c r="B546" s="6" t="s">
        <v>182</v>
      </c>
      <c r="C546" s="6">
        <v>16.0</v>
      </c>
      <c r="D546" s="6">
        <v>1.0</v>
      </c>
      <c r="E546" s="7" t="s">
        <v>453</v>
      </c>
      <c r="F546" s="8">
        <f>IFERROR(__xludf.DUMMYFUNCTION("IF(
  REGEXMATCH(E546, "":""),
  60*VALUE(INDEX(SPLIT(E546, "":""),1,1)) + VALUE(INDEX(SPLIT(E546, "":""),1,2)),
  VALUE(E546)
)"),240.79)</f>
        <v>240.79</v>
      </c>
      <c r="G546" s="8">
        <f>F545-F546</f>
        <v>8.12</v>
      </c>
      <c r="H546" s="8">
        <v>8.120000000000005</v>
      </c>
      <c r="I546" s="6">
        <f>C545</f>
        <v>15</v>
      </c>
      <c r="J546" s="6">
        <f>C562</f>
        <v>23</v>
      </c>
      <c r="K546" s="6">
        <f t="array" ref="K546">INDEX('Podium Target Times'!$C:$C, MATCH(A546&amp;B546, 'Podium Target Times'!$A:$A&amp;'Podium Target Times'!$B:$B, 0))
</f>
        <v>233.78</v>
      </c>
      <c r="L546" s="8">
        <f>L548+G548</f>
        <v>250.05</v>
      </c>
      <c r="M546" s="6" t="str">
        <f t="shared" si="1"/>
        <v>4:10.05</v>
      </c>
      <c r="N546" s="9">
        <f>IFERROR(__xludf.DUMMYFUNCTION("LET(
  gen,$A546, ev,$B546, t,$M546,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547">
      <c r="A547" s="10" t="s">
        <v>295</v>
      </c>
      <c r="B547" s="11" t="s">
        <v>182</v>
      </c>
      <c r="C547" s="11">
        <v>16.0</v>
      </c>
      <c r="D547" s="11">
        <v>2.0</v>
      </c>
      <c r="E547" s="12" t="s">
        <v>454</v>
      </c>
      <c r="F547" s="13">
        <f>IFERROR(__xludf.DUMMYFUNCTION("IF(
  REGEXMATCH(E547, "":""),
  60*VALUE(INDEX(SPLIT(E547, "":""),1,1)) + VALUE(INDEX(SPLIT(E547, "":""),1,2)),
  VALUE(E547)
)"),243.63)</f>
        <v>243.63</v>
      </c>
      <c r="G547" s="13">
        <f>F545-F546</f>
        <v>8.12</v>
      </c>
      <c r="H547" s="13">
        <v>8.120000000000005</v>
      </c>
      <c r="I547" s="11">
        <f>C545</f>
        <v>15</v>
      </c>
      <c r="J547" s="11">
        <f>C562</f>
        <v>23</v>
      </c>
      <c r="K547" s="11">
        <f t="array" ref="K547">INDEX('Podium Target Times'!$C:$C, MATCH(A547&amp;B547, 'Podium Target Times'!$A:$A&amp;'Podium Target Times'!$B:$B, 0))
</f>
        <v>233.78</v>
      </c>
      <c r="L547" s="13">
        <f>L548+G548</f>
        <v>250.05</v>
      </c>
      <c r="M547" s="11" t="str">
        <f t="shared" si="1"/>
        <v>4:10.05</v>
      </c>
      <c r="N547" s="14">
        <f>IFERROR(__xludf.DUMMYFUNCTION("LET(
  gen,$A547, ev,$B547, t,$M547,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)"),681.0)</f>
        <v>681</v>
      </c>
    </row>
    <row r="548">
      <c r="A548" s="5" t="s">
        <v>295</v>
      </c>
      <c r="B548" s="6" t="s">
        <v>182</v>
      </c>
      <c r="C548" s="6">
        <v>17.0</v>
      </c>
      <c r="D548" s="6">
        <v>1.0</v>
      </c>
      <c r="E548" s="7" t="s">
        <v>455</v>
      </c>
      <c r="F548" s="8">
        <f>IFERROR(__xludf.DUMMYFUNCTION("IF(
  REGEXMATCH(E548, "":""),
  60*VALUE(INDEX(SPLIT(E548, "":""),1,1)) + VALUE(INDEX(SPLIT(E548, "":""),1,2)),
  VALUE(E548)
)"),234.84)</f>
        <v>234.84</v>
      </c>
      <c r="G548" s="8">
        <f>average(F546-F548,F547-F549)</f>
        <v>5.985</v>
      </c>
      <c r="H548" s="8">
        <v>5.984999999999985</v>
      </c>
      <c r="I548" s="6">
        <f>C545</f>
        <v>15</v>
      </c>
      <c r="J548" s="6">
        <f>C562</f>
        <v>23</v>
      </c>
      <c r="K548" s="6">
        <f t="array" ref="K548">INDEX('Podium Target Times'!$C:$C, MATCH(A548&amp;B548, 'Podium Target Times'!$A:$A&amp;'Podium Target Times'!$B:$B, 0))
</f>
        <v>233.78</v>
      </c>
      <c r="L548" s="8">
        <f>L551+G551</f>
        <v>244.065</v>
      </c>
      <c r="M548" s="6" t="str">
        <f t="shared" si="1"/>
        <v>4:04.07</v>
      </c>
      <c r="N548" s="9">
        <f>IFERROR(__xludf.DUMMYFUNCTION("LET(
  gen,$A548, ev,$B548, t,$M548,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549">
      <c r="A549" s="10" t="s">
        <v>295</v>
      </c>
      <c r="B549" s="11" t="s">
        <v>182</v>
      </c>
      <c r="C549" s="11">
        <v>17.0</v>
      </c>
      <c r="D549" s="11">
        <v>2.0</v>
      </c>
      <c r="E549" s="12" t="s">
        <v>456</v>
      </c>
      <c r="F549" s="13">
        <f>IFERROR(__xludf.DUMMYFUNCTION("IF(
  REGEXMATCH(E549, "":""),
  60*VALUE(INDEX(SPLIT(E549, "":""),1,1)) + VALUE(INDEX(SPLIT(E549, "":""),1,2)),
  VALUE(E549)
)"),237.61)</f>
        <v>237.61</v>
      </c>
      <c r="G549" s="13">
        <f>average(F546-F548,F547-F549)</f>
        <v>5.985</v>
      </c>
      <c r="H549" s="13">
        <v>5.984999999999985</v>
      </c>
      <c r="I549" s="11">
        <f>C545</f>
        <v>15</v>
      </c>
      <c r="J549" s="11">
        <f>C562</f>
        <v>23</v>
      </c>
      <c r="K549" s="11">
        <f t="array" ref="K549">INDEX('Podium Target Times'!$C:$C, MATCH(A549&amp;B549, 'Podium Target Times'!$A:$A&amp;'Podium Target Times'!$B:$B, 0))
</f>
        <v>233.78</v>
      </c>
      <c r="L549" s="13">
        <f>L551+G551</f>
        <v>244.065</v>
      </c>
      <c r="M549" s="11" t="str">
        <f t="shared" si="1"/>
        <v>4:04.07</v>
      </c>
      <c r="N549" s="14">
        <f>IFERROR(__xludf.DUMMYFUNCTION("LET(
  gen,$A549, ev,$B549, t,$M549,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550">
      <c r="A550" s="5" t="s">
        <v>295</v>
      </c>
      <c r="B550" s="6" t="s">
        <v>182</v>
      </c>
      <c r="C550" s="6">
        <v>17.0</v>
      </c>
      <c r="D550" s="6">
        <v>3.0</v>
      </c>
      <c r="E550" s="7" t="s">
        <v>457</v>
      </c>
      <c r="F550" s="8">
        <f>IFERROR(__xludf.DUMMYFUNCTION("IF(
  REGEXMATCH(E550, "":""),
  60*VALUE(INDEX(SPLIT(E550, "":""),1,1)) + VALUE(INDEX(SPLIT(E550, "":""),1,2)),
  VALUE(E550)
)"),238.24)</f>
        <v>238.24</v>
      </c>
      <c r="G550" s="8">
        <f>average(F546-F548,F547-F549)</f>
        <v>5.985</v>
      </c>
      <c r="H550" s="8">
        <v>5.984999999999985</v>
      </c>
      <c r="I550" s="6">
        <f>C545</f>
        <v>15</v>
      </c>
      <c r="J550" s="6">
        <f>C562</f>
        <v>23</v>
      </c>
      <c r="K550" s="6">
        <f t="array" ref="K550">INDEX('Podium Target Times'!$C:$C, MATCH(A550&amp;B550, 'Podium Target Times'!$A:$A&amp;'Podium Target Times'!$B:$B, 0))
</f>
        <v>233.78</v>
      </c>
      <c r="L550" s="8">
        <f>L551+G551</f>
        <v>244.065</v>
      </c>
      <c r="M550" s="6" t="str">
        <f t="shared" si="1"/>
        <v>4:04.07</v>
      </c>
      <c r="N550" s="9">
        <f>IFERROR(__xludf.DUMMYFUNCTION("LET(
  gen,$A550, ev,$B550, t,$M550,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)"),733.0)</f>
        <v>733</v>
      </c>
    </row>
    <row r="551">
      <c r="A551" s="10" t="s">
        <v>295</v>
      </c>
      <c r="B551" s="11" t="s">
        <v>182</v>
      </c>
      <c r="C551" s="11">
        <v>18.0</v>
      </c>
      <c r="D551" s="11">
        <v>1.0</v>
      </c>
      <c r="E551" s="12" t="s">
        <v>458</v>
      </c>
      <c r="F551" s="13">
        <f>IFERROR(__xludf.DUMMYFUNCTION("IF(
  REGEXMATCH(E551, "":""),
  60*VALUE(INDEX(SPLIT(E551, "":""),1,1)) + VALUE(INDEX(SPLIT(E551, "":""),1,2)),
  VALUE(E551)
)"),230.84)</f>
        <v>230.84</v>
      </c>
      <c r="G551" s="13">
        <f>average(F548-F551,F549-F552,F550-F553)</f>
        <v>4.036666667</v>
      </c>
      <c r="H551" s="13">
        <v>4.0366666666666715</v>
      </c>
      <c r="I551" s="11">
        <f>C545</f>
        <v>15</v>
      </c>
      <c r="J551" s="11">
        <f>C562</f>
        <v>23</v>
      </c>
      <c r="K551" s="11">
        <f t="array" ref="K551">INDEX('Podium Target Times'!$C:$C, MATCH(A551&amp;B551, 'Podium Target Times'!$A:$A&amp;'Podium Target Times'!$B:$B, 0))
</f>
        <v>233.78</v>
      </c>
      <c r="L551" s="13">
        <f>L554+G554</f>
        <v>240.0283333</v>
      </c>
      <c r="M551" s="11" t="str">
        <f t="shared" si="1"/>
        <v>4:00.03</v>
      </c>
      <c r="N551" s="14">
        <f>IFERROR(__xludf.DUMMYFUNCTION("LET(
  gen,$A551, ev,$B551, t,$M551,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552">
      <c r="A552" s="5" t="s">
        <v>295</v>
      </c>
      <c r="B552" s="6" t="s">
        <v>182</v>
      </c>
      <c r="C552" s="6">
        <v>18.0</v>
      </c>
      <c r="D552" s="6">
        <v>2.0</v>
      </c>
      <c r="E552" s="7" t="s">
        <v>459</v>
      </c>
      <c r="F552" s="8">
        <f>IFERROR(__xludf.DUMMYFUNCTION("IF(
  REGEXMATCH(E552, "":""),
  60*VALUE(INDEX(SPLIT(E552, "":""),1,1)) + VALUE(INDEX(SPLIT(E552, "":""),1,2)),
  VALUE(E552)
)"),233.56)</f>
        <v>233.56</v>
      </c>
      <c r="G552" s="8">
        <f>average(F548-F551,F549-F552,F550-F553)</f>
        <v>4.036666667</v>
      </c>
      <c r="H552" s="8">
        <v>4.0366666666666715</v>
      </c>
      <c r="I552" s="6">
        <f>C545</f>
        <v>15</v>
      </c>
      <c r="J552" s="6">
        <f>C562</f>
        <v>23</v>
      </c>
      <c r="K552" s="6">
        <f t="array" ref="K552">INDEX('Podium Target Times'!$C:$C, MATCH(A552&amp;B552, 'Podium Target Times'!$A:$A&amp;'Podium Target Times'!$B:$B, 0))
</f>
        <v>233.78</v>
      </c>
      <c r="L552" s="8">
        <f>L554+G554</f>
        <v>240.0283333</v>
      </c>
      <c r="M552" s="6" t="str">
        <f t="shared" si="1"/>
        <v>4:00.03</v>
      </c>
      <c r="N552" s="9">
        <f>IFERROR(__xludf.DUMMYFUNCTION("LET(
  gen,$A552, ev,$B552, t,$M552,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553">
      <c r="A553" s="10" t="s">
        <v>295</v>
      </c>
      <c r="B553" s="11" t="s">
        <v>182</v>
      </c>
      <c r="C553" s="11">
        <v>18.0</v>
      </c>
      <c r="D553" s="11">
        <v>3.0</v>
      </c>
      <c r="E553" s="12" t="s">
        <v>460</v>
      </c>
      <c r="F553" s="13">
        <f>IFERROR(__xludf.DUMMYFUNCTION("IF(
  REGEXMATCH(E553, "":""),
  60*VALUE(INDEX(SPLIT(E553, "":""),1,1)) + VALUE(INDEX(SPLIT(E553, "":""),1,2)),
  VALUE(E553)
)"),234.18)</f>
        <v>234.18</v>
      </c>
      <c r="G553" s="13">
        <f>average(F548-F551,F549-F552,F550-F553)</f>
        <v>4.036666667</v>
      </c>
      <c r="H553" s="13">
        <v>4.0366666666666715</v>
      </c>
      <c r="I553" s="11">
        <f>C545</f>
        <v>15</v>
      </c>
      <c r="J553" s="11">
        <f>C562</f>
        <v>23</v>
      </c>
      <c r="K553" s="11">
        <f t="array" ref="K553">INDEX('Podium Target Times'!$C:$C, MATCH(A553&amp;B553, 'Podium Target Times'!$A:$A&amp;'Podium Target Times'!$B:$B, 0))
</f>
        <v>233.78</v>
      </c>
      <c r="L553" s="13">
        <f>L554+G554</f>
        <v>240.0283333</v>
      </c>
      <c r="M553" s="11" t="str">
        <f t="shared" si="1"/>
        <v>4:00.03</v>
      </c>
      <c r="N553" s="14">
        <f>IFERROR(__xludf.DUMMYFUNCTION("LET(
  gen,$A553, ev,$B553, t,$M553,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)"),770.0)</f>
        <v>770</v>
      </c>
    </row>
    <row r="554">
      <c r="A554" s="5" t="s">
        <v>295</v>
      </c>
      <c r="B554" s="6" t="s">
        <v>182</v>
      </c>
      <c r="C554" s="6">
        <v>19.0</v>
      </c>
      <c r="D554" s="6">
        <v>1.0</v>
      </c>
      <c r="E554" s="7" t="s">
        <v>461</v>
      </c>
      <c r="F554" s="8">
        <f>IFERROR(__xludf.DUMMYFUNCTION("IF(
  REGEXMATCH(E554, "":""),
  60*VALUE(INDEX(SPLIT(E554, "":""),1,1)) + VALUE(INDEX(SPLIT(E554, "":""),1,2)),
  VALUE(E554)
)"),228.15)</f>
        <v>228.15</v>
      </c>
      <c r="G554" s="8">
        <f>average(F551-F554,F552-F555,F553-F556)</f>
        <v>2.713333333</v>
      </c>
      <c r="H554" s="8">
        <v>2.7133333333333383</v>
      </c>
      <c r="I554" s="6">
        <f>C545</f>
        <v>15</v>
      </c>
      <c r="J554" s="6">
        <f>C562</f>
        <v>23</v>
      </c>
      <c r="K554" s="6">
        <f t="array" ref="K554">INDEX('Podium Target Times'!$C:$C, MATCH(A554&amp;B554, 'Podium Target Times'!$A:$A&amp;'Podium Target Times'!$B:$B, 0))
</f>
        <v>233.78</v>
      </c>
      <c r="L554" s="8">
        <f>L557+G557</f>
        <v>237.315</v>
      </c>
      <c r="M554" s="6" t="str">
        <f t="shared" si="1"/>
        <v>3:57.32</v>
      </c>
      <c r="N554" s="9">
        <f>IFERROR(__xludf.DUMMYFUNCTION("LET(
  gen,$A554, ev,$B554, t,$M554,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555">
      <c r="A555" s="10" t="s">
        <v>295</v>
      </c>
      <c r="B555" s="11" t="s">
        <v>182</v>
      </c>
      <c r="C555" s="11">
        <v>19.0</v>
      </c>
      <c r="D555" s="11">
        <v>2.0</v>
      </c>
      <c r="E555" s="12" t="s">
        <v>458</v>
      </c>
      <c r="F555" s="13">
        <f>IFERROR(__xludf.DUMMYFUNCTION("IF(
  REGEXMATCH(E555, "":""),
  60*VALUE(INDEX(SPLIT(E555, "":""),1,1)) + VALUE(INDEX(SPLIT(E555, "":""),1,2)),
  VALUE(E555)
)"),230.84)</f>
        <v>230.84</v>
      </c>
      <c r="G555" s="13">
        <f>average(F551-F554,F552-F555,F553-F556)</f>
        <v>2.713333333</v>
      </c>
      <c r="H555" s="13">
        <v>2.7133333333333383</v>
      </c>
      <c r="I555" s="11">
        <f>C545</f>
        <v>15</v>
      </c>
      <c r="J555" s="11">
        <f>C562</f>
        <v>23</v>
      </c>
      <c r="K555" s="11">
        <f t="array" ref="K555">INDEX('Podium Target Times'!$C:$C, MATCH(A555&amp;B555, 'Podium Target Times'!$A:$A&amp;'Podium Target Times'!$B:$B, 0))
</f>
        <v>233.78</v>
      </c>
      <c r="L555" s="13">
        <f>L557+G557</f>
        <v>237.315</v>
      </c>
      <c r="M555" s="11" t="str">
        <f t="shared" si="1"/>
        <v>3:57.32</v>
      </c>
      <c r="N555" s="14">
        <f>IFERROR(__xludf.DUMMYFUNCTION("LET(
  gen,$A555, ev,$B555, t,$M555,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556">
      <c r="A556" s="5" t="s">
        <v>295</v>
      </c>
      <c r="B556" s="6" t="s">
        <v>182</v>
      </c>
      <c r="C556" s="6">
        <v>19.0</v>
      </c>
      <c r="D556" s="6">
        <v>3.0</v>
      </c>
      <c r="E556" s="7" t="s">
        <v>462</v>
      </c>
      <c r="F556" s="8">
        <f>IFERROR(__xludf.DUMMYFUNCTION("IF(
  REGEXMATCH(E556, "":""),
  60*VALUE(INDEX(SPLIT(E556, "":""),1,1)) + VALUE(INDEX(SPLIT(E556, "":""),1,2)),
  VALUE(E556)
)"),231.45)</f>
        <v>231.45</v>
      </c>
      <c r="G556" s="8">
        <f>average(F551-F554,F552-F555,F553-F556)</f>
        <v>2.713333333</v>
      </c>
      <c r="H556" s="8">
        <v>2.7133333333333383</v>
      </c>
      <c r="I556" s="6">
        <f>C545</f>
        <v>15</v>
      </c>
      <c r="J556" s="6">
        <f>C562</f>
        <v>23</v>
      </c>
      <c r="K556" s="6">
        <f t="array" ref="K556">INDEX('Podium Target Times'!$C:$C, MATCH(A556&amp;B556, 'Podium Target Times'!$A:$A&amp;'Podium Target Times'!$B:$B, 0))
</f>
        <v>233.78</v>
      </c>
      <c r="L556" s="8">
        <f>L557+G557</f>
        <v>237.315</v>
      </c>
      <c r="M556" s="6" t="str">
        <f t="shared" si="1"/>
        <v>3:57.32</v>
      </c>
      <c r="N556" s="9">
        <f>IFERROR(__xludf.DUMMYFUNCTION("LET(
  gen,$A556, ev,$B556, t,$M556,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)"),797.0)</f>
        <v>797</v>
      </c>
    </row>
    <row r="557">
      <c r="A557" s="10" t="s">
        <v>295</v>
      </c>
      <c r="B557" s="11" t="s">
        <v>182</v>
      </c>
      <c r="C557" s="11">
        <v>20.0</v>
      </c>
      <c r="D557" s="11">
        <v>2.0</v>
      </c>
      <c r="E557" s="12" t="s">
        <v>463</v>
      </c>
      <c r="F557" s="13">
        <f>IFERROR(__xludf.DUMMYFUNCTION("IF(
  REGEXMATCH(E557, "":""),
  60*VALUE(INDEX(SPLIT(E557, "":""),1,1)) + VALUE(INDEX(SPLIT(E557, "":""),1,2)),
  VALUE(E557)
)"),229.11)</f>
        <v>229.11</v>
      </c>
      <c r="G557" s="13">
        <f>average(F555-F557,F556-F558)</f>
        <v>1.73</v>
      </c>
      <c r="H557" s="13">
        <v>1.7299999999999898</v>
      </c>
      <c r="I557" s="11">
        <f>C545</f>
        <v>15</v>
      </c>
      <c r="J557" s="11">
        <f>C562</f>
        <v>23</v>
      </c>
      <c r="K557" s="11">
        <f t="array" ref="K557">INDEX('Podium Target Times'!$C:$C, MATCH(A557&amp;B557, 'Podium Target Times'!$A:$A&amp;'Podium Target Times'!$B:$B, 0))
</f>
        <v>233.78</v>
      </c>
      <c r="L557" s="13">
        <f>L559+G559</f>
        <v>235.585</v>
      </c>
      <c r="M557" s="11" t="str">
        <f t="shared" si="1"/>
        <v>3:55.59</v>
      </c>
      <c r="N557" s="14">
        <f>IFERROR(__xludf.DUMMYFUNCTION("LET(
  gen,$A557, ev,$B557, t,$M557,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)"),815.0)</f>
        <v>815</v>
      </c>
    </row>
    <row r="558">
      <c r="A558" s="5" t="s">
        <v>295</v>
      </c>
      <c r="B558" s="6" t="s">
        <v>182</v>
      </c>
      <c r="C558" s="6">
        <v>20.0</v>
      </c>
      <c r="D558" s="6">
        <v>3.0</v>
      </c>
      <c r="E558" s="7" t="s">
        <v>464</v>
      </c>
      <c r="F558" s="8">
        <f>IFERROR(__xludf.DUMMYFUNCTION("IF(
  REGEXMATCH(E558, "":""),
  60*VALUE(INDEX(SPLIT(E558, "":""),1,1)) + VALUE(INDEX(SPLIT(E558, "":""),1,2)),
  VALUE(E558)
)"),229.72)</f>
        <v>229.72</v>
      </c>
      <c r="G558" s="8">
        <f>average(F555-F557,F556-F558)</f>
        <v>1.73</v>
      </c>
      <c r="H558" s="8">
        <v>1.7299999999999898</v>
      </c>
      <c r="I558" s="6">
        <f>C545</f>
        <v>15</v>
      </c>
      <c r="J558" s="6">
        <f>C562</f>
        <v>23</v>
      </c>
      <c r="K558" s="6">
        <f t="array" ref="K558">INDEX('Podium Target Times'!$C:$C, MATCH(A558&amp;B558, 'Podium Target Times'!$A:$A&amp;'Podium Target Times'!$B:$B, 0))
</f>
        <v>233.78</v>
      </c>
      <c r="L558" s="8">
        <f>L559+G559</f>
        <v>235.585</v>
      </c>
      <c r="M558" s="6" t="str">
        <f t="shared" si="1"/>
        <v>3:55.59</v>
      </c>
      <c r="N558" s="9">
        <f>IFERROR(__xludf.DUMMYFUNCTION("LET(
  gen,$A558, ev,$B558, t,$M558,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)"),815.0)</f>
        <v>815</v>
      </c>
    </row>
    <row r="559">
      <c r="A559" s="10" t="s">
        <v>295</v>
      </c>
      <c r="B559" s="11" t="s">
        <v>182</v>
      </c>
      <c r="C559" s="11">
        <v>21.0</v>
      </c>
      <c r="D559" s="11">
        <v>2.0</v>
      </c>
      <c r="E559" s="12" t="s">
        <v>461</v>
      </c>
      <c r="F559" s="13">
        <f>IFERROR(__xludf.DUMMYFUNCTION("IF(
  REGEXMATCH(E559, "":""),
  60*VALUE(INDEX(SPLIT(E559, "":""),1,1)) + VALUE(INDEX(SPLIT(E559, "":""),1,2)),
  VALUE(E559)
)"),228.15)</f>
        <v>228.15</v>
      </c>
      <c r="G559" s="13">
        <f>average(F557-F559,F558-F560)</f>
        <v>0.965</v>
      </c>
      <c r="H559" s="13">
        <v>0.9650000000000034</v>
      </c>
      <c r="I559" s="11">
        <f>C545</f>
        <v>15</v>
      </c>
      <c r="J559" s="11">
        <f>C562</f>
        <v>23</v>
      </c>
      <c r="K559" s="11">
        <f t="array" ref="K559">INDEX('Podium Target Times'!$C:$C, MATCH(A559&amp;B559, 'Podium Target Times'!$A:$A&amp;'Podium Target Times'!$B:$B, 0))
</f>
        <v>233.78</v>
      </c>
      <c r="L559" s="13">
        <f>L561+G561</f>
        <v>234.62</v>
      </c>
      <c r="M559" s="11" t="str">
        <f t="shared" si="1"/>
        <v>3:54.62</v>
      </c>
      <c r="N559" s="14">
        <f>IFERROR(__xludf.DUMMYFUNCTION("LET(
  gen,$A559, ev,$B559, t,$M559,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)"),825.0)</f>
        <v>825</v>
      </c>
    </row>
    <row r="560">
      <c r="A560" s="5" t="s">
        <v>295</v>
      </c>
      <c r="B560" s="6" t="s">
        <v>182</v>
      </c>
      <c r="C560" s="6">
        <v>21.0</v>
      </c>
      <c r="D560" s="6">
        <v>3.0</v>
      </c>
      <c r="E560" s="7" t="s">
        <v>465</v>
      </c>
      <c r="F560" s="8">
        <f>IFERROR(__xludf.DUMMYFUNCTION("IF(
  REGEXMATCH(E560, "":""),
  60*VALUE(INDEX(SPLIT(E560, "":""),1,1)) + VALUE(INDEX(SPLIT(E560, "":""),1,2)),
  VALUE(E560)
)"),228.75)</f>
        <v>228.75</v>
      </c>
      <c r="G560" s="8">
        <f>average(F557-F559,F558-F560)</f>
        <v>0.965</v>
      </c>
      <c r="H560" s="8">
        <v>0.9650000000000034</v>
      </c>
      <c r="I560" s="6">
        <f>C545</f>
        <v>15</v>
      </c>
      <c r="J560" s="6">
        <f>C562</f>
        <v>23</v>
      </c>
      <c r="K560" s="6">
        <f t="array" ref="K560">INDEX('Podium Target Times'!$C:$C, MATCH(A560&amp;B560, 'Podium Target Times'!$A:$A&amp;'Podium Target Times'!$B:$B, 0))
</f>
        <v>233.78</v>
      </c>
      <c r="L560" s="8">
        <f t="shared" ref="L560:L561" si="57">L561+G561</f>
        <v>234.62</v>
      </c>
      <c r="M560" s="6" t="str">
        <f t="shared" si="1"/>
        <v>3:54.62</v>
      </c>
      <c r="N560" s="9">
        <f>IFERROR(__xludf.DUMMYFUNCTION("LET(
  gen,$A560, ev,$B560, t,$M560,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)"),825.0)</f>
        <v>825</v>
      </c>
    </row>
    <row r="561">
      <c r="A561" s="10" t="s">
        <v>295</v>
      </c>
      <c r="B561" s="11" t="s">
        <v>182</v>
      </c>
      <c r="C561" s="11">
        <v>22.0</v>
      </c>
      <c r="D561" s="11">
        <v>3.0</v>
      </c>
      <c r="E561" s="12" t="s">
        <v>466</v>
      </c>
      <c r="F561" s="13">
        <f>IFERROR(__xludf.DUMMYFUNCTION("IF(
  REGEXMATCH(E561, "":""),
  60*VALUE(INDEX(SPLIT(E561, "":""),1,1)) + VALUE(INDEX(SPLIT(E561, "":""),1,2)),
  VALUE(E561)
)"),228.27)</f>
        <v>228.27</v>
      </c>
      <c r="G561" s="13">
        <f t="shared" ref="G561:G562" si="58">F560-F561</f>
        <v>0.48</v>
      </c>
      <c r="H561" s="13">
        <v>0.47999999999998977</v>
      </c>
      <c r="I561" s="11">
        <f>C545</f>
        <v>15</v>
      </c>
      <c r="J561" s="11">
        <f>C562</f>
        <v>23</v>
      </c>
      <c r="K561" s="11">
        <f t="array" ref="K561">INDEX('Podium Target Times'!$C:$C, MATCH(A561&amp;B561, 'Podium Target Times'!$A:$A&amp;'Podium Target Times'!$B:$B, 0))
</f>
        <v>233.78</v>
      </c>
      <c r="L561" s="13">
        <f t="shared" si="57"/>
        <v>234.14</v>
      </c>
      <c r="M561" s="11" t="str">
        <f t="shared" si="1"/>
        <v>3:54.14</v>
      </c>
      <c r="N561" s="14">
        <f>IFERROR(__xludf.DUMMYFUNCTION("LET(
  gen,$A561, ev,$B561, t,$M561,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)"),830.0)</f>
        <v>830</v>
      </c>
    </row>
    <row r="562">
      <c r="A562" s="5" t="s">
        <v>295</v>
      </c>
      <c r="B562" s="6" t="s">
        <v>182</v>
      </c>
      <c r="C562" s="6">
        <v>23.0</v>
      </c>
      <c r="D562" s="6">
        <v>3.0</v>
      </c>
      <c r="E562" s="7" t="s">
        <v>461</v>
      </c>
      <c r="F562" s="8">
        <f>IFERROR(__xludf.DUMMYFUNCTION("IF(
  REGEXMATCH(E562, "":""),
  60*VALUE(INDEX(SPLIT(E562, "":""),1,1)) + VALUE(INDEX(SPLIT(E562, "":""),1,2)),
  VALUE(E562)
)"),228.15)</f>
        <v>228.15</v>
      </c>
      <c r="G562" s="8">
        <f t="shared" si="58"/>
        <v>0.12</v>
      </c>
      <c r="H562" s="8">
        <v>0.12000000000000455</v>
      </c>
      <c r="I562" s="6">
        <f>C545</f>
        <v>15</v>
      </c>
      <c r="J562" s="6">
        <f>C562</f>
        <v>23</v>
      </c>
      <c r="K562" s="6">
        <f t="array" ref="K562">INDEX('Podium Target Times'!$C:$C, MATCH(A562&amp;B562, 'Podium Target Times'!$A:$A&amp;'Podium Target Times'!$B:$B, 0))
</f>
        <v>233.78</v>
      </c>
      <c r="L562" s="8">
        <f>G562+L563</f>
        <v>234.02</v>
      </c>
      <c r="M562" s="6" t="str">
        <f t="shared" si="1"/>
        <v>3:54.02</v>
      </c>
      <c r="N562" s="9">
        <f>IFERROR(__xludf.DUMMYFUNCTION("LET(
  gen,$A562, ev,$B562, t,$M562,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)"),831.0)</f>
        <v>831</v>
      </c>
    </row>
    <row r="563">
      <c r="A563" s="10" t="s">
        <v>295</v>
      </c>
      <c r="B563" s="11" t="s">
        <v>182</v>
      </c>
      <c r="C563" s="11">
        <v>24.0</v>
      </c>
      <c r="D563" s="11"/>
      <c r="E563" s="12"/>
      <c r="F563" s="13">
        <f>IFERROR(__xludf.DUMMYFUNCTION("IF(
  REGEXMATCH(E563, "":""),
  60*VALUE(INDEX(SPLIT(E563, "":""),1,1)) + VALUE(INDEX(SPLIT(E563, "":""),1,2)),
  VALUE(E563)
)"),0.0)</f>
        <v>0</v>
      </c>
      <c r="G563" s="13"/>
      <c r="H563" s="13"/>
      <c r="I563" s="11">
        <f>C545</f>
        <v>15</v>
      </c>
      <c r="J563" s="11">
        <f>C562</f>
        <v>23</v>
      </c>
      <c r="K563" s="11">
        <f t="array" ref="K563">INDEX('Podium Target Times'!$C:$C, MATCH(A563&amp;B563, 'Podium Target Times'!$A:$A&amp;'Podium Target Times'!$B:$B, 0))
</f>
        <v>233.78</v>
      </c>
      <c r="L563" s="13">
        <f>G562+L564</f>
        <v>233.9</v>
      </c>
      <c r="M563" s="11" t="str">
        <f t="shared" si="1"/>
        <v>3:53.90</v>
      </c>
      <c r="N563" s="14">
        <f>IFERROR(__xludf.DUMMYFUNCTION("LET(
  gen,$A563, ev,$B563, t,$M563,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)"),832.0)</f>
        <v>832</v>
      </c>
    </row>
    <row r="564">
      <c r="A564" s="5" t="s">
        <v>295</v>
      </c>
      <c r="B564" s="6" t="s">
        <v>182</v>
      </c>
      <c r="C564" s="6">
        <v>25.0</v>
      </c>
      <c r="D564" s="6"/>
      <c r="E564" s="7"/>
      <c r="F564" s="8">
        <f>IFERROR(__xludf.DUMMYFUNCTION("IF(
  REGEXMATCH(E564, "":""),
  60*VALUE(INDEX(SPLIT(E564, "":""),1,1)) + VALUE(INDEX(SPLIT(E564, "":""),1,2)),
  VALUE(E564)
)"),0.0)</f>
        <v>0</v>
      </c>
      <c r="G564" s="8"/>
      <c r="H564" s="8"/>
      <c r="I564" s="6">
        <f>C545</f>
        <v>15</v>
      </c>
      <c r="J564" s="6">
        <f>C562</f>
        <v>23</v>
      </c>
      <c r="K564" s="6">
        <f t="array" ref="K564">INDEX('Podium Target Times'!$C:$C, MATCH(A564&amp;B564, 'Podium Target Times'!$A:$A&amp;'Podium Target Times'!$B:$B, 0))
</f>
        <v>233.78</v>
      </c>
      <c r="L564" s="6">
        <f>K564</f>
        <v>233.78</v>
      </c>
      <c r="M564" s="6" t="str">
        <f t="shared" si="1"/>
        <v>3:53.78</v>
      </c>
      <c r="N564" s="9">
        <f>IFERROR(__xludf.DUMMYFUNCTION("LET(
  gen,$A564, ev,$B564, t,$M564,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)"),834.0)</f>
        <v>834</v>
      </c>
    </row>
    <row r="565">
      <c r="A565" s="10" t="s">
        <v>295</v>
      </c>
      <c r="B565" s="11" t="s">
        <v>199</v>
      </c>
      <c r="C565" s="11">
        <v>15.0</v>
      </c>
      <c r="D565" s="11">
        <v>1.0</v>
      </c>
      <c r="E565" s="12" t="s">
        <v>467</v>
      </c>
      <c r="F565" s="13">
        <f>IFERROR(__xludf.DUMMYFUNCTION("IF(
  REGEXMATCH(E565, "":""),
  60*VALUE(INDEX(SPLIT(E565, "":""),1,1)) + VALUE(INDEX(SPLIT(E565, "":""),1,2)),
  VALUE(E565)
)"),278.79)</f>
        <v>278.79</v>
      </c>
      <c r="G565" s="13">
        <v>0.0</v>
      </c>
      <c r="H565" s="13">
        <v>0.0</v>
      </c>
      <c r="I565" s="11">
        <f>C565</f>
        <v>15</v>
      </c>
      <c r="J565" s="11">
        <f>C582</f>
        <v>23</v>
      </c>
      <c r="K565" s="11">
        <f t="array" ref="K565">INDEX('Podium Target Times'!$C:$C, MATCH(A565&amp;B565, 'Podium Target Times'!$A:$A&amp;'Podium Target Times'!$B:$B, 0))
</f>
        <v>263.24</v>
      </c>
      <c r="L565" s="13">
        <f>L566+G566</f>
        <v>288.8516667</v>
      </c>
      <c r="M565" s="11" t="str">
        <f t="shared" si="1"/>
        <v>4:48.85</v>
      </c>
      <c r="N565" s="14">
        <f>IFERROR(__xludf.DUMMYFUNCTION("LET(
  gen,$A565, ev,$B565, t,$M565,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)"),591.0)</f>
        <v>591</v>
      </c>
    </row>
    <row r="566">
      <c r="A566" s="5" t="s">
        <v>295</v>
      </c>
      <c r="B566" s="6" t="s">
        <v>199</v>
      </c>
      <c r="C566" s="6">
        <v>16.0</v>
      </c>
      <c r="D566" s="6">
        <v>1.0</v>
      </c>
      <c r="E566" s="7" t="s">
        <v>468</v>
      </c>
      <c r="F566" s="8">
        <f>IFERROR(__xludf.DUMMYFUNCTION("IF(
  REGEXMATCH(E566, "":""),
  60*VALUE(INDEX(SPLIT(E566, "":""),1,1)) + VALUE(INDEX(SPLIT(E566, "":""),1,2)),
  VALUE(E566)
)"),270.33)</f>
        <v>270.33</v>
      </c>
      <c r="G566" s="8">
        <f>F565-F566</f>
        <v>8.46</v>
      </c>
      <c r="H566" s="8">
        <v>8.460000000000036</v>
      </c>
      <c r="I566" s="6">
        <f>C565</f>
        <v>15</v>
      </c>
      <c r="J566" s="6">
        <f>C582</f>
        <v>23</v>
      </c>
      <c r="K566" s="6">
        <f t="array" ref="K566">INDEX('Podium Target Times'!$C:$C, MATCH(A566&amp;B566, 'Podium Target Times'!$A:$A&amp;'Podium Target Times'!$B:$B, 0))
</f>
        <v>263.24</v>
      </c>
      <c r="L566" s="8">
        <f>L568+G568</f>
        <v>280.3916667</v>
      </c>
      <c r="M566" s="6" t="str">
        <f t="shared" si="1"/>
        <v>4:40.39</v>
      </c>
      <c r="N566" s="9">
        <f>IFERROR(__xludf.DUMMYFUNCTION("LET(
  gen,$A566, ev,$B566, t,$M566,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)"),646.0)</f>
        <v>646</v>
      </c>
    </row>
    <row r="567">
      <c r="A567" s="10" t="s">
        <v>295</v>
      </c>
      <c r="B567" s="11" t="s">
        <v>199</v>
      </c>
      <c r="C567" s="11">
        <v>16.0</v>
      </c>
      <c r="D567" s="11">
        <v>2.0</v>
      </c>
      <c r="E567" s="12" t="s">
        <v>469</v>
      </c>
      <c r="F567" s="13">
        <f>IFERROR(__xludf.DUMMYFUNCTION("IF(
  REGEXMATCH(E567, "":""),
  60*VALUE(INDEX(SPLIT(E567, "":""),1,1)) + VALUE(INDEX(SPLIT(E567, "":""),1,2)),
  VALUE(E567)
)"),274.0)</f>
        <v>274</v>
      </c>
      <c r="G567" s="13">
        <f>F565-F566</f>
        <v>8.46</v>
      </c>
      <c r="H567" s="13">
        <v>8.460000000000036</v>
      </c>
      <c r="I567" s="11">
        <f>C565</f>
        <v>15</v>
      </c>
      <c r="J567" s="11">
        <f>C582</f>
        <v>23</v>
      </c>
      <c r="K567" s="11">
        <f t="array" ref="K567">INDEX('Podium Target Times'!$C:$C, MATCH(A567&amp;B567, 'Podium Target Times'!$A:$A&amp;'Podium Target Times'!$B:$B, 0))
</f>
        <v>263.24</v>
      </c>
      <c r="L567" s="13">
        <f>L568+G568</f>
        <v>280.3916667</v>
      </c>
      <c r="M567" s="11" t="str">
        <f t="shared" si="1"/>
        <v>4:40.39</v>
      </c>
      <c r="N567" s="14">
        <f>IFERROR(__xludf.DUMMYFUNCTION("LET(
  gen,$A567, ev,$B567, t,$M567,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)"),646.0)</f>
        <v>646</v>
      </c>
    </row>
    <row r="568">
      <c r="A568" s="5" t="s">
        <v>295</v>
      </c>
      <c r="B568" s="6" t="s">
        <v>199</v>
      </c>
      <c r="C568" s="6">
        <v>17.0</v>
      </c>
      <c r="D568" s="6">
        <v>1.0</v>
      </c>
      <c r="E568" s="7" t="s">
        <v>470</v>
      </c>
      <c r="F568" s="8">
        <f>IFERROR(__xludf.DUMMYFUNCTION("IF(
  REGEXMATCH(E568, "":""),
  60*VALUE(INDEX(SPLIT(E568, "":""),1,1)) + VALUE(INDEX(SPLIT(E568, "":""),1,2)),
  VALUE(E568)
)"),264.32)</f>
        <v>264.32</v>
      </c>
      <c r="G568" s="8">
        <f>average(F566-F568,F567-F569)</f>
        <v>6.05</v>
      </c>
      <c r="H568" s="8">
        <v>6.049999999999983</v>
      </c>
      <c r="I568" s="6">
        <f>C565</f>
        <v>15</v>
      </c>
      <c r="J568" s="6">
        <f>C582</f>
        <v>23</v>
      </c>
      <c r="K568" s="6">
        <f t="array" ref="K568">INDEX('Podium Target Times'!$C:$C, MATCH(A568&amp;B568, 'Podium Target Times'!$A:$A&amp;'Podium Target Times'!$B:$B, 0))
</f>
        <v>263.24</v>
      </c>
      <c r="L568" s="8">
        <f>L571+G571</f>
        <v>274.3416667</v>
      </c>
      <c r="M568" s="6" t="str">
        <f t="shared" si="1"/>
        <v>4:34.34</v>
      </c>
      <c r="N568" s="9">
        <f>IFERROR(__xludf.DUMMYFUNCTION("LET(
  gen,$A568, ev,$B568, t,$M568,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69">
      <c r="A569" s="10" t="s">
        <v>295</v>
      </c>
      <c r="B569" s="11" t="s">
        <v>199</v>
      </c>
      <c r="C569" s="11">
        <v>17.0</v>
      </c>
      <c r="D569" s="11">
        <v>2.0</v>
      </c>
      <c r="E569" s="12" t="s">
        <v>471</v>
      </c>
      <c r="F569" s="13">
        <f>IFERROR(__xludf.DUMMYFUNCTION("IF(
  REGEXMATCH(E569, "":""),
  60*VALUE(INDEX(SPLIT(E569, "":""),1,1)) + VALUE(INDEX(SPLIT(E569, "":""),1,2)),
  VALUE(E569)
)"),267.91)</f>
        <v>267.91</v>
      </c>
      <c r="G569" s="13">
        <f>average(F566-F568,F567-F569)</f>
        <v>6.05</v>
      </c>
      <c r="H569" s="13">
        <v>6.049999999999983</v>
      </c>
      <c r="I569" s="11">
        <f>C565</f>
        <v>15</v>
      </c>
      <c r="J569" s="11">
        <f>C582</f>
        <v>23</v>
      </c>
      <c r="K569" s="11">
        <f t="array" ref="K569">INDEX('Podium Target Times'!$C:$C, MATCH(A569&amp;B569, 'Podium Target Times'!$A:$A&amp;'Podium Target Times'!$B:$B, 0))
</f>
        <v>263.24</v>
      </c>
      <c r="L569" s="13">
        <f>L571+G571</f>
        <v>274.3416667</v>
      </c>
      <c r="M569" s="11" t="str">
        <f t="shared" si="1"/>
        <v>4:34.34</v>
      </c>
      <c r="N569" s="14">
        <f>IFERROR(__xludf.DUMMYFUNCTION("LET(
  gen,$A569, ev,$B569, t,$M569,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70">
      <c r="A570" s="5" t="s">
        <v>295</v>
      </c>
      <c r="B570" s="6" t="s">
        <v>199</v>
      </c>
      <c r="C570" s="6">
        <v>17.0</v>
      </c>
      <c r="D570" s="6">
        <v>3.0</v>
      </c>
      <c r="E570" s="7" t="s">
        <v>472</v>
      </c>
      <c r="F570" s="8">
        <f>IFERROR(__xludf.DUMMYFUNCTION("IF(
  REGEXMATCH(E570, "":""),
  60*VALUE(INDEX(SPLIT(E570, "":""),1,1)) + VALUE(INDEX(SPLIT(E570, "":""),1,2)),
  VALUE(E570)
)"),268.61)</f>
        <v>268.61</v>
      </c>
      <c r="G570" s="8">
        <f>average(F566-F568,F567-F569)</f>
        <v>6.05</v>
      </c>
      <c r="H570" s="8">
        <v>6.049999999999983</v>
      </c>
      <c r="I570" s="6">
        <f>C565</f>
        <v>15</v>
      </c>
      <c r="J570" s="6">
        <f>C582</f>
        <v>23</v>
      </c>
      <c r="K570" s="6">
        <f t="array" ref="K570">INDEX('Podium Target Times'!$C:$C, MATCH(A570&amp;B570, 'Podium Target Times'!$A:$A&amp;'Podium Target Times'!$B:$B, 0))
</f>
        <v>263.24</v>
      </c>
      <c r="L570" s="8">
        <f>L571+G571</f>
        <v>274.3416667</v>
      </c>
      <c r="M570" s="6" t="str">
        <f t="shared" si="1"/>
        <v>4:34.34</v>
      </c>
      <c r="N570" s="9">
        <f>IFERROR(__xludf.DUMMYFUNCTION("LET(
  gen,$A570, ev,$B570, t,$M570,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71">
      <c r="A571" s="10" t="s">
        <v>295</v>
      </c>
      <c r="B571" s="11" t="s">
        <v>199</v>
      </c>
      <c r="C571" s="11">
        <v>18.0</v>
      </c>
      <c r="D571" s="11">
        <v>1.0</v>
      </c>
      <c r="E571" s="12" t="s">
        <v>473</v>
      </c>
      <c r="F571" s="13">
        <f>IFERROR(__xludf.DUMMYFUNCTION("IF(
  REGEXMATCH(E571, "":""),
  60*VALUE(INDEX(SPLIT(E571, "":""),1,1)) + VALUE(INDEX(SPLIT(E571, "":""),1,2)),
  VALUE(E571)
)"),260.41)</f>
        <v>260.41</v>
      </c>
      <c r="G571" s="13">
        <f>average(F568-F571,F569-F572,F570-F573)</f>
        <v>3.953333333</v>
      </c>
      <c r="H571" s="13">
        <v>3.953333333333338</v>
      </c>
      <c r="I571" s="11">
        <f>C565</f>
        <v>15</v>
      </c>
      <c r="J571" s="11">
        <f>C582</f>
        <v>23</v>
      </c>
      <c r="K571" s="11">
        <f t="array" ref="K571">INDEX('Podium Target Times'!$C:$C, MATCH(A571&amp;B571, 'Podium Target Times'!$A:$A&amp;'Podium Target Times'!$B:$B, 0))
</f>
        <v>263.24</v>
      </c>
      <c r="L571" s="13">
        <f>L574+G574</f>
        <v>270.3883333</v>
      </c>
      <c r="M571" s="11" t="str">
        <f t="shared" si="1"/>
        <v>4:30.39</v>
      </c>
      <c r="N571" s="14">
        <f>IFERROR(__xludf.DUMMYFUNCTION("LET(
  gen,$A571, ev,$B571, t,$M571,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572">
      <c r="A572" s="5" t="s">
        <v>295</v>
      </c>
      <c r="B572" s="6" t="s">
        <v>199</v>
      </c>
      <c r="C572" s="6">
        <v>18.0</v>
      </c>
      <c r="D572" s="6">
        <v>2.0</v>
      </c>
      <c r="E572" s="7" t="s">
        <v>474</v>
      </c>
      <c r="F572" s="8">
        <f>IFERROR(__xludf.DUMMYFUNCTION("IF(
  REGEXMATCH(E572, "":""),
  60*VALUE(INDEX(SPLIT(E572, "":""),1,1)) + VALUE(INDEX(SPLIT(E572, "":""),1,2)),
  VALUE(E572)
)"),263.94)</f>
        <v>263.94</v>
      </c>
      <c r="G572" s="8">
        <f>average(F568-F571,F569-F572,F570-F573)</f>
        <v>3.953333333</v>
      </c>
      <c r="H572" s="8">
        <v>3.953333333333338</v>
      </c>
      <c r="I572" s="6">
        <f>C565</f>
        <v>15</v>
      </c>
      <c r="J572" s="6">
        <f>C582</f>
        <v>23</v>
      </c>
      <c r="K572" s="6">
        <f t="array" ref="K572">INDEX('Podium Target Times'!$C:$C, MATCH(A572&amp;B572, 'Podium Target Times'!$A:$A&amp;'Podium Target Times'!$B:$B, 0))
</f>
        <v>263.24</v>
      </c>
      <c r="L572" s="8">
        <f>L574+G574</f>
        <v>270.3883333</v>
      </c>
      <c r="M572" s="6" t="str">
        <f t="shared" si="1"/>
        <v>4:30.39</v>
      </c>
      <c r="N572" s="9">
        <f>IFERROR(__xludf.DUMMYFUNCTION("LET(
  gen,$A572, ev,$B572, t,$M572,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573">
      <c r="A573" s="10" t="s">
        <v>295</v>
      </c>
      <c r="B573" s="11" t="s">
        <v>199</v>
      </c>
      <c r="C573" s="11">
        <v>18.0</v>
      </c>
      <c r="D573" s="11">
        <v>3.0</v>
      </c>
      <c r="E573" s="12" t="s">
        <v>475</v>
      </c>
      <c r="F573" s="13">
        <f>IFERROR(__xludf.DUMMYFUNCTION("IF(
  REGEXMATCH(E573, "":""),
  60*VALUE(INDEX(SPLIT(E573, "":""),1,1)) + VALUE(INDEX(SPLIT(E573, "":""),1,2)),
  VALUE(E573)
)"),264.63)</f>
        <v>264.63</v>
      </c>
      <c r="G573" s="13">
        <f>average(F568-F571,F569-F572,F570-F573)</f>
        <v>3.953333333</v>
      </c>
      <c r="H573" s="13">
        <v>3.953333333333338</v>
      </c>
      <c r="I573" s="11">
        <f>C565</f>
        <v>15</v>
      </c>
      <c r="J573" s="11">
        <f>C582</f>
        <v>23</v>
      </c>
      <c r="K573" s="11">
        <f t="array" ref="K573">INDEX('Podium Target Times'!$C:$C, MATCH(A573&amp;B573, 'Podium Target Times'!$A:$A&amp;'Podium Target Times'!$B:$B, 0))
</f>
        <v>263.24</v>
      </c>
      <c r="L573" s="13">
        <f>L574+G574</f>
        <v>270.3883333</v>
      </c>
      <c r="M573" s="11" t="str">
        <f t="shared" si="1"/>
        <v>4:30.39</v>
      </c>
      <c r="N573" s="14">
        <f>IFERROR(__xludf.DUMMYFUNCTION("LET(
  gen,$A573, ev,$B573, t,$M573,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)"),721.0)</f>
        <v>721</v>
      </c>
    </row>
    <row r="574">
      <c r="A574" s="5" t="s">
        <v>295</v>
      </c>
      <c r="B574" s="6" t="s">
        <v>199</v>
      </c>
      <c r="C574" s="6">
        <v>19.0</v>
      </c>
      <c r="D574" s="6">
        <v>1.0</v>
      </c>
      <c r="E574" s="7" t="s">
        <v>476</v>
      </c>
      <c r="F574" s="8">
        <f>IFERROR(__xludf.DUMMYFUNCTION("IF(
  REGEXMATCH(E574, "":""),
  60*VALUE(INDEX(SPLIT(E574, "":""),1,1)) + VALUE(INDEX(SPLIT(E574, "":""),1,2)),
  VALUE(E574)
)"),257.48)</f>
        <v>257.48</v>
      </c>
      <c r="G574" s="8">
        <f>average(F571-F574,F572-F575,F573-F576)</f>
        <v>2.953333333</v>
      </c>
      <c r="H574" s="8">
        <v>2.953333333333319</v>
      </c>
      <c r="I574" s="6">
        <f>C565</f>
        <v>15</v>
      </c>
      <c r="J574" s="6">
        <f>C582</f>
        <v>23</v>
      </c>
      <c r="K574" s="6">
        <f t="array" ref="K574">INDEX('Podium Target Times'!$C:$C, MATCH(A574&amp;B574, 'Podium Target Times'!$A:$A&amp;'Podium Target Times'!$B:$B, 0))
</f>
        <v>263.24</v>
      </c>
      <c r="L574" s="8">
        <f>L577+G577</f>
        <v>267.435</v>
      </c>
      <c r="M574" s="6" t="str">
        <f t="shared" si="1"/>
        <v>4:27.44</v>
      </c>
      <c r="N574" s="9">
        <f>IFERROR(__xludf.DUMMYFUNCTION("LET(
  gen,$A574, ev,$B574, t,$M574,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575">
      <c r="A575" s="10" t="s">
        <v>295</v>
      </c>
      <c r="B575" s="11" t="s">
        <v>199</v>
      </c>
      <c r="C575" s="11">
        <v>19.0</v>
      </c>
      <c r="D575" s="11">
        <v>2.0</v>
      </c>
      <c r="E575" s="12" t="s">
        <v>477</v>
      </c>
      <c r="F575" s="13">
        <f>IFERROR(__xludf.DUMMYFUNCTION("IF(
  REGEXMATCH(E575, "":""),
  60*VALUE(INDEX(SPLIT(E575, "":""),1,1)) + VALUE(INDEX(SPLIT(E575, "":""),1,2)),
  VALUE(E575)
)"),260.98)</f>
        <v>260.98</v>
      </c>
      <c r="G575" s="13">
        <f>average(F571-F574,F572-F575,F573-F576)</f>
        <v>2.953333333</v>
      </c>
      <c r="H575" s="13">
        <v>2.953333333333319</v>
      </c>
      <c r="I575" s="11">
        <f>C565</f>
        <v>15</v>
      </c>
      <c r="J575" s="11">
        <f>C582</f>
        <v>23</v>
      </c>
      <c r="K575" s="11">
        <f t="array" ref="K575">INDEX('Podium Target Times'!$C:$C, MATCH(A575&amp;B575, 'Podium Target Times'!$A:$A&amp;'Podium Target Times'!$B:$B, 0))
</f>
        <v>263.24</v>
      </c>
      <c r="L575" s="13">
        <f>L577+G577</f>
        <v>267.435</v>
      </c>
      <c r="M575" s="11" t="str">
        <f t="shared" si="1"/>
        <v>4:27.44</v>
      </c>
      <c r="N575" s="14">
        <f>IFERROR(__xludf.DUMMYFUNCTION("LET(
  gen,$A575, ev,$B575, t,$M575,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576">
      <c r="A576" s="5" t="s">
        <v>295</v>
      </c>
      <c r="B576" s="6" t="s">
        <v>199</v>
      </c>
      <c r="C576" s="6">
        <v>19.0</v>
      </c>
      <c r="D576" s="6">
        <v>3.0</v>
      </c>
      <c r="E576" s="7" t="s">
        <v>478</v>
      </c>
      <c r="F576" s="8">
        <f>IFERROR(__xludf.DUMMYFUNCTION("IF(
  REGEXMATCH(E576, "":""),
  60*VALUE(INDEX(SPLIT(E576, "":""),1,1)) + VALUE(INDEX(SPLIT(E576, "":""),1,2)),
  VALUE(E576)
)"),261.66)</f>
        <v>261.66</v>
      </c>
      <c r="G576" s="8">
        <f>average(F571-F574,F572-F575,F573-F576)</f>
        <v>2.953333333</v>
      </c>
      <c r="H576" s="8">
        <v>2.953333333333319</v>
      </c>
      <c r="I576" s="6">
        <f>C565</f>
        <v>15</v>
      </c>
      <c r="J576" s="6">
        <f>C582</f>
        <v>23</v>
      </c>
      <c r="K576" s="6">
        <f t="array" ref="K576">INDEX('Podium Target Times'!$C:$C, MATCH(A576&amp;B576, 'Podium Target Times'!$A:$A&amp;'Podium Target Times'!$B:$B, 0))
</f>
        <v>263.24</v>
      </c>
      <c r="L576" s="8">
        <f>L577+G577</f>
        <v>267.435</v>
      </c>
      <c r="M576" s="6" t="str">
        <f t="shared" si="1"/>
        <v>4:27.44</v>
      </c>
      <c r="N576" s="9">
        <f>IFERROR(__xludf.DUMMYFUNCTION("LET(
  gen,$A576, ev,$B576, t,$M576,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577">
      <c r="A577" s="10" t="s">
        <v>295</v>
      </c>
      <c r="B577" s="11" t="s">
        <v>199</v>
      </c>
      <c r="C577" s="11">
        <v>20.0</v>
      </c>
      <c r="D577" s="11">
        <v>2.0</v>
      </c>
      <c r="E577" s="12" t="s">
        <v>479</v>
      </c>
      <c r="F577" s="13">
        <f>IFERROR(__xludf.DUMMYFUNCTION("IF(
  REGEXMATCH(E577, "":""),
  60*VALUE(INDEX(SPLIT(E577, "":""),1,1)) + VALUE(INDEX(SPLIT(E577, "":""),1,2)),
  VALUE(E577)
)"),258.85)</f>
        <v>258.85</v>
      </c>
      <c r="G577" s="13">
        <f>average(F575-F577,F576-F578)</f>
        <v>2.13</v>
      </c>
      <c r="H577" s="13">
        <v>2.130000000000024</v>
      </c>
      <c r="I577" s="11">
        <f>C565</f>
        <v>15</v>
      </c>
      <c r="J577" s="11">
        <f>C582</f>
        <v>23</v>
      </c>
      <c r="K577" s="11">
        <f t="array" ref="K577">INDEX('Podium Target Times'!$C:$C, MATCH(A577&amp;B577, 'Podium Target Times'!$A:$A&amp;'Podium Target Times'!$B:$B, 0))
</f>
        <v>263.24</v>
      </c>
      <c r="L577" s="13">
        <f>L579+G579</f>
        <v>265.305</v>
      </c>
      <c r="M577" s="11" t="str">
        <f t="shared" si="1"/>
        <v>4:25.31</v>
      </c>
      <c r="N577" s="14">
        <f>IFERROR(__xludf.DUMMYFUNCTION("LET(
  gen,$A577, ev,$B577, t,$M577,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578">
      <c r="A578" s="5" t="s">
        <v>295</v>
      </c>
      <c r="B578" s="6" t="s">
        <v>199</v>
      </c>
      <c r="C578" s="6">
        <v>20.0</v>
      </c>
      <c r="D578" s="6">
        <v>3.0</v>
      </c>
      <c r="E578" s="7" t="s">
        <v>480</v>
      </c>
      <c r="F578" s="8">
        <f>IFERROR(__xludf.DUMMYFUNCTION("IF(
  REGEXMATCH(E578, "":""),
  60*VALUE(INDEX(SPLIT(E578, "":""),1,1)) + VALUE(INDEX(SPLIT(E578, "":""),1,2)),
  VALUE(E578)
)"),259.53)</f>
        <v>259.53</v>
      </c>
      <c r="G578" s="8">
        <f>average(F575-F577,F576-F578)</f>
        <v>2.13</v>
      </c>
      <c r="H578" s="8">
        <v>2.130000000000024</v>
      </c>
      <c r="I578" s="6">
        <f>C565</f>
        <v>15</v>
      </c>
      <c r="J578" s="6">
        <f>C582</f>
        <v>23</v>
      </c>
      <c r="K578" s="6">
        <f t="array" ref="K578">INDEX('Podium Target Times'!$C:$C, MATCH(A578&amp;B578, 'Podium Target Times'!$A:$A&amp;'Podium Target Times'!$B:$B, 0))
</f>
        <v>263.24</v>
      </c>
      <c r="L578" s="8">
        <f>L579+G579</f>
        <v>265.305</v>
      </c>
      <c r="M578" s="6" t="str">
        <f t="shared" si="1"/>
        <v>4:25.31</v>
      </c>
      <c r="N578" s="9">
        <f>IFERROR(__xludf.DUMMYFUNCTION("LET(
  gen,$A578, ev,$B578, t,$M578,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579">
      <c r="A579" s="10" t="s">
        <v>295</v>
      </c>
      <c r="B579" s="11" t="s">
        <v>199</v>
      </c>
      <c r="C579" s="11">
        <v>21.0</v>
      </c>
      <c r="D579" s="11">
        <v>2.0</v>
      </c>
      <c r="E579" s="12" t="s">
        <v>476</v>
      </c>
      <c r="F579" s="13">
        <f>IFERROR(__xludf.DUMMYFUNCTION("IF(
  REGEXMATCH(E579, "":""),
  60*VALUE(INDEX(SPLIT(E579, "":""),1,1)) + VALUE(INDEX(SPLIT(E579, "":""),1,2)),
  VALUE(E579)
)"),257.48)</f>
        <v>257.48</v>
      </c>
      <c r="G579" s="13">
        <f>average(F577-F579,F578-F580)</f>
        <v>1.375</v>
      </c>
      <c r="H579" s="13">
        <v>1.375</v>
      </c>
      <c r="I579" s="11">
        <f>C565</f>
        <v>15</v>
      </c>
      <c r="J579" s="11">
        <f>C582</f>
        <v>23</v>
      </c>
      <c r="K579" s="11">
        <f t="array" ref="K579">INDEX('Podium Target Times'!$C:$C, MATCH(A579&amp;B579, 'Podium Target Times'!$A:$A&amp;'Podium Target Times'!$B:$B, 0))
</f>
        <v>263.24</v>
      </c>
      <c r="L579" s="13">
        <f>L581+G581</f>
        <v>263.93</v>
      </c>
      <c r="M579" s="11" t="str">
        <f t="shared" si="1"/>
        <v>4:23.93</v>
      </c>
      <c r="N579" s="14">
        <f>IFERROR(__xludf.DUMMYFUNCTION("LET(
  gen,$A579, ev,$B579, t,$M579,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580">
      <c r="A580" s="5" t="s">
        <v>295</v>
      </c>
      <c r="B580" s="6" t="s">
        <v>199</v>
      </c>
      <c r="C580" s="6">
        <v>21.0</v>
      </c>
      <c r="D580" s="6">
        <v>3.0</v>
      </c>
      <c r="E580" s="7" t="s">
        <v>481</v>
      </c>
      <c r="F580" s="8">
        <f>IFERROR(__xludf.DUMMYFUNCTION("IF(
  REGEXMATCH(E580, "":""),
  60*VALUE(INDEX(SPLIT(E580, "":""),1,1)) + VALUE(INDEX(SPLIT(E580, "":""),1,2)),
  VALUE(E580)
)"),258.15)</f>
        <v>258.15</v>
      </c>
      <c r="G580" s="8">
        <f>average(F577-F579,F578-F580)</f>
        <v>1.375</v>
      </c>
      <c r="H580" s="8">
        <v>1.375</v>
      </c>
      <c r="I580" s="6">
        <f>C565</f>
        <v>15</v>
      </c>
      <c r="J580" s="6">
        <f>C582</f>
        <v>23</v>
      </c>
      <c r="K580" s="6">
        <f t="array" ref="K580">INDEX('Podium Target Times'!$C:$C, MATCH(A580&amp;B580, 'Podium Target Times'!$A:$A&amp;'Podium Target Times'!$B:$B, 0))
</f>
        <v>263.24</v>
      </c>
      <c r="L580" s="8">
        <f t="shared" ref="L580:L581" si="59">L581+G581</f>
        <v>263.93</v>
      </c>
      <c r="M580" s="6" t="str">
        <f t="shared" si="1"/>
        <v>4:23.93</v>
      </c>
      <c r="N580" s="9">
        <f>IFERROR(__xludf.DUMMYFUNCTION("LET(
  gen,$A580, ev,$B580, t,$M580,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581">
      <c r="A581" s="10" t="s">
        <v>295</v>
      </c>
      <c r="B581" s="11" t="s">
        <v>199</v>
      </c>
      <c r="C581" s="11">
        <v>22.0</v>
      </c>
      <c r="D581" s="11">
        <v>3.0</v>
      </c>
      <c r="E581" s="12" t="s">
        <v>482</v>
      </c>
      <c r="F581" s="13">
        <f>IFERROR(__xludf.DUMMYFUNCTION("IF(
  REGEXMATCH(E581, "":""),
  60*VALUE(INDEX(SPLIT(E581, "":""),1,1)) + VALUE(INDEX(SPLIT(E581, "":""),1,2)),
  VALUE(E581)
)"),257.46)</f>
        <v>257.46</v>
      </c>
      <c r="G581" s="13">
        <f t="shared" ref="G581:G582" si="60">F580-F581</f>
        <v>0.69</v>
      </c>
      <c r="H581" s="13">
        <v>0.6899999999999977</v>
      </c>
      <c r="I581" s="11">
        <f>C565</f>
        <v>15</v>
      </c>
      <c r="J581" s="11">
        <f>C582</f>
        <v>23</v>
      </c>
      <c r="K581" s="11">
        <f t="array" ref="K581">INDEX('Podium Target Times'!$C:$C, MATCH(A581&amp;B581, 'Podium Target Times'!$A:$A&amp;'Podium Target Times'!$B:$B, 0))
</f>
        <v>263.24</v>
      </c>
      <c r="L581" s="13">
        <f t="shared" si="59"/>
        <v>263.24</v>
      </c>
      <c r="M581" s="11" t="str">
        <f t="shared" si="1"/>
        <v>4:23.24</v>
      </c>
      <c r="N581" s="14">
        <f>IFERROR(__xludf.DUMMYFUNCTION("LET(
  gen,$A581, ev,$B581, t,$M581,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582">
      <c r="A582" s="5" t="s">
        <v>295</v>
      </c>
      <c r="B582" s="6" t="s">
        <v>199</v>
      </c>
      <c r="C582" s="6">
        <v>23.0</v>
      </c>
      <c r="D582" s="6">
        <v>3.0</v>
      </c>
      <c r="E582" s="7" t="s">
        <v>482</v>
      </c>
      <c r="F582" s="8">
        <f>IFERROR(__xludf.DUMMYFUNCTION("IF(
  REGEXMATCH(E582, "":""),
  60*VALUE(INDEX(SPLIT(E582, "":""),1,1)) + VALUE(INDEX(SPLIT(E582, "":""),1,2)),
  VALUE(E582)
)"),257.46)</f>
        <v>257.46</v>
      </c>
      <c r="G582" s="8">
        <f t="shared" si="60"/>
        <v>0</v>
      </c>
      <c r="H582" s="8">
        <v>0.0</v>
      </c>
      <c r="I582" s="6">
        <f>C565</f>
        <v>15</v>
      </c>
      <c r="J582" s="6">
        <f>C582</f>
        <v>23</v>
      </c>
      <c r="K582" s="6">
        <f t="array" ref="K582">INDEX('Podium Target Times'!$C:$C, MATCH(A582&amp;B582, 'Podium Target Times'!$A:$A&amp;'Podium Target Times'!$B:$B, 0))
</f>
        <v>263.24</v>
      </c>
      <c r="L582" s="8">
        <f>G582+L583</f>
        <v>263.24</v>
      </c>
      <c r="M582" s="6" t="str">
        <f t="shared" si="1"/>
        <v>4:23.24</v>
      </c>
      <c r="N582" s="9">
        <f>IFERROR(__xludf.DUMMYFUNCTION("LET(
  gen,$A582, ev,$B582, t,$M582,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583">
      <c r="A583" s="10" t="s">
        <v>295</v>
      </c>
      <c r="B583" s="11" t="s">
        <v>199</v>
      </c>
      <c r="C583" s="11">
        <v>24.0</v>
      </c>
      <c r="D583" s="11"/>
      <c r="E583" s="12"/>
      <c r="F583" s="13">
        <f>IFERROR(__xludf.DUMMYFUNCTION("IF(
  REGEXMATCH(E583, "":""),
  60*VALUE(INDEX(SPLIT(E583, "":""),1,1)) + VALUE(INDEX(SPLIT(E583, "":""),1,2)),
  VALUE(E583)
)"),0.0)</f>
        <v>0</v>
      </c>
      <c r="G583" s="13"/>
      <c r="H583" s="13"/>
      <c r="I583" s="11">
        <f>C565</f>
        <v>15</v>
      </c>
      <c r="J583" s="11">
        <f>C582</f>
        <v>23</v>
      </c>
      <c r="K583" s="11">
        <f t="array" ref="K583">INDEX('Podium Target Times'!$C:$C, MATCH(A583&amp;B583, 'Podium Target Times'!$A:$A&amp;'Podium Target Times'!$B:$B, 0))
</f>
        <v>263.24</v>
      </c>
      <c r="L583" s="13">
        <f>G582+L584</f>
        <v>263.24</v>
      </c>
      <c r="M583" s="11" t="str">
        <f t="shared" si="1"/>
        <v>4:23.24</v>
      </c>
      <c r="N583" s="14">
        <f>IFERROR(__xludf.DUMMYFUNCTION("LET(
  gen,$A583, ev,$B583, t,$M583,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584">
      <c r="A584" s="5" t="s">
        <v>295</v>
      </c>
      <c r="B584" s="6" t="s">
        <v>199</v>
      </c>
      <c r="C584" s="6">
        <v>25.0</v>
      </c>
      <c r="D584" s="6"/>
      <c r="E584" s="7"/>
      <c r="F584" s="8">
        <f>IFERROR(__xludf.DUMMYFUNCTION("IF(
  REGEXMATCH(E584, "":""),
  60*VALUE(INDEX(SPLIT(E584, "":""),1,1)) + VALUE(INDEX(SPLIT(E584, "":""),1,2)),
  VALUE(E584)
)"),0.0)</f>
        <v>0</v>
      </c>
      <c r="G584" s="8"/>
      <c r="H584" s="8"/>
      <c r="I584" s="6">
        <f>C565</f>
        <v>15</v>
      </c>
      <c r="J584" s="6">
        <f>C582</f>
        <v>23</v>
      </c>
      <c r="K584" s="6">
        <f t="array" ref="K584">INDEX('Podium Target Times'!$C:$C, MATCH(A584&amp;B584, 'Podium Target Times'!$A:$A&amp;'Podium Target Times'!$B:$B, 0))
</f>
        <v>263.24</v>
      </c>
      <c r="L584" s="6">
        <f>K584</f>
        <v>263.24</v>
      </c>
      <c r="M584" s="6" t="str">
        <f t="shared" si="1"/>
        <v>4:23.24</v>
      </c>
      <c r="N584" s="9">
        <f>IFERROR(__xludf.DUMMYFUNCTION("LET(
  gen,$A584, ev,$B584, t,$M584,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)"),781.0)</f>
        <v>781</v>
      </c>
    </row>
    <row r="585">
      <c r="A585" s="10" t="s">
        <v>295</v>
      </c>
      <c r="B585" s="11" t="s">
        <v>216</v>
      </c>
      <c r="C585" s="11">
        <v>16.0</v>
      </c>
      <c r="D585" s="11">
        <v>1.0</v>
      </c>
      <c r="E585" s="12" t="s">
        <v>483</v>
      </c>
      <c r="F585" s="13">
        <f>IFERROR(__xludf.DUMMYFUNCTION("IF(
  REGEXMATCH(E585, "":""),
  60*VALUE(INDEX(SPLIT(E585, "":""),1,1)) + VALUE(INDEX(SPLIT(E585, "":""),1,2)),
  VALUE(E585)
)"),27.26)</f>
        <v>27.26</v>
      </c>
      <c r="G585" s="13">
        <v>0.0</v>
      </c>
      <c r="H585" s="13">
        <v>0.0</v>
      </c>
      <c r="I585" s="11">
        <f>C585</f>
        <v>16</v>
      </c>
      <c r="J585" s="11">
        <f>C602</f>
        <v>24</v>
      </c>
      <c r="K585" s="11">
        <f t="array" ref="K585">INDEX('Podium Target Times'!$C:$C, MATCH(A585&amp;B585, 'Podium Target Times'!$A:$A&amp;'Podium Target Times'!$B:$B, 0))
</f>
        <v>25.61</v>
      </c>
      <c r="L585" s="13">
        <f>L586+G586</f>
        <v>28.06666667</v>
      </c>
      <c r="M585" s="11" t="str">
        <f t="shared" si="1"/>
        <v>28.07</v>
      </c>
      <c r="N585" s="14">
        <f>IFERROR(__xludf.DUMMYFUNCTION("LET(
  gen,$A585, ev,$B585, t,$M585,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)"),590.0)</f>
        <v>590</v>
      </c>
    </row>
    <row r="586">
      <c r="A586" s="5" t="s">
        <v>295</v>
      </c>
      <c r="B586" s="6" t="s">
        <v>216</v>
      </c>
      <c r="C586" s="6">
        <v>17.0</v>
      </c>
      <c r="D586" s="6">
        <v>1.0</v>
      </c>
      <c r="E586" s="7" t="s">
        <v>484</v>
      </c>
      <c r="F586" s="8">
        <f>IFERROR(__xludf.DUMMYFUNCTION("IF(
  REGEXMATCH(E586, "":""),
  60*VALUE(INDEX(SPLIT(E586, "":""),1,1)) + VALUE(INDEX(SPLIT(E586, "":""),1,2)),
  VALUE(E586)
)"),26.47)</f>
        <v>26.47</v>
      </c>
      <c r="G586" s="8">
        <f>F585-F586</f>
        <v>0.79</v>
      </c>
      <c r="H586" s="8">
        <v>0.7900000000000027</v>
      </c>
      <c r="I586" s="6">
        <f>C585</f>
        <v>16</v>
      </c>
      <c r="J586" s="6">
        <f>C602</f>
        <v>24</v>
      </c>
      <c r="K586" s="6">
        <f t="array" ref="K586">INDEX('Podium Target Times'!$C:$C, MATCH(A586&amp;B586, 'Podium Target Times'!$A:$A&amp;'Podium Target Times'!$B:$B, 0))
</f>
        <v>25.61</v>
      </c>
      <c r="L586" s="8">
        <f>L588+G588</f>
        <v>27.27666667</v>
      </c>
      <c r="M586" s="6" t="str">
        <f t="shared" si="1"/>
        <v>27.28</v>
      </c>
      <c r="N586" s="9">
        <f>IFERROR(__xludf.DUMMYFUNCTION("LET(
  gen,$A586, ev,$B586, t,$M586,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)"),643.0)</f>
        <v>643</v>
      </c>
    </row>
    <row r="587">
      <c r="A587" s="10" t="s">
        <v>295</v>
      </c>
      <c r="B587" s="11" t="s">
        <v>216</v>
      </c>
      <c r="C587" s="11">
        <v>17.0</v>
      </c>
      <c r="D587" s="11">
        <v>2.0</v>
      </c>
      <c r="E587" s="12" t="s">
        <v>485</v>
      </c>
      <c r="F587" s="13">
        <f>IFERROR(__xludf.DUMMYFUNCTION("IF(
  REGEXMATCH(E587, "":""),
  60*VALUE(INDEX(SPLIT(E587, "":""),1,1)) + VALUE(INDEX(SPLIT(E587, "":""),1,2)),
  VALUE(E587)
)"),26.73)</f>
        <v>26.73</v>
      </c>
      <c r="G587" s="13">
        <f>F585-F586</f>
        <v>0.79</v>
      </c>
      <c r="H587" s="13">
        <v>0.7900000000000027</v>
      </c>
      <c r="I587" s="11">
        <f>C585</f>
        <v>16</v>
      </c>
      <c r="J587" s="11">
        <f>C602</f>
        <v>24</v>
      </c>
      <c r="K587" s="11">
        <f t="array" ref="K587">INDEX('Podium Target Times'!$C:$C, MATCH(A587&amp;B587, 'Podium Target Times'!$A:$A&amp;'Podium Target Times'!$B:$B, 0))
</f>
        <v>25.61</v>
      </c>
      <c r="L587" s="13">
        <f>L588+G588</f>
        <v>27.27666667</v>
      </c>
      <c r="M587" s="11" t="str">
        <f t="shared" si="1"/>
        <v>27.28</v>
      </c>
      <c r="N587" s="14">
        <f>IFERROR(__xludf.DUMMYFUNCTION("LET(
  gen,$A587, ev,$B587, t,$M587,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)"),643.0)</f>
        <v>643</v>
      </c>
    </row>
    <row r="588">
      <c r="A588" s="5" t="s">
        <v>295</v>
      </c>
      <c r="B588" s="6" t="s">
        <v>216</v>
      </c>
      <c r="C588" s="6">
        <v>18.0</v>
      </c>
      <c r="D588" s="6">
        <v>1.0</v>
      </c>
      <c r="E588" s="7" t="s">
        <v>486</v>
      </c>
      <c r="F588" s="8">
        <f>IFERROR(__xludf.DUMMYFUNCTION("IF(
  REGEXMATCH(E588, "":""),
  60*VALUE(INDEX(SPLIT(E588, "":""),1,1)) + VALUE(INDEX(SPLIT(E588, "":""),1,2)),
  VALUE(E588)
)"),25.85)</f>
        <v>25.85</v>
      </c>
      <c r="G588" s="8">
        <f>average(F586-F588,F587-F589)</f>
        <v>0.625</v>
      </c>
      <c r="H588" s="8">
        <v>0.6249999999999982</v>
      </c>
      <c r="I588" s="6">
        <f>C585</f>
        <v>16</v>
      </c>
      <c r="J588" s="6">
        <f>C602</f>
        <v>24</v>
      </c>
      <c r="K588" s="6">
        <f t="array" ref="K588">INDEX('Podium Target Times'!$C:$C, MATCH(A588&amp;B588, 'Podium Target Times'!$A:$A&amp;'Podium Target Times'!$B:$B, 0))
</f>
        <v>25.61</v>
      </c>
      <c r="L588" s="8">
        <f>L591+G591</f>
        <v>26.65166667</v>
      </c>
      <c r="M588" s="6" t="str">
        <f t="shared" si="1"/>
        <v>26.65</v>
      </c>
      <c r="N588" s="9">
        <f>IFERROR(__xludf.DUMMYFUNCTION("LET(
  gen,$A588, ev,$B588, t,$M588,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89">
      <c r="A589" s="10" t="s">
        <v>295</v>
      </c>
      <c r="B589" s="11" t="s">
        <v>216</v>
      </c>
      <c r="C589" s="11">
        <v>18.0</v>
      </c>
      <c r="D589" s="11">
        <v>2.0</v>
      </c>
      <c r="E589" s="12" t="s">
        <v>487</v>
      </c>
      <c r="F589" s="13">
        <f>IFERROR(__xludf.DUMMYFUNCTION("IF(
  REGEXMATCH(E589, "":""),
  60*VALUE(INDEX(SPLIT(E589, "":""),1,1)) + VALUE(INDEX(SPLIT(E589, "":""),1,2)),
  VALUE(E589)
)"),26.1)</f>
        <v>26.1</v>
      </c>
      <c r="G589" s="13">
        <f>average(F586-F588,F587-F589)</f>
        <v>0.625</v>
      </c>
      <c r="H589" s="13">
        <v>0.6249999999999982</v>
      </c>
      <c r="I589" s="11">
        <f>C585</f>
        <v>16</v>
      </c>
      <c r="J589" s="11">
        <f>C602</f>
        <v>24</v>
      </c>
      <c r="K589" s="11">
        <f t="array" ref="K589">INDEX('Podium Target Times'!$C:$C, MATCH(A589&amp;B589, 'Podium Target Times'!$A:$A&amp;'Podium Target Times'!$B:$B, 0))
</f>
        <v>25.61</v>
      </c>
      <c r="L589" s="13">
        <f>L591+G591</f>
        <v>26.65166667</v>
      </c>
      <c r="M589" s="11" t="str">
        <f t="shared" si="1"/>
        <v>26.65</v>
      </c>
      <c r="N589" s="14">
        <f>IFERROR(__xludf.DUMMYFUNCTION("LET(
  gen,$A589, ev,$B589, t,$M589,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90">
      <c r="A590" s="5" t="s">
        <v>295</v>
      </c>
      <c r="B590" s="6" t="s">
        <v>216</v>
      </c>
      <c r="C590" s="6">
        <v>18.0</v>
      </c>
      <c r="D590" s="6">
        <v>3.0</v>
      </c>
      <c r="E590" s="7" t="s">
        <v>488</v>
      </c>
      <c r="F590" s="8">
        <f>IFERROR(__xludf.DUMMYFUNCTION("IF(
  REGEXMATCH(E590, "":""),
  60*VALUE(INDEX(SPLIT(E590, "":""),1,1)) + VALUE(INDEX(SPLIT(E590, "":""),1,2)),
  VALUE(E590)
)"),26.15)</f>
        <v>26.15</v>
      </c>
      <c r="G590" s="8">
        <f>average(F586-F588,F587-F589)</f>
        <v>0.625</v>
      </c>
      <c r="H590" s="8">
        <v>0.6249999999999982</v>
      </c>
      <c r="I590" s="6">
        <f>C585</f>
        <v>16</v>
      </c>
      <c r="J590" s="6">
        <f>C602</f>
        <v>24</v>
      </c>
      <c r="K590" s="6">
        <f t="array" ref="K590">INDEX('Podium Target Times'!$C:$C, MATCH(A590&amp;B590, 'Podium Target Times'!$A:$A&amp;'Podium Target Times'!$B:$B, 0))
</f>
        <v>25.61</v>
      </c>
      <c r="L590" s="8">
        <f>L591+G591</f>
        <v>26.65166667</v>
      </c>
      <c r="M590" s="6" t="str">
        <f t="shared" si="1"/>
        <v>26.65</v>
      </c>
      <c r="N590" s="9">
        <f>IFERROR(__xludf.DUMMYFUNCTION("LET(
  gen,$A590, ev,$B590, t,$M590,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)"),690.0)</f>
        <v>690</v>
      </c>
    </row>
    <row r="591">
      <c r="A591" s="10" t="s">
        <v>295</v>
      </c>
      <c r="B591" s="11" t="s">
        <v>216</v>
      </c>
      <c r="C591" s="11">
        <v>19.0</v>
      </c>
      <c r="D591" s="11">
        <v>1.0</v>
      </c>
      <c r="E591" s="12" t="s">
        <v>265</v>
      </c>
      <c r="F591" s="13">
        <f>IFERROR(__xludf.DUMMYFUNCTION("IF(
  REGEXMATCH(E591, "":""),
  60*VALUE(INDEX(SPLIT(E591, "":""),1,1)) + VALUE(INDEX(SPLIT(E591, "":""),1,2)),
  VALUE(E591)
)"),25.4)</f>
        <v>25.4</v>
      </c>
      <c r="G591" s="13">
        <f>average(F588-F591,F589-F592,F590-F593)</f>
        <v>0.4566666667</v>
      </c>
      <c r="H591" s="13">
        <v>0.456666666666667</v>
      </c>
      <c r="I591" s="11">
        <f>C585</f>
        <v>16</v>
      </c>
      <c r="J591" s="11">
        <f>C602</f>
        <v>24</v>
      </c>
      <c r="K591" s="11">
        <f t="array" ref="K591">INDEX('Podium Target Times'!$C:$C, MATCH(A591&amp;B591, 'Podium Target Times'!$A:$A&amp;'Podium Target Times'!$B:$B, 0))
</f>
        <v>25.61</v>
      </c>
      <c r="L591" s="13">
        <f>L594+G594</f>
        <v>26.195</v>
      </c>
      <c r="M591" s="11" t="str">
        <f t="shared" si="1"/>
        <v>26.20</v>
      </c>
      <c r="N591" s="14">
        <f>IFERROR(__xludf.DUMMYFUNCTION("LET(
  gen,$A591, ev,$B591, t,$M591,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)"),726.0)</f>
        <v>726</v>
      </c>
    </row>
    <row r="592">
      <c r="A592" s="5" t="s">
        <v>295</v>
      </c>
      <c r="B592" s="6" t="s">
        <v>216</v>
      </c>
      <c r="C592" s="6">
        <v>19.0</v>
      </c>
      <c r="D592" s="6">
        <v>2.0</v>
      </c>
      <c r="E592" s="7" t="s">
        <v>269</v>
      </c>
      <c r="F592" s="8">
        <f>IFERROR(__xludf.DUMMYFUNCTION("IF(
  REGEXMATCH(E592, "":""),
  60*VALUE(INDEX(SPLIT(E592, "":""),1,1)) + VALUE(INDEX(SPLIT(E592, "":""),1,2)),
  VALUE(E592)
)"),25.64)</f>
        <v>25.64</v>
      </c>
      <c r="G592" s="8">
        <f>average(F588-F591,F589-F592,F590-F593)</f>
        <v>0.4566666667</v>
      </c>
      <c r="H592" s="8">
        <v>0.456666666666667</v>
      </c>
      <c r="I592" s="6">
        <f>C585</f>
        <v>16</v>
      </c>
      <c r="J592" s="6">
        <f>C602</f>
        <v>24</v>
      </c>
      <c r="K592" s="6">
        <f t="array" ref="K592">INDEX('Podium Target Times'!$C:$C, MATCH(A592&amp;B592, 'Podium Target Times'!$A:$A&amp;'Podium Target Times'!$B:$B, 0))
</f>
        <v>25.61</v>
      </c>
      <c r="L592" s="8">
        <f>L594+G594</f>
        <v>26.195</v>
      </c>
      <c r="M592" s="6" t="str">
        <f t="shared" si="1"/>
        <v>26.20</v>
      </c>
      <c r="N592" s="9">
        <f>IFERROR(__xludf.DUMMYFUNCTION("LET(
  gen,$A592, ev,$B592, t,$M592,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)"),726.0)</f>
        <v>726</v>
      </c>
    </row>
    <row r="593">
      <c r="A593" s="10" t="s">
        <v>295</v>
      </c>
      <c r="B593" s="11" t="s">
        <v>216</v>
      </c>
      <c r="C593" s="11">
        <v>19.0</v>
      </c>
      <c r="D593" s="11">
        <v>3.0</v>
      </c>
      <c r="E593" s="12" t="s">
        <v>489</v>
      </c>
      <c r="F593" s="13">
        <f>IFERROR(__xludf.DUMMYFUNCTION("IF(
  REGEXMATCH(E593, "":""),
  60*VALUE(INDEX(SPLIT(E593, "":""),1,1)) + VALUE(INDEX(SPLIT(E593, "":""),1,2)),
  VALUE(E593)
)"),25.69)</f>
        <v>25.69</v>
      </c>
      <c r="G593" s="13">
        <f>average(F588-F591,F589-F592,F590-F593)</f>
        <v>0.4566666667</v>
      </c>
      <c r="H593" s="13">
        <v>0.456666666666667</v>
      </c>
      <c r="I593" s="11">
        <f>C585</f>
        <v>16</v>
      </c>
      <c r="J593" s="11">
        <f>C602</f>
        <v>24</v>
      </c>
      <c r="K593" s="11">
        <f t="array" ref="K593">INDEX('Podium Target Times'!$C:$C, MATCH(A593&amp;B593, 'Podium Target Times'!$A:$A&amp;'Podium Target Times'!$B:$B, 0))
</f>
        <v>25.61</v>
      </c>
      <c r="L593" s="13">
        <f>L594+G594</f>
        <v>26.195</v>
      </c>
      <c r="M593" s="11" t="str">
        <f t="shared" si="1"/>
        <v>26.20</v>
      </c>
      <c r="N593" s="14">
        <f>IFERROR(__xludf.DUMMYFUNCTION("LET(
  gen,$A593, ev,$B593, t,$M593,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)"),726.0)</f>
        <v>726</v>
      </c>
    </row>
    <row r="594">
      <c r="A594" s="5" t="s">
        <v>295</v>
      </c>
      <c r="B594" s="6" t="s">
        <v>216</v>
      </c>
      <c r="C594" s="6">
        <v>20.0</v>
      </c>
      <c r="D594" s="6">
        <v>1.0</v>
      </c>
      <c r="E594" s="7" t="s">
        <v>490</v>
      </c>
      <c r="F594" s="8">
        <f>IFERROR(__xludf.DUMMYFUNCTION("IF(
  REGEXMATCH(E594, "":""),
  60*VALUE(INDEX(SPLIT(E594, "":""),1,1)) + VALUE(INDEX(SPLIT(E594, "":""),1,2)),
  VALUE(E594)
)"),25.11)</f>
        <v>25.11</v>
      </c>
      <c r="G594" s="8">
        <f>average(F591-F594,F592-F595,F593-F596)</f>
        <v>0.29</v>
      </c>
      <c r="H594" s="8">
        <v>0.2900000000000003</v>
      </c>
      <c r="I594" s="6">
        <f>C585</f>
        <v>16</v>
      </c>
      <c r="J594" s="6">
        <f>C602</f>
        <v>24</v>
      </c>
      <c r="K594" s="6">
        <f t="array" ref="K594">INDEX('Podium Target Times'!$C:$C, MATCH(A594&amp;B594, 'Podium Target Times'!$A:$A&amp;'Podium Target Times'!$B:$B, 0))
</f>
        <v>25.61</v>
      </c>
      <c r="L594" s="8">
        <f>L597+G597</f>
        <v>25.905</v>
      </c>
      <c r="M594" s="6" t="str">
        <f t="shared" si="1"/>
        <v>25.91</v>
      </c>
      <c r="N594" s="9">
        <f>IFERROR(__xludf.DUMMYFUNCTION("LET(
  gen,$A594, ev,$B594, t,$M594,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)"),750.0)</f>
        <v>750</v>
      </c>
    </row>
    <row r="595">
      <c r="A595" s="10" t="s">
        <v>295</v>
      </c>
      <c r="B595" s="11" t="s">
        <v>216</v>
      </c>
      <c r="C595" s="11">
        <v>20.0</v>
      </c>
      <c r="D595" s="11">
        <v>2.0</v>
      </c>
      <c r="E595" s="12" t="s">
        <v>491</v>
      </c>
      <c r="F595" s="13">
        <f>IFERROR(__xludf.DUMMYFUNCTION("IF(
  REGEXMATCH(E595, "":""),
  60*VALUE(INDEX(SPLIT(E595, "":""),1,1)) + VALUE(INDEX(SPLIT(E595, "":""),1,2)),
  VALUE(E595)
)"),25.35)</f>
        <v>25.35</v>
      </c>
      <c r="G595" s="13">
        <f>average(F591-F594,F592-F595,F593-F596)</f>
        <v>0.29</v>
      </c>
      <c r="H595" s="13">
        <v>0.2900000000000003</v>
      </c>
      <c r="I595" s="11">
        <f>C585</f>
        <v>16</v>
      </c>
      <c r="J595" s="11">
        <f>C602</f>
        <v>24</v>
      </c>
      <c r="K595" s="11">
        <f t="array" ref="K595">INDEX('Podium Target Times'!$C:$C, MATCH(A595&amp;B595, 'Podium Target Times'!$A:$A&amp;'Podium Target Times'!$B:$B, 0))
</f>
        <v>25.61</v>
      </c>
      <c r="L595" s="13">
        <f>L597+G597</f>
        <v>25.905</v>
      </c>
      <c r="M595" s="11" t="str">
        <f t="shared" si="1"/>
        <v>25.91</v>
      </c>
      <c r="N595" s="14">
        <f>IFERROR(__xludf.DUMMYFUNCTION("LET(
  gen,$A595, ev,$B595, t,$M595,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)"),750.0)</f>
        <v>750</v>
      </c>
    </row>
    <row r="596">
      <c r="A596" s="5" t="s">
        <v>295</v>
      </c>
      <c r="B596" s="6" t="s">
        <v>216</v>
      </c>
      <c r="C596" s="6">
        <v>20.0</v>
      </c>
      <c r="D596" s="6">
        <v>3.0</v>
      </c>
      <c r="E596" s="7" t="s">
        <v>265</v>
      </c>
      <c r="F596" s="8">
        <f>IFERROR(__xludf.DUMMYFUNCTION("IF(
  REGEXMATCH(E596, "":""),
  60*VALUE(INDEX(SPLIT(E596, "":""),1,1)) + VALUE(INDEX(SPLIT(E596, "":""),1,2)),
  VALUE(E596)
)"),25.4)</f>
        <v>25.4</v>
      </c>
      <c r="G596" s="8">
        <f>average(F591-F594,F592-F595,F593-F596)</f>
        <v>0.29</v>
      </c>
      <c r="H596" s="8">
        <v>0.2900000000000003</v>
      </c>
      <c r="I596" s="6">
        <f>C585</f>
        <v>16</v>
      </c>
      <c r="J596" s="6">
        <f>C602</f>
        <v>24</v>
      </c>
      <c r="K596" s="6">
        <f t="array" ref="K596">INDEX('Podium Target Times'!$C:$C, MATCH(A596&amp;B596, 'Podium Target Times'!$A:$A&amp;'Podium Target Times'!$B:$B, 0))
</f>
        <v>25.61</v>
      </c>
      <c r="L596" s="8">
        <f>L597+G597</f>
        <v>25.905</v>
      </c>
      <c r="M596" s="6" t="str">
        <f t="shared" si="1"/>
        <v>25.91</v>
      </c>
      <c r="N596" s="9">
        <f>IFERROR(__xludf.DUMMYFUNCTION("LET(
  gen,$A596, ev,$B596, t,$M596,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)"),750.0)</f>
        <v>750</v>
      </c>
    </row>
    <row r="597">
      <c r="A597" s="10" t="s">
        <v>295</v>
      </c>
      <c r="B597" s="11" t="s">
        <v>216</v>
      </c>
      <c r="C597" s="11">
        <v>21.0</v>
      </c>
      <c r="D597" s="11">
        <v>2.0</v>
      </c>
      <c r="E597" s="12" t="s">
        <v>492</v>
      </c>
      <c r="F597" s="13">
        <f>IFERROR(__xludf.DUMMYFUNCTION("IF(
  REGEXMATCH(E597, "":""),
  60*VALUE(INDEX(SPLIT(E597, "":""),1,1)) + VALUE(INDEX(SPLIT(E597, "":""),1,2)),
  VALUE(E597)
)"),25.19)</f>
        <v>25.19</v>
      </c>
      <c r="G597" s="13">
        <f>average(F595-F597,F596-F598)</f>
        <v>0.16</v>
      </c>
      <c r="H597" s="13">
        <v>0.16000000000000014</v>
      </c>
      <c r="I597" s="11">
        <f>C585</f>
        <v>16</v>
      </c>
      <c r="J597" s="11">
        <f>C602</f>
        <v>24</v>
      </c>
      <c r="K597" s="11">
        <f t="array" ref="K597">INDEX('Podium Target Times'!$C:$C, MATCH(A597&amp;B597, 'Podium Target Times'!$A:$A&amp;'Podium Target Times'!$B:$B, 0))
</f>
        <v>25.61</v>
      </c>
      <c r="L597" s="13">
        <f>L599+G599</f>
        <v>25.745</v>
      </c>
      <c r="M597" s="11" t="str">
        <f t="shared" si="1"/>
        <v>25.75</v>
      </c>
      <c r="N597" s="14">
        <f>IFERROR(__xludf.DUMMYFUNCTION("LET(
  gen,$A597, ev,$B597, t,$M597,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)"),764.0)</f>
        <v>764</v>
      </c>
    </row>
    <row r="598">
      <c r="A598" s="5" t="s">
        <v>295</v>
      </c>
      <c r="B598" s="6" t="s">
        <v>216</v>
      </c>
      <c r="C598" s="6">
        <v>21.0</v>
      </c>
      <c r="D598" s="6">
        <v>3.0</v>
      </c>
      <c r="E598" s="7" t="s">
        <v>493</v>
      </c>
      <c r="F598" s="8">
        <f>IFERROR(__xludf.DUMMYFUNCTION("IF(
  REGEXMATCH(E598, "":""),
  60*VALUE(INDEX(SPLIT(E598, "":""),1,1)) + VALUE(INDEX(SPLIT(E598, "":""),1,2)),
  VALUE(E598)
)"),25.24)</f>
        <v>25.24</v>
      </c>
      <c r="G598" s="8">
        <f>average(F595-F597,F596-F598)</f>
        <v>0.16</v>
      </c>
      <c r="H598" s="8">
        <v>0.16000000000000014</v>
      </c>
      <c r="I598" s="6">
        <f>C585</f>
        <v>16</v>
      </c>
      <c r="J598" s="6">
        <f>C602</f>
        <v>24</v>
      </c>
      <c r="K598" s="6">
        <f t="array" ref="K598">INDEX('Podium Target Times'!$C:$C, MATCH(A598&amp;B598, 'Podium Target Times'!$A:$A&amp;'Podium Target Times'!$B:$B, 0))
</f>
        <v>25.61</v>
      </c>
      <c r="L598" s="8">
        <f>L599+G599</f>
        <v>25.745</v>
      </c>
      <c r="M598" s="6" t="str">
        <f t="shared" si="1"/>
        <v>25.75</v>
      </c>
      <c r="N598" s="9">
        <f>IFERROR(__xludf.DUMMYFUNCTION("LET(
  gen,$A598, ev,$B598, t,$M598,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)"),764.0)</f>
        <v>764</v>
      </c>
    </row>
    <row r="599">
      <c r="A599" s="10" t="s">
        <v>295</v>
      </c>
      <c r="B599" s="11" t="s">
        <v>216</v>
      </c>
      <c r="C599" s="11">
        <v>22.0</v>
      </c>
      <c r="D599" s="11">
        <v>2.0</v>
      </c>
      <c r="E599" s="12" t="s">
        <v>490</v>
      </c>
      <c r="F599" s="13">
        <f>IFERROR(__xludf.DUMMYFUNCTION("IF(
  REGEXMATCH(E599, "":""),
  60*VALUE(INDEX(SPLIT(E599, "":""),1,1)) + VALUE(INDEX(SPLIT(E599, "":""),1,2)),
  VALUE(E599)
)"),25.11)</f>
        <v>25.11</v>
      </c>
      <c r="G599" s="13">
        <f>average(F597-F599,F598-F600)</f>
        <v>0.085</v>
      </c>
      <c r="H599" s="13">
        <v>0.08500000000000085</v>
      </c>
      <c r="I599" s="11">
        <f>C585</f>
        <v>16</v>
      </c>
      <c r="J599" s="11">
        <f>C602</f>
        <v>24</v>
      </c>
      <c r="K599" s="11">
        <f t="array" ref="K599">INDEX('Podium Target Times'!$C:$C, MATCH(A599&amp;B599, 'Podium Target Times'!$A:$A&amp;'Podium Target Times'!$B:$B, 0))
</f>
        <v>25.61</v>
      </c>
      <c r="L599" s="13">
        <f>L601+G601</f>
        <v>25.66</v>
      </c>
      <c r="M599" s="11" t="str">
        <f t="shared" si="1"/>
        <v>25.66</v>
      </c>
      <c r="N599" s="14">
        <f>IFERROR(__xludf.DUMMYFUNCTION("LET(
  gen,$A599, ev,$B599, t,$M599,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)"),773.0)</f>
        <v>773</v>
      </c>
    </row>
    <row r="600">
      <c r="A600" s="5" t="s">
        <v>295</v>
      </c>
      <c r="B600" s="6" t="s">
        <v>216</v>
      </c>
      <c r="C600" s="6">
        <v>22.0</v>
      </c>
      <c r="D600" s="6">
        <v>3.0</v>
      </c>
      <c r="E600" s="7" t="s">
        <v>276</v>
      </c>
      <c r="F600" s="8">
        <f>IFERROR(__xludf.DUMMYFUNCTION("IF(
  REGEXMATCH(E600, "":""),
  60*VALUE(INDEX(SPLIT(E600, "":""),1,1)) + VALUE(INDEX(SPLIT(E600, "":""),1,2)),
  VALUE(E600)
)"),25.15)</f>
        <v>25.15</v>
      </c>
      <c r="G600" s="8">
        <f>average(F597-F599,F598-F600)</f>
        <v>0.085</v>
      </c>
      <c r="H600" s="8">
        <v>0.08500000000000085</v>
      </c>
      <c r="I600" s="6">
        <f>C585</f>
        <v>16</v>
      </c>
      <c r="J600" s="6">
        <f>C602</f>
        <v>24</v>
      </c>
      <c r="K600" s="6">
        <f t="array" ref="K600">INDEX('Podium Target Times'!$C:$C, MATCH(A600&amp;B600, 'Podium Target Times'!$A:$A&amp;'Podium Target Times'!$B:$B, 0))
</f>
        <v>25.61</v>
      </c>
      <c r="L600" s="8">
        <f t="shared" ref="L600:L601" si="61">L601+G601</f>
        <v>25.66</v>
      </c>
      <c r="M600" s="6" t="str">
        <f t="shared" si="1"/>
        <v>25.66</v>
      </c>
      <c r="N600" s="9">
        <f>IFERROR(__xludf.DUMMYFUNCTION("LET(
  gen,$A600, ev,$B600, t,$M600,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)"),773.0)</f>
        <v>773</v>
      </c>
    </row>
    <row r="601">
      <c r="A601" s="10" t="s">
        <v>295</v>
      </c>
      <c r="B601" s="11" t="s">
        <v>216</v>
      </c>
      <c r="C601" s="11">
        <v>23.0</v>
      </c>
      <c r="D601" s="11">
        <v>3.0</v>
      </c>
      <c r="E601" s="12" t="s">
        <v>494</v>
      </c>
      <c r="F601" s="13">
        <f>IFERROR(__xludf.DUMMYFUNCTION("IF(
  REGEXMATCH(E601, "":""),
  60*VALUE(INDEX(SPLIT(E601, "":""),1,1)) + VALUE(INDEX(SPLIT(E601, "":""),1,2)),
  VALUE(E601)
)"),25.12)</f>
        <v>25.12</v>
      </c>
      <c r="G601" s="13">
        <f t="shared" ref="G601:G602" si="62">F600-F601</f>
        <v>0.03</v>
      </c>
      <c r="H601" s="13">
        <v>0.029999999999997584</v>
      </c>
      <c r="I601" s="11">
        <f>C585</f>
        <v>16</v>
      </c>
      <c r="J601" s="11">
        <f>C602</f>
        <v>24</v>
      </c>
      <c r="K601" s="11">
        <f t="array" ref="K601">INDEX('Podium Target Times'!$C:$C, MATCH(A601&amp;B601, 'Podium Target Times'!$A:$A&amp;'Podium Target Times'!$B:$B, 0))
</f>
        <v>25.61</v>
      </c>
      <c r="L601" s="13">
        <f t="shared" si="61"/>
        <v>25.63</v>
      </c>
      <c r="M601" s="11" t="str">
        <f t="shared" si="1"/>
        <v>25.63</v>
      </c>
      <c r="N601" s="14">
        <f>IFERROR(__xludf.DUMMYFUNCTION("LET(
  gen,$A601, ev,$B601, t,$M601,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)"),775.0)</f>
        <v>775</v>
      </c>
    </row>
    <row r="602">
      <c r="A602" s="5" t="s">
        <v>295</v>
      </c>
      <c r="B602" s="6" t="s">
        <v>216</v>
      </c>
      <c r="C602" s="6">
        <v>24.0</v>
      </c>
      <c r="D602" s="6">
        <v>3.0</v>
      </c>
      <c r="E602" s="7" t="s">
        <v>490</v>
      </c>
      <c r="F602" s="8">
        <f>IFERROR(__xludf.DUMMYFUNCTION("IF(
  REGEXMATCH(E602, "":""),
  60*VALUE(INDEX(SPLIT(E602, "":""),1,1)) + VALUE(INDEX(SPLIT(E602, "":""),1,2)),
  VALUE(E602)
)"),25.11)</f>
        <v>25.11</v>
      </c>
      <c r="G602" s="8">
        <f t="shared" si="62"/>
        <v>0.01</v>
      </c>
      <c r="H602" s="8">
        <v>0.010000000000001563</v>
      </c>
      <c r="I602" s="6">
        <f>C585</f>
        <v>16</v>
      </c>
      <c r="J602" s="6">
        <f>C602</f>
        <v>24</v>
      </c>
      <c r="K602" s="6">
        <f t="array" ref="K602">INDEX('Podium Target Times'!$C:$C, MATCH(A602&amp;B602, 'Podium Target Times'!$A:$A&amp;'Podium Target Times'!$B:$B, 0))
</f>
        <v>25.61</v>
      </c>
      <c r="L602" s="8">
        <f>G602+L603</f>
        <v>25.62</v>
      </c>
      <c r="M602" s="6" t="str">
        <f t="shared" si="1"/>
        <v>25.62</v>
      </c>
      <c r="N602" s="9">
        <f>IFERROR(__xludf.DUMMYFUNCTION("LET(
  gen,$A602, ev,$B602, t,$M602,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)"),776.0)</f>
        <v>776</v>
      </c>
    </row>
    <row r="603">
      <c r="A603" s="10" t="s">
        <v>295</v>
      </c>
      <c r="B603" s="11" t="s">
        <v>216</v>
      </c>
      <c r="C603" s="11">
        <v>25.0</v>
      </c>
      <c r="D603" s="11"/>
      <c r="E603" s="12"/>
      <c r="F603" s="13">
        <f>IFERROR(__xludf.DUMMYFUNCTION("IF(
  REGEXMATCH(E603, "":""),
  60*VALUE(INDEX(SPLIT(E603, "":""),1,1)) + VALUE(INDEX(SPLIT(E603, "":""),1,2)),
  VALUE(E603)
)"),0.0)</f>
        <v>0</v>
      </c>
      <c r="G603" s="13"/>
      <c r="H603" s="13"/>
      <c r="I603" s="11">
        <f>C585</f>
        <v>16</v>
      </c>
      <c r="J603" s="11">
        <f>C602</f>
        <v>24</v>
      </c>
      <c r="K603" s="11">
        <f t="array" ref="K603">INDEX('Podium Target Times'!$C:$C, MATCH(A603&amp;B603, 'Podium Target Times'!$A:$A&amp;'Podium Target Times'!$B:$B, 0))
</f>
        <v>25.61</v>
      </c>
      <c r="L603" s="11">
        <f>K603</f>
        <v>25.61</v>
      </c>
      <c r="M603" s="11" t="str">
        <f t="shared" si="1"/>
        <v>25.61</v>
      </c>
      <c r="N603" s="14">
        <f>IFERROR(__xludf.DUMMYFUNCTION("LET(
  gen,$A603, ev,$B603, t,$M603,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)"),777.0)</f>
        <v>777</v>
      </c>
    </row>
    <row r="604">
      <c r="A604" s="5" t="s">
        <v>295</v>
      </c>
      <c r="B604" s="6" t="s">
        <v>232</v>
      </c>
      <c r="C604" s="6">
        <v>18.0</v>
      </c>
      <c r="D604" s="6">
        <v>1.0</v>
      </c>
      <c r="E604" s="7" t="s">
        <v>495</v>
      </c>
      <c r="F604" s="8">
        <f>IFERROR(__xludf.DUMMYFUNCTION("IF(
  REGEXMATCH(E604, "":""),
  60*VALUE(INDEX(SPLIT(E604, "":""),1,1)) + VALUE(INDEX(SPLIT(E604, "":""),1,2)),
  VALUE(E604)
)"),28.68)</f>
        <v>28.68</v>
      </c>
      <c r="G604" s="8">
        <v>0.0</v>
      </c>
      <c r="H604" s="8">
        <v>0.0</v>
      </c>
      <c r="I604" s="6">
        <f>C604</f>
        <v>18</v>
      </c>
      <c r="J604" s="6">
        <f>C621</f>
        <v>26</v>
      </c>
      <c r="K604" s="6">
        <f t="array" ref="K604">INDEX('Podium Target Times'!$C:$C, MATCH(A604&amp;B604, 'Podium Target Times'!$A:$A&amp;'Podium Target Times'!$B:$B, 0))
</f>
        <v>28.01</v>
      </c>
      <c r="L604" s="8">
        <f>L605+G605</f>
        <v>29.63</v>
      </c>
      <c r="M604" s="6" t="str">
        <f t="shared" si="1"/>
        <v>29.63</v>
      </c>
      <c r="N604" s="9">
        <f>IFERROR(__xludf.DUMMYFUNCTION("LET(
  gen,$A604, ev,$B604, t,$M604,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)"),671.0)</f>
        <v>671</v>
      </c>
    </row>
    <row r="605">
      <c r="A605" s="10" t="s">
        <v>295</v>
      </c>
      <c r="B605" s="11" t="s">
        <v>232</v>
      </c>
      <c r="C605" s="11">
        <v>19.0</v>
      </c>
      <c r="D605" s="11">
        <v>1.0</v>
      </c>
      <c r="E605" s="12" t="s">
        <v>496</v>
      </c>
      <c r="F605" s="13">
        <f>IFERROR(__xludf.DUMMYFUNCTION("IF(
  REGEXMATCH(E605, "":""),
  60*VALUE(INDEX(SPLIT(E605, "":""),1,1)) + VALUE(INDEX(SPLIT(E605, "":""),1,2)),
  VALUE(E605)
)"),28.17)</f>
        <v>28.17</v>
      </c>
      <c r="G605" s="13">
        <f>F604-F605</f>
        <v>0.51</v>
      </c>
      <c r="H605" s="13">
        <v>0.509999999999998</v>
      </c>
      <c r="I605" s="11">
        <f>C604</f>
        <v>18</v>
      </c>
      <c r="J605" s="11">
        <f>C621</f>
        <v>26</v>
      </c>
      <c r="K605" s="11">
        <f t="array" ref="K605">INDEX('Podium Target Times'!$C:$C, MATCH(A605&amp;B605, 'Podium Target Times'!$A:$A&amp;'Podium Target Times'!$B:$B, 0))
</f>
        <v>28.01</v>
      </c>
      <c r="L605" s="13">
        <f>L607+G607</f>
        <v>29.12</v>
      </c>
      <c r="M605" s="11" t="str">
        <f t="shared" si="1"/>
        <v>29.12</v>
      </c>
      <c r="N605" s="14">
        <f>IFERROR(__xludf.DUMMYFUNCTION("LET(
  gen,$A605, ev,$B605, t,$M605,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606">
      <c r="A606" s="5" t="s">
        <v>295</v>
      </c>
      <c r="B606" s="6" t="s">
        <v>232</v>
      </c>
      <c r="C606" s="6">
        <v>19.0</v>
      </c>
      <c r="D606" s="6">
        <v>2.0</v>
      </c>
      <c r="E606" s="7" t="s">
        <v>497</v>
      </c>
      <c r="F606" s="8">
        <f>IFERROR(__xludf.DUMMYFUNCTION("IF(
  REGEXMATCH(E606, "":""),
  60*VALUE(INDEX(SPLIT(E606, "":""),1,1)) + VALUE(INDEX(SPLIT(E606, "":""),1,2)),
  VALUE(E606)
)"),28.4)</f>
        <v>28.4</v>
      </c>
      <c r="G606" s="8">
        <f>F604-F605</f>
        <v>0.51</v>
      </c>
      <c r="H606" s="8">
        <v>0.509999999999998</v>
      </c>
      <c r="I606" s="6">
        <f>C604</f>
        <v>18</v>
      </c>
      <c r="J606" s="6">
        <f>C621</f>
        <v>26</v>
      </c>
      <c r="K606" s="6">
        <f t="array" ref="K606">INDEX('Podium Target Times'!$C:$C, MATCH(A606&amp;B606, 'Podium Target Times'!$A:$A&amp;'Podium Target Times'!$B:$B, 0))
</f>
        <v>28.01</v>
      </c>
      <c r="L606" s="8">
        <f>L607+G607</f>
        <v>29.12</v>
      </c>
      <c r="M606" s="6" t="str">
        <f t="shared" si="1"/>
        <v>29.12</v>
      </c>
      <c r="N606" s="9">
        <f>IFERROR(__xludf.DUMMYFUNCTION("LET(
  gen,$A606, ev,$B606, t,$M606,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)"),707.0)</f>
        <v>707</v>
      </c>
    </row>
    <row r="607">
      <c r="A607" s="10" t="s">
        <v>295</v>
      </c>
      <c r="B607" s="11" t="s">
        <v>232</v>
      </c>
      <c r="C607" s="11">
        <v>20.0</v>
      </c>
      <c r="D607" s="11">
        <v>1.0</v>
      </c>
      <c r="E607" s="12" t="s">
        <v>498</v>
      </c>
      <c r="F607" s="13">
        <f>IFERROR(__xludf.DUMMYFUNCTION("IF(
  REGEXMATCH(E607, "":""),
  60*VALUE(INDEX(SPLIT(E607, "":""),1,1)) + VALUE(INDEX(SPLIT(E607, "":""),1,2)),
  VALUE(E607)
)"),27.79)</f>
        <v>27.79</v>
      </c>
      <c r="G607" s="13">
        <f>average(F605-F607,F606-F608)</f>
        <v>0.385</v>
      </c>
      <c r="H607" s="13">
        <v>0.3849999999999998</v>
      </c>
      <c r="I607" s="11">
        <f>C604</f>
        <v>18</v>
      </c>
      <c r="J607" s="11">
        <f>C621</f>
        <v>26</v>
      </c>
      <c r="K607" s="11">
        <f t="array" ref="K607">INDEX('Podium Target Times'!$C:$C, MATCH(A607&amp;B607, 'Podium Target Times'!$A:$A&amp;'Podium Target Times'!$B:$B, 0))
</f>
        <v>28.01</v>
      </c>
      <c r="L607" s="13">
        <f>L610+G610</f>
        <v>28.735</v>
      </c>
      <c r="M607" s="11" t="str">
        <f t="shared" si="1"/>
        <v>28.74</v>
      </c>
      <c r="N607" s="14">
        <f>IFERROR(__xludf.DUMMYFUNCTION("LET(
  gen,$A607, ev,$B607, t,$M607,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608">
      <c r="A608" s="5" t="s">
        <v>295</v>
      </c>
      <c r="B608" s="6" t="s">
        <v>232</v>
      </c>
      <c r="C608" s="6">
        <v>20.0</v>
      </c>
      <c r="D608" s="6">
        <v>2.0</v>
      </c>
      <c r="E608" s="7" t="s">
        <v>499</v>
      </c>
      <c r="F608" s="8">
        <f>IFERROR(__xludf.DUMMYFUNCTION("IF(
  REGEXMATCH(E608, "":""),
  60*VALUE(INDEX(SPLIT(E608, "":""),1,1)) + VALUE(INDEX(SPLIT(E608, "":""),1,2)),
  VALUE(E608)
)"),28.01)</f>
        <v>28.01</v>
      </c>
      <c r="G608" s="8">
        <f>average(F605-F607,F606-F608)</f>
        <v>0.385</v>
      </c>
      <c r="H608" s="8">
        <v>0.3849999999999998</v>
      </c>
      <c r="I608" s="6">
        <f>C604</f>
        <v>18</v>
      </c>
      <c r="J608" s="6">
        <f>C621</f>
        <v>26</v>
      </c>
      <c r="K608" s="6">
        <f t="array" ref="K608">INDEX('Podium Target Times'!$C:$C, MATCH(A608&amp;B608, 'Podium Target Times'!$A:$A&amp;'Podium Target Times'!$B:$B, 0))
</f>
        <v>28.01</v>
      </c>
      <c r="L608" s="8">
        <f>L610+G610</f>
        <v>28.735</v>
      </c>
      <c r="M608" s="6" t="str">
        <f t="shared" si="1"/>
        <v>28.74</v>
      </c>
      <c r="N608" s="9">
        <f>IFERROR(__xludf.DUMMYFUNCTION("LET(
  gen,$A608, ev,$B608, t,$M608,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609">
      <c r="A609" s="10" t="s">
        <v>295</v>
      </c>
      <c r="B609" s="11" t="s">
        <v>232</v>
      </c>
      <c r="C609" s="11">
        <v>20.0</v>
      </c>
      <c r="D609" s="11">
        <v>3.0</v>
      </c>
      <c r="E609" s="12" t="s">
        <v>500</v>
      </c>
      <c r="F609" s="13">
        <f>IFERROR(__xludf.DUMMYFUNCTION("IF(
  REGEXMATCH(E609, "":""),
  60*VALUE(INDEX(SPLIT(E609, "":""),1,1)) + VALUE(INDEX(SPLIT(E609, "":""),1,2)),
  VALUE(E609)
)"),28.07)</f>
        <v>28.07</v>
      </c>
      <c r="G609" s="13">
        <f>average(F605-F607,F606-F608)</f>
        <v>0.385</v>
      </c>
      <c r="H609" s="13">
        <v>0.3849999999999998</v>
      </c>
      <c r="I609" s="11">
        <f>C604</f>
        <v>18</v>
      </c>
      <c r="J609" s="11">
        <f>C621</f>
        <v>26</v>
      </c>
      <c r="K609" s="11">
        <f t="array" ref="K609">INDEX('Podium Target Times'!$C:$C, MATCH(A609&amp;B609, 'Podium Target Times'!$A:$A&amp;'Podium Target Times'!$B:$B, 0))
</f>
        <v>28.01</v>
      </c>
      <c r="L609" s="13">
        <f>L610+G610</f>
        <v>28.735</v>
      </c>
      <c r="M609" s="11" t="str">
        <f t="shared" si="1"/>
        <v>28.74</v>
      </c>
      <c r="N609" s="14">
        <f>IFERROR(__xludf.DUMMYFUNCTION("LET(
  gen,$A609, ev,$B609, t,$M609,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)"),736.0)</f>
        <v>736</v>
      </c>
    </row>
    <row r="610">
      <c r="A610" s="5" t="s">
        <v>295</v>
      </c>
      <c r="B610" s="6" t="s">
        <v>232</v>
      </c>
      <c r="C610" s="6">
        <v>21.0</v>
      </c>
      <c r="D610" s="6">
        <v>1.0</v>
      </c>
      <c r="E610" s="7" t="s">
        <v>501</v>
      </c>
      <c r="F610" s="8">
        <f>IFERROR(__xludf.DUMMYFUNCTION("IF(
  REGEXMATCH(E610, "":""),
  60*VALUE(INDEX(SPLIT(E610, "":""),1,1)) + VALUE(INDEX(SPLIT(E610, "":""),1,2)),
  VALUE(E610)
)"),27.53)</f>
        <v>27.53</v>
      </c>
      <c r="G610" s="8">
        <f>average(F607-F610,F608-F611,F609-F612)</f>
        <v>0.26</v>
      </c>
      <c r="H610" s="8">
        <v>0.2600000000000004</v>
      </c>
      <c r="I610" s="6">
        <f>C604</f>
        <v>18</v>
      </c>
      <c r="J610" s="6">
        <f>C621</f>
        <v>26</v>
      </c>
      <c r="K610" s="6">
        <f t="array" ref="K610">INDEX('Podium Target Times'!$C:$C, MATCH(A610&amp;B610, 'Podium Target Times'!$A:$A&amp;'Podium Target Times'!$B:$B, 0))
</f>
        <v>28.01</v>
      </c>
      <c r="L610" s="8">
        <f>L613+G613</f>
        <v>28.475</v>
      </c>
      <c r="M610" s="6" t="str">
        <f t="shared" si="1"/>
        <v>28.48</v>
      </c>
      <c r="N610" s="9">
        <f>IFERROR(__xludf.DUMMYFUNCTION("LET(
  gen,$A610, ev,$B610, t,$M610,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611">
      <c r="A611" s="10" t="s">
        <v>295</v>
      </c>
      <c r="B611" s="11" t="s">
        <v>232</v>
      </c>
      <c r="C611" s="11">
        <v>21.0</v>
      </c>
      <c r="D611" s="11">
        <v>2.0</v>
      </c>
      <c r="E611" s="12" t="s">
        <v>502</v>
      </c>
      <c r="F611" s="13">
        <f>IFERROR(__xludf.DUMMYFUNCTION("IF(
  REGEXMATCH(E611, "":""),
  60*VALUE(INDEX(SPLIT(E611, "":""),1,1)) + VALUE(INDEX(SPLIT(E611, "":""),1,2)),
  VALUE(E611)
)"),27.75)</f>
        <v>27.75</v>
      </c>
      <c r="G611" s="13">
        <f>average(F607-F610,F608-F611,F609-F612)</f>
        <v>0.26</v>
      </c>
      <c r="H611" s="13">
        <v>0.2600000000000004</v>
      </c>
      <c r="I611" s="11">
        <f>C604</f>
        <v>18</v>
      </c>
      <c r="J611" s="11">
        <f>C621</f>
        <v>26</v>
      </c>
      <c r="K611" s="11">
        <f t="array" ref="K611">INDEX('Podium Target Times'!$C:$C, MATCH(A611&amp;B611, 'Podium Target Times'!$A:$A&amp;'Podium Target Times'!$B:$B, 0))
</f>
        <v>28.01</v>
      </c>
      <c r="L611" s="13">
        <f>L613+G613</f>
        <v>28.475</v>
      </c>
      <c r="M611" s="11" t="str">
        <f t="shared" si="1"/>
        <v>28.48</v>
      </c>
      <c r="N611" s="14">
        <f>IFERROR(__xludf.DUMMYFUNCTION("LET(
  gen,$A611, ev,$B611, t,$M611,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612">
      <c r="A612" s="5" t="s">
        <v>295</v>
      </c>
      <c r="B612" s="6" t="s">
        <v>232</v>
      </c>
      <c r="C612" s="6">
        <v>21.0</v>
      </c>
      <c r="D612" s="6">
        <v>3.0</v>
      </c>
      <c r="E612" s="7" t="s">
        <v>503</v>
      </c>
      <c r="F612" s="8">
        <f>IFERROR(__xludf.DUMMYFUNCTION("IF(
  REGEXMATCH(E612, "":""),
  60*VALUE(INDEX(SPLIT(E612, "":""),1,1)) + VALUE(INDEX(SPLIT(E612, "":""),1,2)),
  VALUE(E612)
)"),27.81)</f>
        <v>27.81</v>
      </c>
      <c r="G612" s="8">
        <f>average(F607-F610,F608-F611,F609-F612)</f>
        <v>0.26</v>
      </c>
      <c r="H612" s="8">
        <v>0.2600000000000004</v>
      </c>
      <c r="I612" s="6">
        <f>C604</f>
        <v>18</v>
      </c>
      <c r="J612" s="6">
        <f>C621</f>
        <v>26</v>
      </c>
      <c r="K612" s="6">
        <f t="array" ref="K612">INDEX('Podium Target Times'!$C:$C, MATCH(A612&amp;B612, 'Podium Target Times'!$A:$A&amp;'Podium Target Times'!$B:$B, 0))
</f>
        <v>28.01</v>
      </c>
      <c r="L612" s="8">
        <f>L613+G613</f>
        <v>28.475</v>
      </c>
      <c r="M612" s="6" t="str">
        <f t="shared" si="1"/>
        <v>28.48</v>
      </c>
      <c r="N612" s="9">
        <f>IFERROR(__xludf.DUMMYFUNCTION("LET(
  gen,$A612, ev,$B612, t,$M612,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)"),756.0)</f>
        <v>756</v>
      </c>
    </row>
    <row r="613">
      <c r="A613" s="10" t="s">
        <v>295</v>
      </c>
      <c r="B613" s="11" t="s">
        <v>232</v>
      </c>
      <c r="C613" s="11">
        <v>22.0</v>
      </c>
      <c r="D613" s="11">
        <v>1.0</v>
      </c>
      <c r="E613" s="12" t="s">
        <v>504</v>
      </c>
      <c r="F613" s="13">
        <f>IFERROR(__xludf.DUMMYFUNCTION("IF(
  REGEXMATCH(E613, "":""),
  60*VALUE(INDEX(SPLIT(E613, "":""),1,1)) + VALUE(INDEX(SPLIT(E613, "":""),1,2)),
  VALUE(E613)
)"),27.33)</f>
        <v>27.33</v>
      </c>
      <c r="G613" s="13">
        <f>average(F610-F613,F611-F614,F612-F615)</f>
        <v>0.2</v>
      </c>
      <c r="H613" s="13">
        <v>0.20000000000000048</v>
      </c>
      <c r="I613" s="11">
        <f>C604</f>
        <v>18</v>
      </c>
      <c r="J613" s="11">
        <f>C621</f>
        <v>26</v>
      </c>
      <c r="K613" s="11">
        <f t="array" ref="K613">INDEX('Podium Target Times'!$C:$C, MATCH(A613&amp;B613, 'Podium Target Times'!$A:$A&amp;'Podium Target Times'!$B:$B, 0))
</f>
        <v>28.01</v>
      </c>
      <c r="L613" s="13">
        <f>L616+G616</f>
        <v>28.275</v>
      </c>
      <c r="M613" s="11" t="str">
        <f t="shared" si="1"/>
        <v>28.28</v>
      </c>
      <c r="N613" s="14">
        <f>IFERROR(__xludf.DUMMYFUNCTION("LET(
  gen,$A613, ev,$B613, t,$M613,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614">
      <c r="A614" s="5" t="s">
        <v>295</v>
      </c>
      <c r="B614" s="6" t="s">
        <v>232</v>
      </c>
      <c r="C614" s="6">
        <v>22.0</v>
      </c>
      <c r="D614" s="6">
        <v>2.0</v>
      </c>
      <c r="E614" s="7" t="s">
        <v>505</v>
      </c>
      <c r="F614" s="8">
        <f>IFERROR(__xludf.DUMMYFUNCTION("IF(
  REGEXMATCH(E614, "":""),
  60*VALUE(INDEX(SPLIT(E614, "":""),1,1)) + VALUE(INDEX(SPLIT(E614, "":""),1,2)),
  VALUE(E614)
)"),27.55)</f>
        <v>27.55</v>
      </c>
      <c r="G614" s="8">
        <f>average(F610-F613,F611-F614,F612-F615)</f>
        <v>0.2</v>
      </c>
      <c r="H614" s="8">
        <v>0.20000000000000048</v>
      </c>
      <c r="I614" s="6">
        <f>C604</f>
        <v>18</v>
      </c>
      <c r="J614" s="6">
        <f>C621</f>
        <v>26</v>
      </c>
      <c r="K614" s="6">
        <f t="array" ref="K614">INDEX('Podium Target Times'!$C:$C, MATCH(A614&amp;B614, 'Podium Target Times'!$A:$A&amp;'Podium Target Times'!$B:$B, 0))
</f>
        <v>28.01</v>
      </c>
      <c r="L614" s="8">
        <f>L616+G616</f>
        <v>28.275</v>
      </c>
      <c r="M614" s="6" t="str">
        <f t="shared" si="1"/>
        <v>28.28</v>
      </c>
      <c r="N614" s="9">
        <f>IFERROR(__xludf.DUMMYFUNCTION("LET(
  gen,$A614, ev,$B614, t,$M614,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615">
      <c r="A615" s="10" t="s">
        <v>295</v>
      </c>
      <c r="B615" s="11" t="s">
        <v>232</v>
      </c>
      <c r="C615" s="11">
        <v>22.0</v>
      </c>
      <c r="D615" s="11">
        <v>3.0</v>
      </c>
      <c r="E615" s="12" t="s">
        <v>506</v>
      </c>
      <c r="F615" s="13">
        <f>IFERROR(__xludf.DUMMYFUNCTION("IF(
  REGEXMATCH(E615, "":""),
  60*VALUE(INDEX(SPLIT(E615, "":""),1,1)) + VALUE(INDEX(SPLIT(E615, "":""),1,2)),
  VALUE(E615)
)"),27.61)</f>
        <v>27.61</v>
      </c>
      <c r="G615" s="13">
        <f>average(F610-F613,F611-F614,F612-F615)</f>
        <v>0.2</v>
      </c>
      <c r="H615" s="13">
        <v>0.20000000000000048</v>
      </c>
      <c r="I615" s="11">
        <f>C604</f>
        <v>18</v>
      </c>
      <c r="J615" s="11">
        <f>C621</f>
        <v>26</v>
      </c>
      <c r="K615" s="11">
        <f t="array" ref="K615">INDEX('Podium Target Times'!$C:$C, MATCH(A615&amp;B615, 'Podium Target Times'!$A:$A&amp;'Podium Target Times'!$B:$B, 0))
</f>
        <v>28.01</v>
      </c>
      <c r="L615" s="13">
        <f>L616+G616</f>
        <v>28.275</v>
      </c>
      <c r="M615" s="11" t="str">
        <f t="shared" si="1"/>
        <v>28.28</v>
      </c>
      <c r="N615" s="14">
        <f>IFERROR(__xludf.DUMMYFUNCTION("LET(
  gen,$A615, ev,$B615, t,$M615,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)"),772.0)</f>
        <v>772</v>
      </c>
    </row>
    <row r="616">
      <c r="A616" s="5" t="s">
        <v>295</v>
      </c>
      <c r="B616" s="6" t="s">
        <v>232</v>
      </c>
      <c r="C616" s="6">
        <v>23.0</v>
      </c>
      <c r="D616" s="6">
        <v>2.0</v>
      </c>
      <c r="E616" s="7" t="s">
        <v>507</v>
      </c>
      <c r="F616" s="8">
        <f>IFERROR(__xludf.DUMMYFUNCTION("IF(
  REGEXMATCH(E616, "":""),
  60*VALUE(INDEX(SPLIT(E616, "":""),1,1)) + VALUE(INDEX(SPLIT(E616, "":""),1,2)),
  VALUE(E616)
)"),27.41)</f>
        <v>27.41</v>
      </c>
      <c r="G616" s="8">
        <f>average(F614-F616,F615-F617)</f>
        <v>0.14</v>
      </c>
      <c r="H616" s="8">
        <v>0.14000000000000057</v>
      </c>
      <c r="I616" s="6">
        <f>C604</f>
        <v>18</v>
      </c>
      <c r="J616" s="6">
        <f>C621</f>
        <v>26</v>
      </c>
      <c r="K616" s="6">
        <f t="array" ref="K616">INDEX('Podium Target Times'!$C:$C, MATCH(A616&amp;B616, 'Podium Target Times'!$A:$A&amp;'Podium Target Times'!$B:$B, 0))
</f>
        <v>28.01</v>
      </c>
      <c r="L616" s="8">
        <f>L618+G618</f>
        <v>28.135</v>
      </c>
      <c r="M616" s="6" t="str">
        <f t="shared" si="1"/>
        <v>28.14</v>
      </c>
      <c r="N616" s="9">
        <f>IFERROR(__xludf.DUMMYFUNCTION("LET(
  gen,$A616, ev,$B616, t,$M616,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617">
      <c r="A617" s="10" t="s">
        <v>295</v>
      </c>
      <c r="B617" s="11" t="s">
        <v>232</v>
      </c>
      <c r="C617" s="11">
        <v>23.0</v>
      </c>
      <c r="D617" s="11">
        <v>3.0</v>
      </c>
      <c r="E617" s="12" t="s">
        <v>508</v>
      </c>
      <c r="F617" s="13">
        <f>IFERROR(__xludf.DUMMYFUNCTION("IF(
  REGEXMATCH(E617, "":""),
  60*VALUE(INDEX(SPLIT(E617, "":""),1,1)) + VALUE(INDEX(SPLIT(E617, "":""),1,2)),
  VALUE(E617)
)"),27.47)</f>
        <v>27.47</v>
      </c>
      <c r="G617" s="13">
        <f>average(F614-F616,F615-F617)</f>
        <v>0.14</v>
      </c>
      <c r="H617" s="13">
        <v>0.14000000000000057</v>
      </c>
      <c r="I617" s="11">
        <f>C604</f>
        <v>18</v>
      </c>
      <c r="J617" s="11">
        <f>C621</f>
        <v>26</v>
      </c>
      <c r="K617" s="11">
        <f t="array" ref="K617">INDEX('Podium Target Times'!$C:$C, MATCH(A617&amp;B617, 'Podium Target Times'!$A:$A&amp;'Podium Target Times'!$B:$B, 0))
</f>
        <v>28.01</v>
      </c>
      <c r="L617" s="13">
        <f>L618+G618</f>
        <v>28.135</v>
      </c>
      <c r="M617" s="11" t="str">
        <f t="shared" si="1"/>
        <v>28.14</v>
      </c>
      <c r="N617" s="14">
        <f>IFERROR(__xludf.DUMMYFUNCTION("LET(
  gen,$A617, ev,$B617, t,$M617,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)"),784.0)</f>
        <v>784</v>
      </c>
    </row>
    <row r="618">
      <c r="A618" s="5" t="s">
        <v>295</v>
      </c>
      <c r="B618" s="6" t="s">
        <v>232</v>
      </c>
      <c r="C618" s="6">
        <v>24.0</v>
      </c>
      <c r="D618" s="6">
        <v>2.0</v>
      </c>
      <c r="E618" s="7" t="s">
        <v>504</v>
      </c>
      <c r="F618" s="8">
        <f>IFERROR(__xludf.DUMMYFUNCTION("IF(
  REGEXMATCH(E618, "":""),
  60*VALUE(INDEX(SPLIT(E618, "":""),1,1)) + VALUE(INDEX(SPLIT(E618, "":""),1,2)),
  VALUE(E618)
)"),27.33)</f>
        <v>27.33</v>
      </c>
      <c r="G618" s="8">
        <f>average(F616-F618,F617-F619)</f>
        <v>0.085</v>
      </c>
      <c r="H618" s="8">
        <v>0.08500000000000085</v>
      </c>
      <c r="I618" s="6">
        <f>C604</f>
        <v>18</v>
      </c>
      <c r="J618" s="6">
        <f>C621</f>
        <v>26</v>
      </c>
      <c r="K618" s="6">
        <f t="array" ref="K618">INDEX('Podium Target Times'!$C:$C, MATCH(A618&amp;B618, 'Podium Target Times'!$A:$A&amp;'Podium Target Times'!$B:$B, 0))
</f>
        <v>28.01</v>
      </c>
      <c r="L618" s="8">
        <f>L620+G620</f>
        <v>28.05</v>
      </c>
      <c r="M618" s="6" t="str">
        <f t="shared" si="1"/>
        <v>28.05</v>
      </c>
      <c r="N618" s="9">
        <f>IFERROR(__xludf.DUMMYFUNCTION("LET(
  gen,$A618, ev,$B618, t,$M618,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)"),791.0)</f>
        <v>791</v>
      </c>
    </row>
    <row r="619">
      <c r="A619" s="10" t="s">
        <v>295</v>
      </c>
      <c r="B619" s="11" t="s">
        <v>232</v>
      </c>
      <c r="C619" s="11">
        <v>24.0</v>
      </c>
      <c r="D619" s="11">
        <v>3.0</v>
      </c>
      <c r="E619" s="12" t="s">
        <v>509</v>
      </c>
      <c r="F619" s="13">
        <f>IFERROR(__xludf.DUMMYFUNCTION("IF(
  REGEXMATCH(E619, "":""),
  60*VALUE(INDEX(SPLIT(E619, "":""),1,1)) + VALUE(INDEX(SPLIT(E619, "":""),1,2)),
  VALUE(E619)
)"),27.38)</f>
        <v>27.38</v>
      </c>
      <c r="G619" s="13">
        <f>average(F616-F618,F617-F619)</f>
        <v>0.085</v>
      </c>
      <c r="H619" s="13">
        <v>0.08500000000000085</v>
      </c>
      <c r="I619" s="11">
        <f>C604</f>
        <v>18</v>
      </c>
      <c r="J619" s="11">
        <f>C621</f>
        <v>26</v>
      </c>
      <c r="K619" s="11">
        <f t="array" ref="K619">INDEX('Podium Target Times'!$C:$C, MATCH(A619&amp;B619, 'Podium Target Times'!$A:$A&amp;'Podium Target Times'!$B:$B, 0))
</f>
        <v>28.01</v>
      </c>
      <c r="L619" s="13">
        <f>L620+G620</f>
        <v>28.05</v>
      </c>
      <c r="M619" s="11" t="str">
        <f t="shared" si="1"/>
        <v>28.05</v>
      </c>
      <c r="N619" s="14">
        <f>IFERROR(__xludf.DUMMYFUNCTION("LET(
  gen,$A619, ev,$B619, t,$M619,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)"),791.0)</f>
        <v>791</v>
      </c>
    </row>
    <row r="620">
      <c r="A620" s="5" t="s">
        <v>295</v>
      </c>
      <c r="B620" s="6" t="s">
        <v>232</v>
      </c>
      <c r="C620" s="6">
        <v>25.0</v>
      </c>
      <c r="D620" s="6">
        <v>3.0</v>
      </c>
      <c r="E620" s="7" t="s">
        <v>510</v>
      </c>
      <c r="F620" s="8">
        <f>IFERROR(__xludf.DUMMYFUNCTION("IF(
  REGEXMATCH(E620, "":""),
  60*VALUE(INDEX(SPLIT(E620, "":""),1,1)) + VALUE(INDEX(SPLIT(E620, "":""),1,2)),
  VALUE(E620)
)"),27.34)</f>
        <v>27.34</v>
      </c>
      <c r="G620" s="8">
        <f t="shared" ref="G620:G621" si="63">F619-F620</f>
        <v>0.04</v>
      </c>
      <c r="H620" s="8">
        <v>0.03999999999999915</v>
      </c>
      <c r="I620" s="6">
        <f>C604</f>
        <v>18</v>
      </c>
      <c r="J620" s="6">
        <f>C621</f>
        <v>26</v>
      </c>
      <c r="K620" s="6">
        <f t="array" ref="K620">INDEX('Podium Target Times'!$C:$C, MATCH(A620&amp;B620, 'Podium Target Times'!$A:$A&amp;'Podium Target Times'!$B:$B, 0))
</f>
        <v>28.01</v>
      </c>
      <c r="L620" s="6">
        <f t="shared" ref="L620:L621" si="64">K620</f>
        <v>28.01</v>
      </c>
      <c r="M620" s="6" t="str">
        <f t="shared" si="1"/>
        <v>28.01</v>
      </c>
      <c r="N620" s="9">
        <f>IFERROR(__xludf.DUMMYFUNCTION("LET(
  gen,$A620, ev,$B620, t,$M620,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)"),795.0)</f>
        <v>795</v>
      </c>
    </row>
    <row r="621">
      <c r="A621" s="10" t="s">
        <v>295</v>
      </c>
      <c r="B621" s="11" t="s">
        <v>232</v>
      </c>
      <c r="C621" s="11">
        <v>26.0</v>
      </c>
      <c r="D621" s="11">
        <v>3.0</v>
      </c>
      <c r="E621" s="12" t="s">
        <v>504</v>
      </c>
      <c r="F621" s="13">
        <f>IFERROR(__xludf.DUMMYFUNCTION("IF(
  REGEXMATCH(E621, "":""),
  60*VALUE(INDEX(SPLIT(E621, "":""),1,1)) + VALUE(INDEX(SPLIT(E621, "":""),1,2)),
  VALUE(E621)
)"),27.33)</f>
        <v>27.33</v>
      </c>
      <c r="G621" s="13">
        <f t="shared" si="63"/>
        <v>0.01</v>
      </c>
      <c r="H621" s="13">
        <v>0.010000000000001563</v>
      </c>
      <c r="I621" s="11">
        <f>C604</f>
        <v>18</v>
      </c>
      <c r="J621" s="11">
        <f>C621</f>
        <v>26</v>
      </c>
      <c r="K621" s="11">
        <f t="array" ref="K621">INDEX('Podium Target Times'!$C:$C, MATCH(A621&amp;B621, 'Podium Target Times'!$A:$A&amp;'Podium Target Times'!$B:$B, 0))
</f>
        <v>28.01</v>
      </c>
      <c r="L621" s="11">
        <f t="shared" si="64"/>
        <v>28.01</v>
      </c>
      <c r="M621" s="11" t="str">
        <f t="shared" si="1"/>
        <v>28.01</v>
      </c>
      <c r="N621" s="14">
        <f>IFERROR(__xludf.DUMMYFUNCTION("LET(
  gen,$A621, ev,$B621, t,$M621,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)"),795.0)</f>
        <v>795</v>
      </c>
    </row>
    <row r="622">
      <c r="A622" s="5" t="s">
        <v>295</v>
      </c>
      <c r="B622" s="6" t="s">
        <v>248</v>
      </c>
      <c r="C622" s="6">
        <v>17.0</v>
      </c>
      <c r="D622" s="6">
        <v>1.0</v>
      </c>
      <c r="E622" s="7" t="s">
        <v>511</v>
      </c>
      <c r="F622" s="8">
        <f>IFERROR(__xludf.DUMMYFUNCTION("IF(
  REGEXMATCH(E622, "":""),
  60*VALUE(INDEX(SPLIT(E622, "":""),1,1)) + VALUE(INDEX(SPLIT(E622, "":""),1,2)),
  VALUE(E622)
)"),24.61)</f>
        <v>24.61</v>
      </c>
      <c r="G622" s="8">
        <v>0.0</v>
      </c>
      <c r="H622" s="8">
        <v>0.0</v>
      </c>
      <c r="I622" s="6">
        <f>C622</f>
        <v>17</v>
      </c>
      <c r="J622" s="6">
        <f>C639</f>
        <v>25</v>
      </c>
      <c r="K622" s="6">
        <f t="array" ref="K622">INDEX('Podium Target Times'!$C:$C, MATCH(A622&amp;B622, 'Podium Target Times'!$A:$A&amp;'Podium Target Times'!$B:$B, 0))
</f>
        <v>23.89</v>
      </c>
      <c r="L622" s="8">
        <f>L623+G623</f>
        <v>25.42333333</v>
      </c>
      <c r="M622" s="6" t="str">
        <f t="shared" si="1"/>
        <v>25.42</v>
      </c>
      <c r="N622" s="9">
        <f>IFERROR(__xludf.DUMMYFUNCTION("LET(
  gen,$A622, ev,$B622, t,$M622,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)"),672.0)</f>
        <v>672</v>
      </c>
    </row>
    <row r="623">
      <c r="A623" s="10" t="s">
        <v>295</v>
      </c>
      <c r="B623" s="11" t="s">
        <v>248</v>
      </c>
      <c r="C623" s="11">
        <v>18.0</v>
      </c>
      <c r="D623" s="11">
        <v>1.0</v>
      </c>
      <c r="E623" s="12" t="s">
        <v>512</v>
      </c>
      <c r="F623" s="13">
        <f>IFERROR(__xludf.DUMMYFUNCTION("IF(
  REGEXMATCH(E623, "":""),
  60*VALUE(INDEX(SPLIT(E623, "":""),1,1)) + VALUE(INDEX(SPLIT(E623, "":""),1,2)),
  VALUE(E623)
)"),24.1)</f>
        <v>24.1</v>
      </c>
      <c r="G623" s="13">
        <f>F622-F623</f>
        <v>0.51</v>
      </c>
      <c r="H623" s="13">
        <v>0.509999999999998</v>
      </c>
      <c r="I623" s="11">
        <f>C622</f>
        <v>17</v>
      </c>
      <c r="J623" s="11">
        <f>C639</f>
        <v>25</v>
      </c>
      <c r="K623" s="11">
        <f t="array" ref="K623">INDEX('Podium Target Times'!$C:$C, MATCH(A623&amp;B623, 'Podium Target Times'!$A:$A&amp;'Podium Target Times'!$B:$B, 0))
</f>
        <v>23.89</v>
      </c>
      <c r="L623" s="13">
        <f>L625+G625</f>
        <v>24.91333333</v>
      </c>
      <c r="M623" s="11" t="str">
        <f t="shared" si="1"/>
        <v>24.91</v>
      </c>
      <c r="N623" s="14">
        <f>IFERROR(__xludf.DUMMYFUNCTION("LET(
  gen,$A623, ev,$B623, t,$M623,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624">
      <c r="A624" s="5" t="s">
        <v>295</v>
      </c>
      <c r="B624" s="6" t="s">
        <v>248</v>
      </c>
      <c r="C624" s="6">
        <v>18.0</v>
      </c>
      <c r="D624" s="6">
        <v>2.0</v>
      </c>
      <c r="E624" s="7" t="s">
        <v>513</v>
      </c>
      <c r="F624" s="8">
        <f>IFERROR(__xludf.DUMMYFUNCTION("IF(
  REGEXMATCH(E624, "":""),
  60*VALUE(INDEX(SPLIT(E624, "":""),1,1)) + VALUE(INDEX(SPLIT(E624, "":""),1,2)),
  VALUE(E624)
)"),24.31)</f>
        <v>24.31</v>
      </c>
      <c r="G624" s="8">
        <f>F622-F623</f>
        <v>0.51</v>
      </c>
      <c r="H624" s="8">
        <v>0.509999999999998</v>
      </c>
      <c r="I624" s="6">
        <f>C622</f>
        <v>17</v>
      </c>
      <c r="J624" s="6">
        <f>C639</f>
        <v>25</v>
      </c>
      <c r="K624" s="6">
        <f t="array" ref="K624">INDEX('Podium Target Times'!$C:$C, MATCH(A624&amp;B624, 'Podium Target Times'!$A:$A&amp;'Podium Target Times'!$B:$B, 0))
</f>
        <v>23.89</v>
      </c>
      <c r="L624" s="8">
        <f>L625+G625</f>
        <v>24.91333333</v>
      </c>
      <c r="M624" s="6" t="str">
        <f t="shared" si="1"/>
        <v>24.91</v>
      </c>
      <c r="N624" s="9">
        <f>IFERROR(__xludf.DUMMYFUNCTION("LET(
  gen,$A624, ev,$B624, t,$M624,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)"),714.0)</f>
        <v>714</v>
      </c>
    </row>
    <row r="625">
      <c r="A625" s="10" t="s">
        <v>295</v>
      </c>
      <c r="B625" s="11" t="s">
        <v>248</v>
      </c>
      <c r="C625" s="11">
        <v>19.0</v>
      </c>
      <c r="D625" s="11">
        <v>1.0</v>
      </c>
      <c r="E625" s="12" t="s">
        <v>514</v>
      </c>
      <c r="F625" s="13">
        <f>IFERROR(__xludf.DUMMYFUNCTION("IF(
  REGEXMATCH(E625, "":""),
  60*VALUE(INDEX(SPLIT(E625, "":""),1,1)) + VALUE(INDEX(SPLIT(E625, "":""),1,2)),
  VALUE(E625)
)"),23.75)</f>
        <v>23.75</v>
      </c>
      <c r="G625" s="13">
        <f>average(F623-F625,F624-F626)</f>
        <v>0.35</v>
      </c>
      <c r="H625" s="13">
        <v>0.34999999999999964</v>
      </c>
      <c r="I625" s="11">
        <f>C622</f>
        <v>17</v>
      </c>
      <c r="J625" s="11">
        <f>C639</f>
        <v>25</v>
      </c>
      <c r="K625" s="11">
        <f t="array" ref="K625">INDEX('Podium Target Times'!$C:$C, MATCH(A625&amp;B625, 'Podium Target Times'!$A:$A&amp;'Podium Target Times'!$B:$B, 0))
</f>
        <v>23.89</v>
      </c>
      <c r="L625" s="13">
        <f>L628+G628</f>
        <v>24.56333333</v>
      </c>
      <c r="M625" s="11" t="str">
        <f t="shared" si="1"/>
        <v>24.56</v>
      </c>
      <c r="N625" s="14">
        <f>IFERROR(__xludf.DUMMYFUNCTION("LET(
  gen,$A625, ev,$B625, t,$M625,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26">
      <c r="A626" s="5" t="s">
        <v>295</v>
      </c>
      <c r="B626" s="6" t="s">
        <v>248</v>
      </c>
      <c r="C626" s="6">
        <v>19.0</v>
      </c>
      <c r="D626" s="6">
        <v>2.0</v>
      </c>
      <c r="E626" s="7" t="s">
        <v>515</v>
      </c>
      <c r="F626" s="8">
        <f>IFERROR(__xludf.DUMMYFUNCTION("IF(
  REGEXMATCH(E626, "":""),
  60*VALUE(INDEX(SPLIT(E626, "":""),1,1)) + VALUE(INDEX(SPLIT(E626, "":""),1,2)),
  VALUE(E626)
)"),23.96)</f>
        <v>23.96</v>
      </c>
      <c r="G626" s="8">
        <f>average(F623-F625,F624-F626)</f>
        <v>0.35</v>
      </c>
      <c r="H626" s="8">
        <v>0.34999999999999964</v>
      </c>
      <c r="I626" s="6">
        <f>C622</f>
        <v>17</v>
      </c>
      <c r="J626" s="6">
        <f>C639</f>
        <v>25</v>
      </c>
      <c r="K626" s="6">
        <f t="array" ref="K626">INDEX('Podium Target Times'!$C:$C, MATCH(A626&amp;B626, 'Podium Target Times'!$A:$A&amp;'Podium Target Times'!$B:$B, 0))
</f>
        <v>23.89</v>
      </c>
      <c r="L626" s="8">
        <f>L628+G628</f>
        <v>24.56333333</v>
      </c>
      <c r="M626" s="6" t="str">
        <f t="shared" si="1"/>
        <v>24.56</v>
      </c>
      <c r="N626" s="9">
        <f>IFERROR(__xludf.DUMMYFUNCTION("LET(
  gen,$A626, ev,$B626, t,$M626,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27">
      <c r="A627" s="10" t="s">
        <v>295</v>
      </c>
      <c r="B627" s="11" t="s">
        <v>248</v>
      </c>
      <c r="C627" s="11">
        <v>19.0</v>
      </c>
      <c r="D627" s="11">
        <v>3.0</v>
      </c>
      <c r="E627" s="12" t="s">
        <v>516</v>
      </c>
      <c r="F627" s="13">
        <f>IFERROR(__xludf.DUMMYFUNCTION("IF(
  REGEXMATCH(E627, "":""),
  60*VALUE(INDEX(SPLIT(E627, "":""),1,1)) + VALUE(INDEX(SPLIT(E627, "":""),1,2)),
  VALUE(E627)
)"),24.04)</f>
        <v>24.04</v>
      </c>
      <c r="G627" s="13">
        <f>average(F623-F625,F624-F626)</f>
        <v>0.35</v>
      </c>
      <c r="H627" s="13">
        <v>0.34999999999999964</v>
      </c>
      <c r="I627" s="11">
        <f>C622</f>
        <v>17</v>
      </c>
      <c r="J627" s="11">
        <f>C639</f>
        <v>25</v>
      </c>
      <c r="K627" s="11">
        <f t="array" ref="K627">INDEX('Podium Target Times'!$C:$C, MATCH(A627&amp;B627, 'Podium Target Times'!$A:$A&amp;'Podium Target Times'!$B:$B, 0))
</f>
        <v>23.89</v>
      </c>
      <c r="L627" s="13">
        <f>L628+G628</f>
        <v>24.56333333</v>
      </c>
      <c r="M627" s="11" t="str">
        <f t="shared" si="1"/>
        <v>24.56</v>
      </c>
      <c r="N627" s="14">
        <f>IFERROR(__xludf.DUMMYFUNCTION("LET(
  gen,$A627, ev,$B627, t,$M627,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28">
      <c r="A628" s="5" t="s">
        <v>295</v>
      </c>
      <c r="B628" s="6" t="s">
        <v>248</v>
      </c>
      <c r="C628" s="6">
        <v>20.0</v>
      </c>
      <c r="D628" s="6">
        <v>1.0</v>
      </c>
      <c r="E628" s="7" t="s">
        <v>517</v>
      </c>
      <c r="F628" s="8">
        <f>IFERROR(__xludf.DUMMYFUNCTION("IF(
  REGEXMATCH(E628, "":""),
  60*VALUE(INDEX(SPLIT(E628, "":""),1,1)) + VALUE(INDEX(SPLIT(E628, "":""),1,2)),
  VALUE(E628)
)"),23.52)</f>
        <v>23.52</v>
      </c>
      <c r="G628" s="8">
        <f>average(F625-F628,F626-F629,F627-F630)</f>
        <v>0.23</v>
      </c>
      <c r="H628" s="8">
        <v>0.23000000000000043</v>
      </c>
      <c r="I628" s="6">
        <f>C622</f>
        <v>17</v>
      </c>
      <c r="J628" s="6">
        <f>C639</f>
        <v>25</v>
      </c>
      <c r="K628" s="6">
        <f t="array" ref="K628">INDEX('Podium Target Times'!$C:$C, MATCH(A628&amp;B628, 'Podium Target Times'!$A:$A&amp;'Podium Target Times'!$B:$B, 0))
</f>
        <v>23.89</v>
      </c>
      <c r="L628" s="8">
        <f>L631+G631</f>
        <v>24.33333333</v>
      </c>
      <c r="M628" s="6" t="str">
        <f t="shared" si="1"/>
        <v>24.33</v>
      </c>
      <c r="N628" s="9">
        <f>IFERROR(__xludf.DUMMYFUNCTION("LET(
  gen,$A628, ev,$B628, t,$M628,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629">
      <c r="A629" s="10" t="s">
        <v>295</v>
      </c>
      <c r="B629" s="11" t="s">
        <v>248</v>
      </c>
      <c r="C629" s="11">
        <v>20.0</v>
      </c>
      <c r="D629" s="11">
        <v>2.0</v>
      </c>
      <c r="E629" s="12" t="s">
        <v>518</v>
      </c>
      <c r="F629" s="13">
        <f>IFERROR(__xludf.DUMMYFUNCTION("IF(
  REGEXMATCH(E629, "":""),
  60*VALUE(INDEX(SPLIT(E629, "":""),1,1)) + VALUE(INDEX(SPLIT(E629, "":""),1,2)),
  VALUE(E629)
)"),23.73)</f>
        <v>23.73</v>
      </c>
      <c r="G629" s="13">
        <f>average(F625-F628,F626-F629,F627-F630)</f>
        <v>0.23</v>
      </c>
      <c r="H629" s="13">
        <v>0.23000000000000043</v>
      </c>
      <c r="I629" s="11">
        <f>C622</f>
        <v>17</v>
      </c>
      <c r="J629" s="11">
        <f>C639</f>
        <v>25</v>
      </c>
      <c r="K629" s="11">
        <f t="array" ref="K629">INDEX('Podium Target Times'!$C:$C, MATCH(A629&amp;B629, 'Podium Target Times'!$A:$A&amp;'Podium Target Times'!$B:$B, 0))
</f>
        <v>23.89</v>
      </c>
      <c r="L629" s="13">
        <f>L631+G631</f>
        <v>24.33333333</v>
      </c>
      <c r="M629" s="11" t="str">
        <f t="shared" si="1"/>
        <v>24.33</v>
      </c>
      <c r="N629" s="14">
        <f>IFERROR(__xludf.DUMMYFUNCTION("LET(
  gen,$A629, ev,$B629, t,$M629,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630">
      <c r="A630" s="5" t="s">
        <v>295</v>
      </c>
      <c r="B630" s="6" t="s">
        <v>248</v>
      </c>
      <c r="C630" s="6">
        <v>20.0</v>
      </c>
      <c r="D630" s="6">
        <v>3.0</v>
      </c>
      <c r="E630" s="7" t="s">
        <v>519</v>
      </c>
      <c r="F630" s="8">
        <f>IFERROR(__xludf.DUMMYFUNCTION("IF(
  REGEXMATCH(E630, "":""),
  60*VALUE(INDEX(SPLIT(E630, "":""),1,1)) + VALUE(INDEX(SPLIT(E630, "":""),1,2)),
  VALUE(E630)
)"),23.81)</f>
        <v>23.81</v>
      </c>
      <c r="G630" s="8">
        <f>average(F625-F628,F626-F629,F627-F630)</f>
        <v>0.23</v>
      </c>
      <c r="H630" s="8">
        <v>0.23000000000000043</v>
      </c>
      <c r="I630" s="6">
        <f>C622</f>
        <v>17</v>
      </c>
      <c r="J630" s="6">
        <f>C639</f>
        <v>25</v>
      </c>
      <c r="K630" s="6">
        <f t="array" ref="K630">INDEX('Podium Target Times'!$C:$C, MATCH(A630&amp;B630, 'Podium Target Times'!$A:$A&amp;'Podium Target Times'!$B:$B, 0))
</f>
        <v>23.89</v>
      </c>
      <c r="L630" s="8">
        <f>L631+G631</f>
        <v>24.33333333</v>
      </c>
      <c r="M630" s="6" t="str">
        <f t="shared" si="1"/>
        <v>24.33</v>
      </c>
      <c r="N630" s="9">
        <f>IFERROR(__xludf.DUMMYFUNCTION("LET(
  gen,$A630, ev,$B630, t,$M630,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631">
      <c r="A631" s="10" t="s">
        <v>295</v>
      </c>
      <c r="B631" s="11" t="s">
        <v>248</v>
      </c>
      <c r="C631" s="11">
        <v>21.0</v>
      </c>
      <c r="D631" s="11">
        <v>1.0</v>
      </c>
      <c r="E631" s="12" t="s">
        <v>520</v>
      </c>
      <c r="F631" s="13">
        <f>IFERROR(__xludf.DUMMYFUNCTION("IF(
  REGEXMATCH(E631, "":""),
  60*VALUE(INDEX(SPLIT(E631, "":""),1,1)) + VALUE(INDEX(SPLIT(E631, "":""),1,2)),
  VALUE(E631)
)"),23.36)</f>
        <v>23.36</v>
      </c>
      <c r="G631" s="13">
        <f>average(F628-F631,F629-F632,F630-F633)</f>
        <v>0.1633333333</v>
      </c>
      <c r="H631" s="13">
        <v>0.1633333333333328</v>
      </c>
      <c r="I631" s="11">
        <f>C622</f>
        <v>17</v>
      </c>
      <c r="J631" s="11">
        <f>C639</f>
        <v>25</v>
      </c>
      <c r="K631" s="11">
        <f t="array" ref="K631">INDEX('Podium Target Times'!$C:$C, MATCH(A631&amp;B631, 'Podium Target Times'!$A:$A&amp;'Podium Target Times'!$B:$B, 0))
</f>
        <v>23.89</v>
      </c>
      <c r="L631" s="13">
        <f>L634+G634</f>
        <v>24.17</v>
      </c>
      <c r="M631" s="11" t="str">
        <f t="shared" si="1"/>
        <v>24.17</v>
      </c>
      <c r="N631" s="14">
        <f>IFERROR(__xludf.DUMMYFUNCTION("LET(
  gen,$A631, ev,$B631, t,$M631,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)"),782.0)</f>
        <v>782</v>
      </c>
    </row>
    <row r="632">
      <c r="A632" s="5" t="s">
        <v>295</v>
      </c>
      <c r="B632" s="6" t="s">
        <v>248</v>
      </c>
      <c r="C632" s="6">
        <v>21.0</v>
      </c>
      <c r="D632" s="6">
        <v>2.0</v>
      </c>
      <c r="E632" s="7" t="s">
        <v>521</v>
      </c>
      <c r="F632" s="8">
        <f>IFERROR(__xludf.DUMMYFUNCTION("IF(
  REGEXMATCH(E632, "":""),
  60*VALUE(INDEX(SPLIT(E632, "":""),1,1)) + VALUE(INDEX(SPLIT(E632, "":""),1,2)),
  VALUE(E632)
)"),23.57)</f>
        <v>23.57</v>
      </c>
      <c r="G632" s="8">
        <f>average(F628-F631,F629-F632,F630-F633)</f>
        <v>0.1633333333</v>
      </c>
      <c r="H632" s="8">
        <v>0.1633333333333328</v>
      </c>
      <c r="I632" s="6">
        <f>C622</f>
        <v>17</v>
      </c>
      <c r="J632" s="6">
        <f>C639</f>
        <v>25</v>
      </c>
      <c r="K632" s="6">
        <f t="array" ref="K632">INDEX('Podium Target Times'!$C:$C, MATCH(A632&amp;B632, 'Podium Target Times'!$A:$A&amp;'Podium Target Times'!$B:$B, 0))
</f>
        <v>23.89</v>
      </c>
      <c r="L632" s="8">
        <f>L634+G634</f>
        <v>24.17</v>
      </c>
      <c r="M632" s="6" t="str">
        <f t="shared" si="1"/>
        <v>24.17</v>
      </c>
      <c r="N632" s="9">
        <f>IFERROR(__xludf.DUMMYFUNCTION("LET(
  gen,$A632, ev,$B632, t,$M632,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)"),782.0)</f>
        <v>782</v>
      </c>
    </row>
    <row r="633">
      <c r="A633" s="10" t="s">
        <v>295</v>
      </c>
      <c r="B633" s="11" t="s">
        <v>248</v>
      </c>
      <c r="C633" s="11">
        <v>21.0</v>
      </c>
      <c r="D633" s="11">
        <v>3.0</v>
      </c>
      <c r="E633" s="12" t="s">
        <v>522</v>
      </c>
      <c r="F633" s="13">
        <f>IFERROR(__xludf.DUMMYFUNCTION("IF(
  REGEXMATCH(E633, "":""),
  60*VALUE(INDEX(SPLIT(E633, "":""),1,1)) + VALUE(INDEX(SPLIT(E633, "":""),1,2)),
  VALUE(E633)
)"),23.64)</f>
        <v>23.64</v>
      </c>
      <c r="G633" s="13">
        <f>average(F628-F631,F629-F632,F630-F633)</f>
        <v>0.1633333333</v>
      </c>
      <c r="H633" s="13">
        <v>0.1633333333333328</v>
      </c>
      <c r="I633" s="11">
        <f>C622</f>
        <v>17</v>
      </c>
      <c r="J633" s="11">
        <f>C639</f>
        <v>25</v>
      </c>
      <c r="K633" s="11">
        <f t="array" ref="K633">INDEX('Podium Target Times'!$C:$C, MATCH(A633&amp;B633, 'Podium Target Times'!$A:$A&amp;'Podium Target Times'!$B:$B, 0))
</f>
        <v>23.89</v>
      </c>
      <c r="L633" s="13">
        <f>L634+G634</f>
        <v>24.17</v>
      </c>
      <c r="M633" s="11" t="str">
        <f t="shared" si="1"/>
        <v>24.17</v>
      </c>
      <c r="N633" s="14">
        <f>IFERROR(__xludf.DUMMYFUNCTION("LET(
  gen,$A633, ev,$B633, t,$M633,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)"),782.0)</f>
        <v>782</v>
      </c>
    </row>
    <row r="634">
      <c r="A634" s="5" t="s">
        <v>295</v>
      </c>
      <c r="B634" s="6" t="s">
        <v>248</v>
      </c>
      <c r="C634" s="6">
        <v>22.0</v>
      </c>
      <c r="D634" s="6">
        <v>2.0</v>
      </c>
      <c r="E634" s="7" t="s">
        <v>523</v>
      </c>
      <c r="F634" s="8">
        <f>IFERROR(__xludf.DUMMYFUNCTION("IF(
  REGEXMATCH(E634, "":""),
  60*VALUE(INDEX(SPLIT(E634, "":""),1,1)) + VALUE(INDEX(SPLIT(E634, "":""),1,2)),
  VALUE(E634)
)"),23.45)</f>
        <v>23.45</v>
      </c>
      <c r="G634" s="8">
        <f>average(F632-F634,F633-F635)</f>
        <v>0.12</v>
      </c>
      <c r="H634" s="8">
        <v>0.120000000000001</v>
      </c>
      <c r="I634" s="6">
        <f>C622</f>
        <v>17</v>
      </c>
      <c r="J634" s="6">
        <f>C639</f>
        <v>25</v>
      </c>
      <c r="K634" s="6">
        <f t="array" ref="K634">INDEX('Podium Target Times'!$C:$C, MATCH(A634&amp;B634, 'Podium Target Times'!$A:$A&amp;'Podium Target Times'!$B:$B, 0))
</f>
        <v>23.89</v>
      </c>
      <c r="L634" s="8">
        <f>L636+G636</f>
        <v>24.05</v>
      </c>
      <c r="M634" s="6" t="str">
        <f t="shared" si="1"/>
        <v>24.05</v>
      </c>
      <c r="N634" s="9">
        <f>IFERROR(__xludf.DUMMYFUNCTION("LET(
  gen,$A634, ev,$B634, t,$M634,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)"),793.0)</f>
        <v>793</v>
      </c>
    </row>
    <row r="635">
      <c r="A635" s="10" t="s">
        <v>295</v>
      </c>
      <c r="B635" s="11" t="s">
        <v>248</v>
      </c>
      <c r="C635" s="11">
        <v>22.0</v>
      </c>
      <c r="D635" s="11">
        <v>3.0</v>
      </c>
      <c r="E635" s="12" t="s">
        <v>517</v>
      </c>
      <c r="F635" s="13">
        <f>IFERROR(__xludf.DUMMYFUNCTION("IF(
  REGEXMATCH(E635, "":""),
  60*VALUE(INDEX(SPLIT(E635, "":""),1,1)) + VALUE(INDEX(SPLIT(E635, "":""),1,2)),
  VALUE(E635)
)"),23.52)</f>
        <v>23.52</v>
      </c>
      <c r="G635" s="13">
        <f>average(F632-F634,F633-F635)</f>
        <v>0.12</v>
      </c>
      <c r="H635" s="13">
        <v>0.120000000000001</v>
      </c>
      <c r="I635" s="11">
        <f>C622</f>
        <v>17</v>
      </c>
      <c r="J635" s="11">
        <f>C639</f>
        <v>25</v>
      </c>
      <c r="K635" s="11">
        <f t="array" ref="K635">INDEX('Podium Target Times'!$C:$C, MATCH(A635&amp;B635, 'Podium Target Times'!$A:$A&amp;'Podium Target Times'!$B:$B, 0))
</f>
        <v>23.89</v>
      </c>
      <c r="L635" s="13">
        <f>L636+G636</f>
        <v>24.05</v>
      </c>
      <c r="M635" s="11" t="str">
        <f t="shared" si="1"/>
        <v>24.05</v>
      </c>
      <c r="N635" s="14">
        <f>IFERROR(__xludf.DUMMYFUNCTION("LET(
  gen,$A635, ev,$B635, t,$M635,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)"),793.0)</f>
        <v>793</v>
      </c>
    </row>
    <row r="636">
      <c r="A636" s="5" t="s">
        <v>295</v>
      </c>
      <c r="B636" s="6" t="s">
        <v>248</v>
      </c>
      <c r="C636" s="6">
        <v>23.0</v>
      </c>
      <c r="D636" s="6">
        <v>2.0</v>
      </c>
      <c r="E636" s="7" t="s">
        <v>520</v>
      </c>
      <c r="F636" s="8">
        <f>IFERROR(__xludf.DUMMYFUNCTION("IF(
  REGEXMATCH(E636, "":""),
  60*VALUE(INDEX(SPLIT(E636, "":""),1,1)) + VALUE(INDEX(SPLIT(E636, "":""),1,2)),
  VALUE(E636)
)"),23.36)</f>
        <v>23.36</v>
      </c>
      <c r="G636" s="8">
        <f>average(F634-F636,F635-F637)</f>
        <v>0.09</v>
      </c>
      <c r="H636" s="8">
        <v>0.08999999999999986</v>
      </c>
      <c r="I636" s="6">
        <f>C622</f>
        <v>17</v>
      </c>
      <c r="J636" s="6">
        <f>C639</f>
        <v>25</v>
      </c>
      <c r="K636" s="6">
        <f t="array" ref="K636">INDEX('Podium Target Times'!$C:$C, MATCH(A636&amp;B636, 'Podium Target Times'!$A:$A&amp;'Podium Target Times'!$B:$B, 0))
</f>
        <v>23.89</v>
      </c>
      <c r="L636" s="8">
        <f>L638+G638</f>
        <v>23.96</v>
      </c>
      <c r="M636" s="6" t="str">
        <f t="shared" si="1"/>
        <v>23.96</v>
      </c>
      <c r="N636" s="9">
        <f>IFERROR(__xludf.DUMMYFUNCTION("LET(
  gen,$A636, ev,$B636, t,$M636,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)"),802.0)</f>
        <v>802</v>
      </c>
    </row>
    <row r="637">
      <c r="A637" s="10" t="s">
        <v>295</v>
      </c>
      <c r="B637" s="11" t="s">
        <v>248</v>
      </c>
      <c r="C637" s="11">
        <v>23.0</v>
      </c>
      <c r="D637" s="11">
        <v>3.0</v>
      </c>
      <c r="E637" s="12" t="s">
        <v>524</v>
      </c>
      <c r="F637" s="13">
        <f>IFERROR(__xludf.DUMMYFUNCTION("IF(
  REGEXMATCH(E637, "":""),
  60*VALUE(INDEX(SPLIT(E637, "":""),1,1)) + VALUE(INDEX(SPLIT(E637, "":""),1,2)),
  VALUE(E637)
)"),23.43)</f>
        <v>23.43</v>
      </c>
      <c r="G637" s="13">
        <f>average(F634-F636,F635-F637)</f>
        <v>0.09</v>
      </c>
      <c r="H637" s="13">
        <v>0.08999999999999986</v>
      </c>
      <c r="I637" s="11">
        <f>C622</f>
        <v>17</v>
      </c>
      <c r="J637" s="11">
        <f>C639</f>
        <v>25</v>
      </c>
      <c r="K637" s="11">
        <f t="array" ref="K637">INDEX('Podium Target Times'!$C:$C, MATCH(A637&amp;B637, 'Podium Target Times'!$A:$A&amp;'Podium Target Times'!$B:$B, 0))
</f>
        <v>23.89</v>
      </c>
      <c r="L637" s="13">
        <f t="shared" ref="L637:L638" si="65">L638+G638</f>
        <v>23.96</v>
      </c>
      <c r="M637" s="11" t="str">
        <f t="shared" si="1"/>
        <v>23.96</v>
      </c>
      <c r="N637" s="14">
        <f>IFERROR(__xludf.DUMMYFUNCTION("LET(
  gen,$A637, ev,$B637, t,$M637,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)"),802.0)</f>
        <v>802</v>
      </c>
    </row>
    <row r="638">
      <c r="A638" s="5" t="s">
        <v>295</v>
      </c>
      <c r="B638" s="6" t="s">
        <v>248</v>
      </c>
      <c r="C638" s="6">
        <v>24.0</v>
      </c>
      <c r="D638" s="6">
        <v>3.0</v>
      </c>
      <c r="E638" s="7" t="s">
        <v>525</v>
      </c>
      <c r="F638" s="8">
        <f>IFERROR(__xludf.DUMMYFUNCTION("IF(
  REGEXMATCH(E638, "":""),
  60*VALUE(INDEX(SPLIT(E638, "":""),1,1)) + VALUE(INDEX(SPLIT(E638, "":""),1,2)),
  VALUE(E638)
)"),23.38)</f>
        <v>23.38</v>
      </c>
      <c r="G638" s="8">
        <f t="shared" ref="G638:G639" si="66">F637-F638</f>
        <v>0.05</v>
      </c>
      <c r="H638" s="8">
        <v>0.05000000000000071</v>
      </c>
      <c r="I638" s="6">
        <f>C622</f>
        <v>17</v>
      </c>
      <c r="J638" s="6">
        <f>C639</f>
        <v>25</v>
      </c>
      <c r="K638" s="6">
        <f t="array" ref="K638">INDEX('Podium Target Times'!$C:$C, MATCH(A638&amp;B638, 'Podium Target Times'!$A:$A&amp;'Podium Target Times'!$B:$B, 0))
</f>
        <v>23.89</v>
      </c>
      <c r="L638" s="8">
        <f t="shared" si="65"/>
        <v>23.91</v>
      </c>
      <c r="M638" s="6" t="str">
        <f t="shared" si="1"/>
        <v>23.91</v>
      </c>
      <c r="N638" s="9">
        <f>IFERROR(__xludf.DUMMYFUNCTION("LET(
  gen,$A638, ev,$B638, t,$M638,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)"),808.0)</f>
        <v>808</v>
      </c>
    </row>
    <row r="639">
      <c r="A639" s="10" t="s">
        <v>295</v>
      </c>
      <c r="B639" s="11" t="s">
        <v>248</v>
      </c>
      <c r="C639" s="11">
        <v>25.0</v>
      </c>
      <c r="D639" s="11">
        <v>3.0</v>
      </c>
      <c r="E639" s="12" t="s">
        <v>520</v>
      </c>
      <c r="F639" s="13">
        <f>IFERROR(__xludf.DUMMYFUNCTION("IF(
  REGEXMATCH(E639, "":""),
  60*VALUE(INDEX(SPLIT(E639, "":""),1,1)) + VALUE(INDEX(SPLIT(E639, "":""),1,2)),
  VALUE(E639)
)"),23.36)</f>
        <v>23.36</v>
      </c>
      <c r="G639" s="13">
        <f t="shared" si="66"/>
        <v>0.02</v>
      </c>
      <c r="H639" s="13">
        <v>0.019999999999999574</v>
      </c>
      <c r="I639" s="11">
        <f>C622</f>
        <v>17</v>
      </c>
      <c r="J639" s="11">
        <f>C639</f>
        <v>25</v>
      </c>
      <c r="K639" s="11">
        <f t="array" ref="K639">INDEX('Podium Target Times'!$C:$C, MATCH(A639&amp;B639, 'Podium Target Times'!$A:$A&amp;'Podium Target Times'!$B:$B, 0))
</f>
        <v>23.89</v>
      </c>
      <c r="L639" s="11">
        <f>K639</f>
        <v>23.89</v>
      </c>
      <c r="M639" s="11" t="str">
        <f t="shared" si="1"/>
        <v>23.89</v>
      </c>
      <c r="N639" s="14">
        <f>IFERROR(__xludf.DUMMYFUNCTION("LET(
  gen,$A639, ev,$B639, t,$M639,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)"),810.0)</f>
        <v>810</v>
      </c>
    </row>
    <row r="640">
      <c r="A640" s="5" t="s">
        <v>295</v>
      </c>
      <c r="B640" s="6" t="s">
        <v>263</v>
      </c>
      <c r="C640" s="6">
        <v>17.0</v>
      </c>
      <c r="D640" s="6">
        <v>1.0</v>
      </c>
      <c r="E640" s="7" t="s">
        <v>526</v>
      </c>
      <c r="F640" s="8">
        <f>IFERROR(__xludf.DUMMYFUNCTION("IF(
  REGEXMATCH(E640, "":""),
  60*VALUE(INDEX(SPLIT(E640, "":""),1,1)) + VALUE(INDEX(SPLIT(E640, "":""),1,2)),
  VALUE(E640)
)"),23.44)</f>
        <v>23.44</v>
      </c>
      <c r="G640" s="8">
        <v>0.0</v>
      </c>
      <c r="H640" s="8">
        <v>0.0</v>
      </c>
      <c r="I640" s="6">
        <f>C640</f>
        <v>17</v>
      </c>
      <c r="J640" s="6">
        <f>C657</f>
        <v>25</v>
      </c>
      <c r="K640" s="6">
        <f t="array" ref="K640">INDEX('Podium Target Times'!$C:$C, MATCH(A640&amp;B640, 'Podium Target Times'!$A:$A&amp;'Podium Target Times'!$B:$B, 0))
</f>
        <v>22.84</v>
      </c>
      <c r="L640" s="8">
        <f>L641+G641</f>
        <v>24.45</v>
      </c>
      <c r="M640" s="6" t="str">
        <f t="shared" si="1"/>
        <v>24.45</v>
      </c>
      <c r="N640" s="9">
        <f>IFERROR(__xludf.DUMMYFUNCTION("LET(
  gen,$A640, ev,$B640, t,$M640,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)"),625.0)</f>
        <v>625</v>
      </c>
    </row>
    <row r="641">
      <c r="A641" s="10" t="s">
        <v>295</v>
      </c>
      <c r="B641" s="11" t="s">
        <v>263</v>
      </c>
      <c r="C641" s="11">
        <v>18.0</v>
      </c>
      <c r="D641" s="11">
        <v>1.0</v>
      </c>
      <c r="E641" s="12" t="s">
        <v>527</v>
      </c>
      <c r="F641" s="13">
        <f>IFERROR(__xludf.DUMMYFUNCTION("IF(
  REGEXMATCH(E641, "":""),
  60*VALUE(INDEX(SPLIT(E641, "":""),1,1)) + VALUE(INDEX(SPLIT(E641, "":""),1,2)),
  VALUE(E641)
)"),22.91)</f>
        <v>22.91</v>
      </c>
      <c r="G641" s="13">
        <f>F640-F641</f>
        <v>0.53</v>
      </c>
      <c r="H641" s="13">
        <v>0.5300000000000011</v>
      </c>
      <c r="I641" s="11">
        <f>C640</f>
        <v>17</v>
      </c>
      <c r="J641" s="11">
        <f>C657</f>
        <v>25</v>
      </c>
      <c r="K641" s="11">
        <f t="array" ref="K641">INDEX('Podium Target Times'!$C:$C, MATCH(A641&amp;B641, 'Podium Target Times'!$A:$A&amp;'Podium Target Times'!$B:$B, 0))
</f>
        <v>22.84</v>
      </c>
      <c r="L641" s="13">
        <f>L643+G643</f>
        <v>23.92</v>
      </c>
      <c r="M641" s="11" t="str">
        <f t="shared" si="1"/>
        <v>23.92</v>
      </c>
      <c r="N641" s="14">
        <f>IFERROR(__xludf.DUMMYFUNCTION("LET(
  gen,$A641, ev,$B641, t,$M641,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642">
      <c r="A642" s="5" t="s">
        <v>295</v>
      </c>
      <c r="B642" s="6" t="s">
        <v>263</v>
      </c>
      <c r="C642" s="6">
        <v>18.0</v>
      </c>
      <c r="D642" s="6">
        <v>2.0</v>
      </c>
      <c r="E642" s="7" t="s">
        <v>528</v>
      </c>
      <c r="F642" s="8">
        <f>IFERROR(__xludf.DUMMYFUNCTION("IF(
  REGEXMATCH(E642, "":""),
  60*VALUE(INDEX(SPLIT(E642, "":""),1,1)) + VALUE(INDEX(SPLIT(E642, "":""),1,2)),
  VALUE(E642)
)"),23.09)</f>
        <v>23.09</v>
      </c>
      <c r="G642" s="8">
        <f>F640-F641</f>
        <v>0.53</v>
      </c>
      <c r="H642" s="8">
        <v>0.5300000000000011</v>
      </c>
      <c r="I642" s="6">
        <f>C640</f>
        <v>17</v>
      </c>
      <c r="J642" s="6">
        <f>C657</f>
        <v>25</v>
      </c>
      <c r="K642" s="6">
        <f t="array" ref="K642">INDEX('Podium Target Times'!$C:$C, MATCH(A642&amp;B642, 'Podium Target Times'!$A:$A&amp;'Podium Target Times'!$B:$B, 0))
</f>
        <v>22.84</v>
      </c>
      <c r="L642" s="8">
        <f>L643+G643</f>
        <v>23.92</v>
      </c>
      <c r="M642" s="6" t="str">
        <f t="shared" si="1"/>
        <v>23.92</v>
      </c>
      <c r="N642" s="9">
        <f>IFERROR(__xludf.DUMMYFUNCTION("LET(
  gen,$A642, ev,$B642, t,$M642,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)"),668.0)</f>
        <v>668</v>
      </c>
    </row>
    <row r="643">
      <c r="A643" s="10" t="s">
        <v>295</v>
      </c>
      <c r="B643" s="11" t="s">
        <v>263</v>
      </c>
      <c r="C643" s="11">
        <v>19.0</v>
      </c>
      <c r="D643" s="11">
        <v>1.0</v>
      </c>
      <c r="E643" s="12" t="s">
        <v>529</v>
      </c>
      <c r="F643" s="13">
        <f>IFERROR(__xludf.DUMMYFUNCTION("IF(
  REGEXMATCH(E643, "":""),
  60*VALUE(INDEX(SPLIT(E643, "":""),1,1)) + VALUE(INDEX(SPLIT(E643, "":""),1,2)),
  VALUE(E643)
)"),22.52)</f>
        <v>22.52</v>
      </c>
      <c r="G643" s="13">
        <f>average(F641-F643,F642-F644)</f>
        <v>0.395</v>
      </c>
      <c r="H643" s="13">
        <v>0.3949999999999996</v>
      </c>
      <c r="I643" s="11">
        <f>C640</f>
        <v>17</v>
      </c>
      <c r="J643" s="11">
        <f>C657</f>
        <v>25</v>
      </c>
      <c r="K643" s="11">
        <f t="array" ref="K643">INDEX('Podium Target Times'!$C:$C, MATCH(A643&amp;B643, 'Podium Target Times'!$A:$A&amp;'Podium Target Times'!$B:$B, 0))
</f>
        <v>22.84</v>
      </c>
      <c r="L643" s="13">
        <f>L646+G646</f>
        <v>23.525</v>
      </c>
      <c r="M643" s="11" t="str">
        <f t="shared" si="1"/>
        <v>23.53</v>
      </c>
      <c r="N643" s="14">
        <f>IFERROR(__xludf.DUMMYFUNCTION("LET(
  gen,$A643, ev,$B643, t,$M643,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644">
      <c r="A644" s="5" t="s">
        <v>295</v>
      </c>
      <c r="B644" s="6" t="s">
        <v>263</v>
      </c>
      <c r="C644" s="6">
        <v>19.0</v>
      </c>
      <c r="D644" s="6">
        <v>2.0</v>
      </c>
      <c r="E644" s="7" t="s">
        <v>530</v>
      </c>
      <c r="F644" s="8">
        <f>IFERROR(__xludf.DUMMYFUNCTION("IF(
  REGEXMATCH(E644, "":""),
  60*VALUE(INDEX(SPLIT(E644, "":""),1,1)) + VALUE(INDEX(SPLIT(E644, "":""),1,2)),
  VALUE(E644)
)"),22.69)</f>
        <v>22.69</v>
      </c>
      <c r="G644" s="8">
        <f>average(F641-F643,F642-F644)</f>
        <v>0.395</v>
      </c>
      <c r="H644" s="8">
        <v>0.3949999999999996</v>
      </c>
      <c r="I644" s="6">
        <f>C640</f>
        <v>17</v>
      </c>
      <c r="J644" s="6">
        <f>C657</f>
        <v>25</v>
      </c>
      <c r="K644" s="6">
        <f t="array" ref="K644">INDEX('Podium Target Times'!$C:$C, MATCH(A644&amp;B644, 'Podium Target Times'!$A:$A&amp;'Podium Target Times'!$B:$B, 0))
</f>
        <v>22.84</v>
      </c>
      <c r="L644" s="8">
        <f>L646+G646</f>
        <v>23.525</v>
      </c>
      <c r="M644" s="6" t="str">
        <f t="shared" si="1"/>
        <v>23.53</v>
      </c>
      <c r="N644" s="9">
        <f>IFERROR(__xludf.DUMMYFUNCTION("LET(
  gen,$A644, ev,$B644, t,$M644,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645">
      <c r="A645" s="10" t="s">
        <v>295</v>
      </c>
      <c r="B645" s="11" t="s">
        <v>263</v>
      </c>
      <c r="C645" s="11">
        <v>19.0</v>
      </c>
      <c r="D645" s="11">
        <v>3.0</v>
      </c>
      <c r="E645" s="12" t="s">
        <v>531</v>
      </c>
      <c r="F645" s="13">
        <f>IFERROR(__xludf.DUMMYFUNCTION("IF(
  REGEXMATCH(E645, "":""),
  60*VALUE(INDEX(SPLIT(E645, "":""),1,1)) + VALUE(INDEX(SPLIT(E645, "":""),1,2)),
  VALUE(E645)
)"),22.74)</f>
        <v>22.74</v>
      </c>
      <c r="G645" s="13">
        <f>average(F641-F643,F642-F644)</f>
        <v>0.395</v>
      </c>
      <c r="H645" s="13">
        <v>0.3949999999999996</v>
      </c>
      <c r="I645" s="11">
        <f>C640</f>
        <v>17</v>
      </c>
      <c r="J645" s="11">
        <f>C657</f>
        <v>25</v>
      </c>
      <c r="K645" s="11">
        <f t="array" ref="K645">INDEX('Podium Target Times'!$C:$C, MATCH(A645&amp;B645, 'Podium Target Times'!$A:$A&amp;'Podium Target Times'!$B:$B, 0))
</f>
        <v>22.84</v>
      </c>
      <c r="L645" s="13">
        <f>L646+G646</f>
        <v>23.525</v>
      </c>
      <c r="M645" s="11" t="str">
        <f t="shared" si="1"/>
        <v>23.53</v>
      </c>
      <c r="N645" s="14">
        <f>IFERROR(__xludf.DUMMYFUNCTION("LET(
  gen,$A645, ev,$B645, t,$M645,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)"),701.0)</f>
        <v>701</v>
      </c>
    </row>
    <row r="646">
      <c r="A646" s="5" t="s">
        <v>295</v>
      </c>
      <c r="B646" s="6" t="s">
        <v>263</v>
      </c>
      <c r="C646" s="6">
        <v>20.0</v>
      </c>
      <c r="D646" s="6">
        <v>1.0</v>
      </c>
      <c r="E646" s="7" t="s">
        <v>532</v>
      </c>
      <c r="F646" s="8">
        <f>IFERROR(__xludf.DUMMYFUNCTION("IF(
  REGEXMATCH(E646, "":""),
  60*VALUE(INDEX(SPLIT(E646, "":""),1,1)) + VALUE(INDEX(SPLIT(E646, "":""),1,2)),
  VALUE(E646)
)"),22.24)</f>
        <v>22.24</v>
      </c>
      <c r="G646" s="8">
        <f>average(F643-F646,F644-F647,F645-F648)</f>
        <v>0.28</v>
      </c>
      <c r="H646" s="8">
        <v>0.27999999999999997</v>
      </c>
      <c r="I646" s="6">
        <f>C640</f>
        <v>17</v>
      </c>
      <c r="J646" s="6">
        <f>C657</f>
        <v>25</v>
      </c>
      <c r="K646" s="6">
        <f t="array" ref="K646">INDEX('Podium Target Times'!$C:$C, MATCH(A646&amp;B646, 'Podium Target Times'!$A:$A&amp;'Podium Target Times'!$B:$B, 0))
</f>
        <v>22.84</v>
      </c>
      <c r="L646" s="8">
        <f>L649+G649</f>
        <v>23.245</v>
      </c>
      <c r="M646" s="6" t="str">
        <f t="shared" si="1"/>
        <v>23.25</v>
      </c>
      <c r="N646" s="9">
        <f>IFERROR(__xludf.DUMMYFUNCTION("LET(
  gen,$A646, ev,$B646, t,$M646,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647">
      <c r="A647" s="10" t="s">
        <v>295</v>
      </c>
      <c r="B647" s="11" t="s">
        <v>263</v>
      </c>
      <c r="C647" s="11">
        <v>20.0</v>
      </c>
      <c r="D647" s="11">
        <v>2.0</v>
      </c>
      <c r="E647" s="12" t="s">
        <v>533</v>
      </c>
      <c r="F647" s="13">
        <f>IFERROR(__xludf.DUMMYFUNCTION("IF(
  REGEXMATCH(E647, "":""),
  60*VALUE(INDEX(SPLIT(E647, "":""),1,1)) + VALUE(INDEX(SPLIT(E647, "":""),1,2)),
  VALUE(E647)
)"),22.41)</f>
        <v>22.41</v>
      </c>
      <c r="G647" s="13">
        <f>average(F643-F646,F644-F647,F645-F648)</f>
        <v>0.28</v>
      </c>
      <c r="H647" s="13">
        <v>0.27999999999999997</v>
      </c>
      <c r="I647" s="11">
        <f>C640</f>
        <v>17</v>
      </c>
      <c r="J647" s="11">
        <f>C657</f>
        <v>25</v>
      </c>
      <c r="K647" s="11">
        <f t="array" ref="K647">INDEX('Podium Target Times'!$C:$C, MATCH(A647&amp;B647, 'Podium Target Times'!$A:$A&amp;'Podium Target Times'!$B:$B, 0))
</f>
        <v>22.84</v>
      </c>
      <c r="L647" s="13">
        <f>L649+G649</f>
        <v>23.245</v>
      </c>
      <c r="M647" s="11" t="str">
        <f t="shared" si="1"/>
        <v>23.25</v>
      </c>
      <c r="N647" s="14">
        <f>IFERROR(__xludf.DUMMYFUNCTION("LET(
  gen,$A647, ev,$B647, t,$M647,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648">
      <c r="A648" s="5" t="s">
        <v>295</v>
      </c>
      <c r="B648" s="6" t="s">
        <v>263</v>
      </c>
      <c r="C648" s="6">
        <v>20.0</v>
      </c>
      <c r="D648" s="6">
        <v>3.0</v>
      </c>
      <c r="E648" s="7" t="s">
        <v>534</v>
      </c>
      <c r="F648" s="8">
        <f>IFERROR(__xludf.DUMMYFUNCTION("IF(
  REGEXMATCH(E648, "":""),
  60*VALUE(INDEX(SPLIT(E648, "":""),1,1)) + VALUE(INDEX(SPLIT(E648, "":""),1,2)),
  VALUE(E648)
)"),22.46)</f>
        <v>22.46</v>
      </c>
      <c r="G648" s="8">
        <f>average(F643-F646,F644-F647,F645-F648)</f>
        <v>0.28</v>
      </c>
      <c r="H648" s="8">
        <v>0.27999999999999997</v>
      </c>
      <c r="I648" s="6">
        <f>C640</f>
        <v>17</v>
      </c>
      <c r="J648" s="6">
        <f>C657</f>
        <v>25</v>
      </c>
      <c r="K648" s="6">
        <f t="array" ref="K648">INDEX('Podium Target Times'!$C:$C, MATCH(A648&amp;B648, 'Podium Target Times'!$A:$A&amp;'Podium Target Times'!$B:$B, 0))
</f>
        <v>22.84</v>
      </c>
      <c r="L648" s="8">
        <f>L649+G649</f>
        <v>23.245</v>
      </c>
      <c r="M648" s="6" t="str">
        <f t="shared" si="1"/>
        <v>23.25</v>
      </c>
      <c r="N648" s="9">
        <f>IFERROR(__xludf.DUMMYFUNCTION("LET(
  gen,$A648, ev,$B648, t,$M648,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)"),727.0)</f>
        <v>727</v>
      </c>
    </row>
    <row r="649">
      <c r="A649" s="10" t="s">
        <v>295</v>
      </c>
      <c r="B649" s="11" t="s">
        <v>263</v>
      </c>
      <c r="C649" s="11">
        <v>21.0</v>
      </c>
      <c r="D649" s="11">
        <v>1.0</v>
      </c>
      <c r="E649" s="12" t="s">
        <v>535</v>
      </c>
      <c r="F649" s="13">
        <f>IFERROR(__xludf.DUMMYFUNCTION("IF(
  REGEXMATCH(E649, "":""),
  60*VALUE(INDEX(SPLIT(E649, "":""),1,1)) + VALUE(INDEX(SPLIT(E649, "":""),1,2)),
  VALUE(E649)
)"),22.05)</f>
        <v>22.05</v>
      </c>
      <c r="G649" s="13">
        <f>average(F646-F649,F647-F650,F648-F651)</f>
        <v>0.19</v>
      </c>
      <c r="H649" s="13">
        <v>0.19000000000000009</v>
      </c>
      <c r="I649" s="11">
        <f>C640</f>
        <v>17</v>
      </c>
      <c r="J649" s="11">
        <f>C657</f>
        <v>25</v>
      </c>
      <c r="K649" s="11">
        <f t="array" ref="K649">INDEX('Podium Target Times'!$C:$C, MATCH(A649&amp;B649, 'Podium Target Times'!$A:$A&amp;'Podium Target Times'!$B:$B, 0))
</f>
        <v>22.84</v>
      </c>
      <c r="L649" s="13">
        <f>L652+G652</f>
        <v>23.055</v>
      </c>
      <c r="M649" s="11" t="str">
        <f t="shared" si="1"/>
        <v>23.06</v>
      </c>
      <c r="N649" s="14">
        <f>IFERROR(__xludf.DUMMYFUNCTION("LET(
  gen,$A649, ev,$B649, t,$M649,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50">
      <c r="A650" s="5" t="s">
        <v>295</v>
      </c>
      <c r="B650" s="6" t="s">
        <v>263</v>
      </c>
      <c r="C650" s="6">
        <v>21.0</v>
      </c>
      <c r="D650" s="6">
        <v>2.0</v>
      </c>
      <c r="E650" s="7" t="s">
        <v>536</v>
      </c>
      <c r="F650" s="8">
        <f>IFERROR(__xludf.DUMMYFUNCTION("IF(
  REGEXMATCH(E650, "":""),
  60*VALUE(INDEX(SPLIT(E650, "":""),1,1)) + VALUE(INDEX(SPLIT(E650, "":""),1,2)),
  VALUE(E650)
)"),22.22)</f>
        <v>22.22</v>
      </c>
      <c r="G650" s="8">
        <f>average(F646-F649,F647-F650,F648-F651)</f>
        <v>0.19</v>
      </c>
      <c r="H650" s="8">
        <v>0.19000000000000009</v>
      </c>
      <c r="I650" s="6">
        <f>C640</f>
        <v>17</v>
      </c>
      <c r="J650" s="6">
        <f>C657</f>
        <v>25</v>
      </c>
      <c r="K650" s="6">
        <f t="array" ref="K650">INDEX('Podium Target Times'!$C:$C, MATCH(A650&amp;B650, 'Podium Target Times'!$A:$A&amp;'Podium Target Times'!$B:$B, 0))
</f>
        <v>22.84</v>
      </c>
      <c r="L650" s="8">
        <f>L652+G652</f>
        <v>23.055</v>
      </c>
      <c r="M650" s="6" t="str">
        <f t="shared" si="1"/>
        <v>23.06</v>
      </c>
      <c r="N650" s="9">
        <f>IFERROR(__xludf.DUMMYFUNCTION("LET(
  gen,$A650, ev,$B650, t,$M650,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51">
      <c r="A651" s="10" t="s">
        <v>295</v>
      </c>
      <c r="B651" s="11" t="s">
        <v>263</v>
      </c>
      <c r="C651" s="11">
        <v>21.0</v>
      </c>
      <c r="D651" s="11">
        <v>3.0</v>
      </c>
      <c r="E651" s="12" t="s">
        <v>537</v>
      </c>
      <c r="F651" s="13">
        <f>IFERROR(__xludf.DUMMYFUNCTION("IF(
  REGEXMATCH(E651, "":""),
  60*VALUE(INDEX(SPLIT(E651, "":""),1,1)) + VALUE(INDEX(SPLIT(E651, "":""),1,2)),
  VALUE(E651)
)"),22.27)</f>
        <v>22.27</v>
      </c>
      <c r="G651" s="13">
        <f>average(F646-F649,F647-F650,F648-F651)</f>
        <v>0.19</v>
      </c>
      <c r="H651" s="13">
        <v>0.19000000000000009</v>
      </c>
      <c r="I651" s="11">
        <f>C640</f>
        <v>17</v>
      </c>
      <c r="J651" s="11">
        <f>C657</f>
        <v>25</v>
      </c>
      <c r="K651" s="11">
        <f t="array" ref="K651">INDEX('Podium Target Times'!$C:$C, MATCH(A651&amp;B651, 'Podium Target Times'!$A:$A&amp;'Podium Target Times'!$B:$B, 0))
</f>
        <v>22.84</v>
      </c>
      <c r="L651" s="13">
        <f>L652+G652</f>
        <v>23.055</v>
      </c>
      <c r="M651" s="11" t="str">
        <f t="shared" si="1"/>
        <v>23.06</v>
      </c>
      <c r="N651" s="14">
        <f>IFERROR(__xludf.DUMMYFUNCTION("LET(
  gen,$A651, ev,$B651, t,$M651,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)"),745.0)</f>
        <v>745</v>
      </c>
    </row>
    <row r="652">
      <c r="A652" s="5" t="s">
        <v>295</v>
      </c>
      <c r="B652" s="6" t="s">
        <v>263</v>
      </c>
      <c r="C652" s="6">
        <v>22.0</v>
      </c>
      <c r="D652" s="6">
        <v>2.0</v>
      </c>
      <c r="E652" s="7" t="s">
        <v>538</v>
      </c>
      <c r="F652" s="8">
        <f>IFERROR(__xludf.DUMMYFUNCTION("IF(
  REGEXMATCH(E652, "":""),
  60*VALUE(INDEX(SPLIT(E652, "":""),1,1)) + VALUE(INDEX(SPLIT(E652, "":""),1,2)),
  VALUE(E652)
)"),22.11)</f>
        <v>22.11</v>
      </c>
      <c r="G652" s="8">
        <f>average(F650-F652,F651-F653)</f>
        <v>0.115</v>
      </c>
      <c r="H652" s="8">
        <v>0.11500000000000021</v>
      </c>
      <c r="I652" s="6">
        <f>C640</f>
        <v>17</v>
      </c>
      <c r="J652" s="6">
        <f>C657</f>
        <v>25</v>
      </c>
      <c r="K652" s="6">
        <f t="array" ref="K652">INDEX('Podium Target Times'!$C:$C, MATCH(A652&amp;B652, 'Podium Target Times'!$A:$A&amp;'Podium Target Times'!$B:$B, 0))
</f>
        <v>22.84</v>
      </c>
      <c r="L652" s="8">
        <f>L654+G654</f>
        <v>22.94</v>
      </c>
      <c r="M652" s="6" t="str">
        <f t="shared" si="1"/>
        <v>22.94</v>
      </c>
      <c r="N652" s="9">
        <f>IFERROR(__xludf.DUMMYFUNCTION("LET(
  gen,$A652, ev,$B652, t,$M652,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653">
      <c r="A653" s="10" t="s">
        <v>295</v>
      </c>
      <c r="B653" s="11" t="s">
        <v>263</v>
      </c>
      <c r="C653" s="11">
        <v>22.0</v>
      </c>
      <c r="D653" s="11">
        <v>3.0</v>
      </c>
      <c r="E653" s="12" t="s">
        <v>539</v>
      </c>
      <c r="F653" s="13">
        <f>IFERROR(__xludf.DUMMYFUNCTION("IF(
  REGEXMATCH(E653, "":""),
  60*VALUE(INDEX(SPLIT(E653, "":""),1,1)) + VALUE(INDEX(SPLIT(E653, "":""),1,2)),
  VALUE(E653)
)"),22.15)</f>
        <v>22.15</v>
      </c>
      <c r="G653" s="13">
        <f>average(F650-F652,F651-F653)</f>
        <v>0.115</v>
      </c>
      <c r="H653" s="13">
        <v>0.11500000000000021</v>
      </c>
      <c r="I653" s="11">
        <f>C640</f>
        <v>17</v>
      </c>
      <c r="J653" s="11">
        <f>C657</f>
        <v>25</v>
      </c>
      <c r="K653" s="11">
        <f t="array" ref="K653">INDEX('Podium Target Times'!$C:$C, MATCH(A653&amp;B653, 'Podium Target Times'!$A:$A&amp;'Podium Target Times'!$B:$B, 0))
</f>
        <v>22.84</v>
      </c>
      <c r="L653" s="13">
        <f>L654+G654</f>
        <v>22.94</v>
      </c>
      <c r="M653" s="11" t="str">
        <f t="shared" si="1"/>
        <v>22.94</v>
      </c>
      <c r="N653" s="14">
        <f>IFERROR(__xludf.DUMMYFUNCTION("LET(
  gen,$A653, ev,$B653, t,$M653,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)"),757.0)</f>
        <v>757</v>
      </c>
    </row>
    <row r="654">
      <c r="A654" s="5" t="s">
        <v>295</v>
      </c>
      <c r="B654" s="6" t="s">
        <v>263</v>
      </c>
      <c r="C654" s="6">
        <v>23.0</v>
      </c>
      <c r="D654" s="6">
        <v>2.0</v>
      </c>
      <c r="E654" s="7" t="s">
        <v>535</v>
      </c>
      <c r="F654" s="8">
        <f>IFERROR(__xludf.DUMMYFUNCTION("IF(
  REGEXMATCH(E654, "":""),
  60*VALUE(INDEX(SPLIT(E654, "":""),1,1)) + VALUE(INDEX(SPLIT(E654, "":""),1,2)),
  VALUE(E654)
)"),22.05)</f>
        <v>22.05</v>
      </c>
      <c r="G654" s="8">
        <f>average(F652-F654,F653-F655)</f>
        <v>0.06</v>
      </c>
      <c r="H654" s="8">
        <v>0.05999999999999872</v>
      </c>
      <c r="I654" s="6">
        <f>C640</f>
        <v>17</v>
      </c>
      <c r="J654" s="6">
        <f>C657</f>
        <v>25</v>
      </c>
      <c r="K654" s="6">
        <f t="array" ref="K654">INDEX('Podium Target Times'!$C:$C, MATCH(A654&amp;B654, 'Podium Target Times'!$A:$A&amp;'Podium Target Times'!$B:$B, 0))
</f>
        <v>22.84</v>
      </c>
      <c r="L654" s="8">
        <f>L656+G656</f>
        <v>22.88</v>
      </c>
      <c r="M654" s="6" t="str">
        <f t="shared" si="1"/>
        <v>22.88</v>
      </c>
      <c r="N654" s="9">
        <f>IFERROR(__xludf.DUMMYFUNCTION("LET(
  gen,$A654, ev,$B654, t,$M654,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655">
      <c r="A655" s="10" t="s">
        <v>295</v>
      </c>
      <c r="B655" s="11" t="s">
        <v>263</v>
      </c>
      <c r="C655" s="11">
        <v>23.0</v>
      </c>
      <c r="D655" s="11">
        <v>3.0</v>
      </c>
      <c r="E655" s="12" t="s">
        <v>540</v>
      </c>
      <c r="F655" s="13">
        <f>IFERROR(__xludf.DUMMYFUNCTION("IF(
  REGEXMATCH(E655, "":""),
  60*VALUE(INDEX(SPLIT(E655, "":""),1,1)) + VALUE(INDEX(SPLIT(E655, "":""),1,2)),
  VALUE(E655)
)"),22.09)</f>
        <v>22.09</v>
      </c>
      <c r="G655" s="13">
        <f>average(F652-F654,F653-F655)</f>
        <v>0.06</v>
      </c>
      <c r="H655" s="13">
        <v>0.05999999999999872</v>
      </c>
      <c r="I655" s="11">
        <f>C640</f>
        <v>17</v>
      </c>
      <c r="J655" s="11">
        <f>C657</f>
        <v>25</v>
      </c>
      <c r="K655" s="11">
        <f t="array" ref="K655">INDEX('Podium Target Times'!$C:$C, MATCH(A655&amp;B655, 'Podium Target Times'!$A:$A&amp;'Podium Target Times'!$B:$B, 0))
</f>
        <v>22.84</v>
      </c>
      <c r="L655" s="13">
        <f t="shared" ref="L655:L656" si="67">L656+G656</f>
        <v>22.88</v>
      </c>
      <c r="M655" s="11" t="str">
        <f t="shared" si="1"/>
        <v>22.88</v>
      </c>
      <c r="N655" s="14">
        <f>IFERROR(__xludf.DUMMYFUNCTION("LET(
  gen,$A655, ev,$B655, t,$M655,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)"),763.0)</f>
        <v>763</v>
      </c>
    </row>
    <row r="656">
      <c r="A656" s="5" t="s">
        <v>295</v>
      </c>
      <c r="B656" s="6" t="s">
        <v>263</v>
      </c>
      <c r="C656" s="6">
        <v>24.0</v>
      </c>
      <c r="D656" s="6">
        <v>3.0</v>
      </c>
      <c r="E656" s="7" t="s">
        <v>541</v>
      </c>
      <c r="F656" s="8">
        <f>IFERROR(__xludf.DUMMYFUNCTION("IF(
  REGEXMATCH(E656, "":""),
  60*VALUE(INDEX(SPLIT(E656, "":""),1,1)) + VALUE(INDEX(SPLIT(E656, "":""),1,2)),
  VALUE(E656)
)"),22.06)</f>
        <v>22.06</v>
      </c>
      <c r="G656" s="8">
        <f t="shared" ref="G656:G657" si="68">F655-F656</f>
        <v>0.03</v>
      </c>
      <c r="H656" s="8">
        <v>0.030000000000001137</v>
      </c>
      <c r="I656" s="6">
        <f>C640</f>
        <v>17</v>
      </c>
      <c r="J656" s="6">
        <f>C657</f>
        <v>25</v>
      </c>
      <c r="K656" s="6">
        <f t="array" ref="K656">INDEX('Podium Target Times'!$C:$C, MATCH(A656&amp;B656, 'Podium Target Times'!$A:$A&amp;'Podium Target Times'!$B:$B, 0))
</f>
        <v>22.84</v>
      </c>
      <c r="L656" s="8">
        <f t="shared" si="67"/>
        <v>22.85</v>
      </c>
      <c r="M656" s="6" t="str">
        <f t="shared" si="1"/>
        <v>22.85</v>
      </c>
      <c r="N656" s="9">
        <f>IFERROR(__xludf.DUMMYFUNCTION("LET(
  gen,$A656, ev,$B656, t,$M656,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)"),766.0)</f>
        <v>766</v>
      </c>
    </row>
    <row r="657">
      <c r="A657" s="10" t="s">
        <v>295</v>
      </c>
      <c r="B657" s="11" t="s">
        <v>263</v>
      </c>
      <c r="C657" s="11">
        <v>25.0</v>
      </c>
      <c r="D657" s="11">
        <v>3.0</v>
      </c>
      <c r="E657" s="12" t="s">
        <v>535</v>
      </c>
      <c r="F657" s="13">
        <f>IFERROR(__xludf.DUMMYFUNCTION("IF(
  REGEXMATCH(E657, "":""),
  60*VALUE(INDEX(SPLIT(E657, "":""),1,1)) + VALUE(INDEX(SPLIT(E657, "":""),1,2)),
  VALUE(E657)
)"),22.05)</f>
        <v>22.05</v>
      </c>
      <c r="G657" s="13">
        <f t="shared" si="68"/>
        <v>0.01</v>
      </c>
      <c r="H657" s="13">
        <v>0.00999999999999801</v>
      </c>
      <c r="I657" s="11">
        <f>C640</f>
        <v>17</v>
      </c>
      <c r="J657" s="11">
        <f>C657</f>
        <v>25</v>
      </c>
      <c r="K657" s="11">
        <f t="array" ref="K657">INDEX('Podium Target Times'!$C:$C, MATCH(A657&amp;B657, 'Podium Target Times'!$A:$A&amp;'Podium Target Times'!$B:$B, 0))
</f>
        <v>22.84</v>
      </c>
      <c r="L657" s="11">
        <f>K657</f>
        <v>22.84</v>
      </c>
      <c r="M657" s="11" t="str">
        <f t="shared" si="1"/>
        <v>22.84</v>
      </c>
      <c r="N657" s="14">
        <f>IFERROR(__xludf.DUMMYFUNCTION("LET(
  gen,$A657, ev,$B657, t,$M657,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)"),767.0)</f>
        <v>767</v>
      </c>
    </row>
    <row r="658">
      <c r="A658" s="5" t="s">
        <v>295</v>
      </c>
      <c r="B658" s="6" t="s">
        <v>278</v>
      </c>
      <c r="C658" s="6">
        <v>15.0</v>
      </c>
      <c r="D658" s="6">
        <v>1.0</v>
      </c>
      <c r="E658" s="7" t="s">
        <v>542</v>
      </c>
      <c r="F658" s="8">
        <f>IFERROR(__xludf.DUMMYFUNCTION("IF(
  REGEXMATCH(E658, "":""),
  60*VALUE(INDEX(SPLIT(E658, "":""),1,1)) + VALUE(INDEX(SPLIT(E658, "":""),1,2)),
  VALUE(E658)
)"),511.1)</f>
        <v>511.1</v>
      </c>
      <c r="G658" s="8">
        <v>0.0</v>
      </c>
      <c r="H658" s="8">
        <v>0.0</v>
      </c>
      <c r="I658" s="6">
        <f>C658</f>
        <v>15</v>
      </c>
      <c r="J658" s="6">
        <f>C675</f>
        <v>23</v>
      </c>
      <c r="K658" s="6">
        <f t="array" ref="K658">INDEX('Podium Target Times'!$C:$C, MATCH(A658&amp;B658, 'Podium Target Times'!$A:$A&amp;'Podium Target Times'!$B:$B, 0))
</f>
        <v>486.71</v>
      </c>
      <c r="L658" s="8">
        <f>L659+G659</f>
        <v>537.42</v>
      </c>
      <c r="M658" s="6" t="str">
        <f t="shared" si="1"/>
        <v>8:57.42</v>
      </c>
      <c r="N658" s="9">
        <f>IFERROR(__xludf.DUMMYFUNCTION("LET(
  gen,$A658, ev,$B658, t,$M658,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)"),595.0)</f>
        <v>595</v>
      </c>
    </row>
    <row r="659">
      <c r="A659" s="10" t="s">
        <v>295</v>
      </c>
      <c r="B659" s="11" t="s">
        <v>278</v>
      </c>
      <c r="C659" s="11">
        <v>16.0</v>
      </c>
      <c r="D659" s="11">
        <v>1.0</v>
      </c>
      <c r="E659" s="12" t="s">
        <v>543</v>
      </c>
      <c r="F659" s="13">
        <f>IFERROR(__xludf.DUMMYFUNCTION("IF(
  REGEXMATCH(E659, "":""),
  60*VALUE(INDEX(SPLIT(E659, "":""),1,1)) + VALUE(INDEX(SPLIT(E659, "":""),1,2)),
  VALUE(E659)
)"),494.62)</f>
        <v>494.62</v>
      </c>
      <c r="G659" s="13">
        <f>F658-F659</f>
        <v>16.48</v>
      </c>
      <c r="H659" s="13">
        <v>16.480000000000018</v>
      </c>
      <c r="I659" s="11">
        <f>C658</f>
        <v>15</v>
      </c>
      <c r="J659" s="11">
        <f>C675</f>
        <v>23</v>
      </c>
      <c r="K659" s="11">
        <f t="array" ref="K659">INDEX('Podium Target Times'!$C:$C, MATCH(A659&amp;B659, 'Podium Target Times'!$A:$A&amp;'Podium Target Times'!$B:$B, 0))
</f>
        <v>486.71</v>
      </c>
      <c r="L659" s="13">
        <f>L661+G661</f>
        <v>520.94</v>
      </c>
      <c r="M659" s="11" t="str">
        <f t="shared" si="1"/>
        <v>8:40.94</v>
      </c>
      <c r="N659" s="14">
        <f>IFERROR(__xludf.DUMMYFUNCTION("LET(
  gen,$A659, ev,$B659, t,$M659,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)"),653.0)</f>
        <v>653</v>
      </c>
    </row>
    <row r="660">
      <c r="A660" s="5" t="s">
        <v>295</v>
      </c>
      <c r="B660" s="6" t="s">
        <v>278</v>
      </c>
      <c r="C660" s="6">
        <v>16.0</v>
      </c>
      <c r="D660" s="6">
        <v>2.0</v>
      </c>
      <c r="E660" s="7" t="s">
        <v>544</v>
      </c>
      <c r="F660" s="8">
        <f>IFERROR(__xludf.DUMMYFUNCTION("IF(
  REGEXMATCH(E660, "":""),
  60*VALUE(INDEX(SPLIT(E660, "":""),1,1)) + VALUE(INDEX(SPLIT(E660, "":""),1,2)),
  VALUE(E660)
)"),500.18)</f>
        <v>500.18</v>
      </c>
      <c r="G660" s="8">
        <f>F658-F659</f>
        <v>16.48</v>
      </c>
      <c r="H660" s="8">
        <v>16.480000000000018</v>
      </c>
      <c r="I660" s="6">
        <f>C658</f>
        <v>15</v>
      </c>
      <c r="J660" s="6">
        <f>C675</f>
        <v>23</v>
      </c>
      <c r="K660" s="6">
        <f t="array" ref="K660">INDEX('Podium Target Times'!$C:$C, MATCH(A660&amp;B660, 'Podium Target Times'!$A:$A&amp;'Podium Target Times'!$B:$B, 0))
</f>
        <v>486.71</v>
      </c>
      <c r="L660" s="8">
        <f>L661+G661</f>
        <v>520.94</v>
      </c>
      <c r="M660" s="6" t="str">
        <f t="shared" si="1"/>
        <v>8:40.94</v>
      </c>
      <c r="N660" s="9">
        <f>IFERROR(__xludf.DUMMYFUNCTION("LET(
  gen,$A660, ev,$B660, t,$M660,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)"),653.0)</f>
        <v>653</v>
      </c>
    </row>
    <row r="661">
      <c r="A661" s="10" t="s">
        <v>295</v>
      </c>
      <c r="B661" s="11" t="s">
        <v>278</v>
      </c>
      <c r="C661" s="11">
        <v>17.0</v>
      </c>
      <c r="D661" s="11">
        <v>1.0</v>
      </c>
      <c r="E661" s="12" t="s">
        <v>545</v>
      </c>
      <c r="F661" s="13">
        <f>IFERROR(__xludf.DUMMYFUNCTION("IF(
  REGEXMATCH(E661, "":""),
  60*VALUE(INDEX(SPLIT(E661, "":""),1,1)) + VALUE(INDEX(SPLIT(E661, "":""),1,2)),
  VALUE(E661)
)"),482.43)</f>
        <v>482.43</v>
      </c>
      <c r="G661" s="13">
        <f>average(F659-F661,F660-F662)</f>
        <v>12.26</v>
      </c>
      <c r="H661" s="13">
        <v>12.259999999999991</v>
      </c>
      <c r="I661" s="11">
        <f>C658</f>
        <v>15</v>
      </c>
      <c r="J661" s="11">
        <f>C675</f>
        <v>23</v>
      </c>
      <c r="K661" s="11">
        <f t="array" ref="K661">INDEX('Podium Target Times'!$C:$C, MATCH(A661&amp;B661, 'Podium Target Times'!$A:$A&amp;'Podium Target Times'!$B:$B, 0))
</f>
        <v>486.71</v>
      </c>
      <c r="L661" s="13">
        <f>L664+G664</f>
        <v>508.68</v>
      </c>
      <c r="M661" s="11" t="str">
        <f t="shared" si="1"/>
        <v>8:28.68</v>
      </c>
      <c r="N661" s="14">
        <f>IFERROR(__xludf.DUMMYFUNCTION("LET(
  gen,$A661, ev,$B661, t,$M661,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)"),702.0)</f>
        <v>702</v>
      </c>
    </row>
    <row r="662">
      <c r="A662" s="5" t="s">
        <v>295</v>
      </c>
      <c r="B662" s="6" t="s">
        <v>278</v>
      </c>
      <c r="C662" s="6">
        <v>17.0</v>
      </c>
      <c r="D662" s="6">
        <v>2.0</v>
      </c>
      <c r="E662" s="7" t="s">
        <v>546</v>
      </c>
      <c r="F662" s="8">
        <f>IFERROR(__xludf.DUMMYFUNCTION("IF(
  REGEXMATCH(E662, "":""),
  60*VALUE(INDEX(SPLIT(E662, "":""),1,1)) + VALUE(INDEX(SPLIT(E662, "":""),1,2)),
  VALUE(E662)
)"),487.85)</f>
        <v>487.85</v>
      </c>
      <c r="G662" s="8">
        <f>average(F659-F661,F660-F662)</f>
        <v>12.26</v>
      </c>
      <c r="H662" s="8">
        <v>12.259999999999991</v>
      </c>
      <c r="I662" s="6">
        <f>C658</f>
        <v>15</v>
      </c>
      <c r="J662" s="6">
        <f>C675</f>
        <v>23</v>
      </c>
      <c r="K662" s="6">
        <f t="array" ref="K662">INDEX('Podium Target Times'!$C:$C, MATCH(A662&amp;B662, 'Podium Target Times'!$A:$A&amp;'Podium Target Times'!$B:$B, 0))
</f>
        <v>486.71</v>
      </c>
      <c r="L662" s="8">
        <f>L664+G664</f>
        <v>508.68</v>
      </c>
      <c r="M662" s="6" t="str">
        <f t="shared" si="1"/>
        <v>8:28.68</v>
      </c>
      <c r="N662" s="9">
        <f>IFERROR(__xludf.DUMMYFUNCTION("LET(
  gen,$A662, ev,$B662, t,$M662,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)"),702.0)</f>
        <v>702</v>
      </c>
    </row>
    <row r="663">
      <c r="A663" s="10" t="s">
        <v>295</v>
      </c>
      <c r="B663" s="11" t="s">
        <v>278</v>
      </c>
      <c r="C663" s="11">
        <v>17.0</v>
      </c>
      <c r="D663" s="11">
        <v>3.0</v>
      </c>
      <c r="E663" s="12" t="s">
        <v>547</v>
      </c>
      <c r="F663" s="13">
        <f>IFERROR(__xludf.DUMMYFUNCTION("IF(
  REGEXMATCH(E663, "":""),
  60*VALUE(INDEX(SPLIT(E663, "":""),1,1)) + VALUE(INDEX(SPLIT(E663, "":""),1,2)),
  VALUE(E663)
)"),489.69)</f>
        <v>489.69</v>
      </c>
      <c r="G663" s="13">
        <f>average(F659-F661,F660-F662)</f>
        <v>12.26</v>
      </c>
      <c r="H663" s="13">
        <v>12.259999999999991</v>
      </c>
      <c r="I663" s="11">
        <f>C658</f>
        <v>15</v>
      </c>
      <c r="J663" s="11">
        <f>C675</f>
        <v>23</v>
      </c>
      <c r="K663" s="11">
        <f t="array" ref="K663">INDEX('Podium Target Times'!$C:$C, MATCH(A663&amp;B663, 'Podium Target Times'!$A:$A&amp;'Podium Target Times'!$B:$B, 0))
</f>
        <v>486.71</v>
      </c>
      <c r="L663" s="13">
        <f>L664+G664</f>
        <v>508.68</v>
      </c>
      <c r="M663" s="11" t="str">
        <f t="shared" si="1"/>
        <v>8:28.68</v>
      </c>
      <c r="N663" s="14">
        <f>IFERROR(__xludf.DUMMYFUNCTION("LET(
  gen,$A663, ev,$B663, t,$M663,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)"),702.0)</f>
        <v>702</v>
      </c>
    </row>
    <row r="664">
      <c r="A664" s="5" t="s">
        <v>295</v>
      </c>
      <c r="B664" s="6" t="s">
        <v>278</v>
      </c>
      <c r="C664" s="6">
        <v>18.0</v>
      </c>
      <c r="D664" s="6">
        <v>1.0</v>
      </c>
      <c r="E664" s="7" t="s">
        <v>548</v>
      </c>
      <c r="F664" s="8">
        <f>IFERROR(__xludf.DUMMYFUNCTION("IF(
  REGEXMATCH(E664, "":""),
  60*VALUE(INDEX(SPLIT(E664, "":""),1,1)) + VALUE(INDEX(SPLIT(E664, "":""),1,2)),
  VALUE(E664)
)"),474.03)</f>
        <v>474.03</v>
      </c>
      <c r="G664" s="8">
        <f>average(F661-F664,F662-F665,F663-F666)</f>
        <v>8.473333333</v>
      </c>
      <c r="H664" s="8">
        <v>8.473333333333338</v>
      </c>
      <c r="I664" s="6">
        <f>C658</f>
        <v>15</v>
      </c>
      <c r="J664" s="6">
        <f>C675</f>
        <v>23</v>
      </c>
      <c r="K664" s="6">
        <f t="array" ref="K664">INDEX('Podium Target Times'!$C:$C, MATCH(A664&amp;B664, 'Podium Target Times'!$A:$A&amp;'Podium Target Times'!$B:$B, 0))
</f>
        <v>486.71</v>
      </c>
      <c r="L664" s="8">
        <f>L667+G667</f>
        <v>500.2066667</v>
      </c>
      <c r="M664" s="6" t="str">
        <f t="shared" si="1"/>
        <v>8:20.21</v>
      </c>
      <c r="N664" s="9">
        <f>IFERROR(__xludf.DUMMYFUNCTION("LET(
  gen,$A664, ev,$B664, t,$M664,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665">
      <c r="A665" s="10" t="s">
        <v>295</v>
      </c>
      <c r="B665" s="11" t="s">
        <v>278</v>
      </c>
      <c r="C665" s="11">
        <v>18.0</v>
      </c>
      <c r="D665" s="11">
        <v>2.0</v>
      </c>
      <c r="E665" s="12" t="s">
        <v>549</v>
      </c>
      <c r="F665" s="13">
        <f>IFERROR(__xludf.DUMMYFUNCTION("IF(
  REGEXMATCH(E665, "":""),
  60*VALUE(INDEX(SPLIT(E665, "":""),1,1)) + VALUE(INDEX(SPLIT(E665, "":""),1,2)),
  VALUE(E665)
)"),479.36)</f>
        <v>479.36</v>
      </c>
      <c r="G665" s="13">
        <f>average(F661-F664,F662-F665,F663-F666)</f>
        <v>8.473333333</v>
      </c>
      <c r="H665" s="13">
        <v>8.473333333333338</v>
      </c>
      <c r="I665" s="11">
        <f>C658</f>
        <v>15</v>
      </c>
      <c r="J665" s="11">
        <f>C675</f>
        <v>23</v>
      </c>
      <c r="K665" s="11">
        <f t="array" ref="K665">INDEX('Podium Target Times'!$C:$C, MATCH(A665&amp;B665, 'Podium Target Times'!$A:$A&amp;'Podium Target Times'!$B:$B, 0))
</f>
        <v>486.71</v>
      </c>
      <c r="L665" s="13">
        <f>L667+G667</f>
        <v>500.2066667</v>
      </c>
      <c r="M665" s="11" t="str">
        <f t="shared" si="1"/>
        <v>8:20.21</v>
      </c>
      <c r="N665" s="14">
        <f>IFERROR(__xludf.DUMMYFUNCTION("LET(
  gen,$A665, ev,$B665, t,$M665,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666">
      <c r="A666" s="5" t="s">
        <v>295</v>
      </c>
      <c r="B666" s="6" t="s">
        <v>278</v>
      </c>
      <c r="C666" s="6">
        <v>18.0</v>
      </c>
      <c r="D666" s="6">
        <v>3.0</v>
      </c>
      <c r="E666" s="7" t="s">
        <v>550</v>
      </c>
      <c r="F666" s="8">
        <f>IFERROR(__xludf.DUMMYFUNCTION("IF(
  REGEXMATCH(E666, "":""),
  60*VALUE(INDEX(SPLIT(E666, "":""),1,1)) + VALUE(INDEX(SPLIT(E666, "":""),1,2)),
  VALUE(E666)
)"),481.16)</f>
        <v>481.16</v>
      </c>
      <c r="G666" s="8">
        <f>average(F661-F664,F662-F665,F663-F666)</f>
        <v>8.473333333</v>
      </c>
      <c r="H666" s="8">
        <v>8.473333333333338</v>
      </c>
      <c r="I666" s="6">
        <f>C658</f>
        <v>15</v>
      </c>
      <c r="J666" s="6">
        <f>C675</f>
        <v>23</v>
      </c>
      <c r="K666" s="6">
        <f t="array" ref="K666">INDEX('Podium Target Times'!$C:$C, MATCH(A666&amp;B666, 'Podium Target Times'!$A:$A&amp;'Podium Target Times'!$B:$B, 0))
</f>
        <v>486.71</v>
      </c>
      <c r="L666" s="8">
        <f>L667+G667</f>
        <v>500.2066667</v>
      </c>
      <c r="M666" s="6" t="str">
        <f t="shared" si="1"/>
        <v>8:20.21</v>
      </c>
      <c r="N666" s="9">
        <f>IFERROR(__xludf.DUMMYFUNCTION("LET(
  gen,$A666, ev,$B666, t,$M666,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)"),738.0)</f>
        <v>738</v>
      </c>
    </row>
    <row r="667">
      <c r="A667" s="10" t="s">
        <v>295</v>
      </c>
      <c r="B667" s="11" t="s">
        <v>278</v>
      </c>
      <c r="C667" s="11">
        <v>19.0</v>
      </c>
      <c r="D667" s="11">
        <v>1.0</v>
      </c>
      <c r="E667" s="12" t="s">
        <v>551</v>
      </c>
      <c r="F667" s="13">
        <f>IFERROR(__xludf.DUMMYFUNCTION("IF(
  REGEXMATCH(E667, "":""),
  60*VALUE(INDEX(SPLIT(E667, "":""),1,1)) + VALUE(INDEX(SPLIT(E667, "":""),1,2)),
  VALUE(E667)
)"),468.65999999999997)</f>
        <v>468.66</v>
      </c>
      <c r="G667" s="13">
        <f>average(F664-F667,F665-F668,F666-F669)</f>
        <v>5.416666667</v>
      </c>
      <c r="H667" s="13">
        <v>5.416666666666686</v>
      </c>
      <c r="I667" s="11">
        <f>C658</f>
        <v>15</v>
      </c>
      <c r="J667" s="11">
        <f>C675</f>
        <v>23</v>
      </c>
      <c r="K667" s="11">
        <f t="array" ref="K667">INDEX('Podium Target Times'!$C:$C, MATCH(A667&amp;B667, 'Podium Target Times'!$A:$A&amp;'Podium Target Times'!$B:$B, 0))
</f>
        <v>486.71</v>
      </c>
      <c r="L667" s="13">
        <f>L670+G670</f>
        <v>494.79</v>
      </c>
      <c r="M667" s="11" t="str">
        <f t="shared" si="1"/>
        <v>8:14.79</v>
      </c>
      <c r="N667" s="14">
        <f>IFERROR(__xludf.DUMMYFUNCTION("LET(
  gen,$A667, ev,$B667, t,$M667,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668">
      <c r="A668" s="5" t="s">
        <v>295</v>
      </c>
      <c r="B668" s="6" t="s">
        <v>278</v>
      </c>
      <c r="C668" s="6">
        <v>19.0</v>
      </c>
      <c r="D668" s="6">
        <v>2.0</v>
      </c>
      <c r="E668" s="7" t="s">
        <v>552</v>
      </c>
      <c r="F668" s="8">
        <f>IFERROR(__xludf.DUMMYFUNCTION("IF(
  REGEXMATCH(E668, "":""),
  60*VALUE(INDEX(SPLIT(E668, "":""),1,1)) + VALUE(INDEX(SPLIT(E668, "":""),1,2)),
  VALUE(E668)
)"),473.93)</f>
        <v>473.93</v>
      </c>
      <c r="G668" s="8">
        <f>average(F664-F667,F665-F668,F666-F669)</f>
        <v>5.416666667</v>
      </c>
      <c r="H668" s="8">
        <v>5.416666666666686</v>
      </c>
      <c r="I668" s="6">
        <f>C658</f>
        <v>15</v>
      </c>
      <c r="J668" s="6">
        <f>C675</f>
        <v>23</v>
      </c>
      <c r="K668" s="6">
        <f t="array" ref="K668">INDEX('Podium Target Times'!$C:$C, MATCH(A668&amp;B668, 'Podium Target Times'!$A:$A&amp;'Podium Target Times'!$B:$B, 0))
</f>
        <v>486.71</v>
      </c>
      <c r="L668" s="8">
        <f>L670+G670</f>
        <v>494.79</v>
      </c>
      <c r="M668" s="6" t="str">
        <f t="shared" si="1"/>
        <v>8:14.79</v>
      </c>
      <c r="N668" s="9">
        <f>IFERROR(__xludf.DUMMYFUNCTION("LET(
  gen,$A668, ev,$B668, t,$M668,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669">
      <c r="A669" s="10" t="s">
        <v>295</v>
      </c>
      <c r="B669" s="11" t="s">
        <v>278</v>
      </c>
      <c r="C669" s="11">
        <v>19.0</v>
      </c>
      <c r="D669" s="11">
        <v>3.0</v>
      </c>
      <c r="E669" s="12" t="s">
        <v>553</v>
      </c>
      <c r="F669" s="13">
        <f>IFERROR(__xludf.DUMMYFUNCTION("IF(
  REGEXMATCH(E669, "":""),
  60*VALUE(INDEX(SPLIT(E669, "":""),1,1)) + VALUE(INDEX(SPLIT(E669, "":""),1,2)),
  VALUE(E669)
)"),475.71)</f>
        <v>475.71</v>
      </c>
      <c r="G669" s="13">
        <f>average(F664-F667,F665-F668,F666-F669)</f>
        <v>5.416666667</v>
      </c>
      <c r="H669" s="13">
        <v>5.416666666666686</v>
      </c>
      <c r="I669" s="11">
        <f>C658</f>
        <v>15</v>
      </c>
      <c r="J669" s="11">
        <f>C675</f>
        <v>23</v>
      </c>
      <c r="K669" s="11">
        <f t="array" ref="K669">INDEX('Podium Target Times'!$C:$C, MATCH(A669&amp;B669, 'Podium Target Times'!$A:$A&amp;'Podium Target Times'!$B:$B, 0))
</f>
        <v>486.71</v>
      </c>
      <c r="L669" s="13">
        <f>L670+G670</f>
        <v>494.79</v>
      </c>
      <c r="M669" s="11" t="str">
        <f t="shared" si="1"/>
        <v>8:14.79</v>
      </c>
      <c r="N669" s="14">
        <f>IFERROR(__xludf.DUMMYFUNCTION("LET(
  gen,$A669, ev,$B669, t,$M669,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)"),762.0)</f>
        <v>762</v>
      </c>
    </row>
    <row r="670">
      <c r="A670" s="5" t="s">
        <v>295</v>
      </c>
      <c r="B670" s="6" t="s">
        <v>278</v>
      </c>
      <c r="C670" s="6">
        <v>20.0</v>
      </c>
      <c r="D670" s="6">
        <v>2.0</v>
      </c>
      <c r="E670" s="7" t="s">
        <v>554</v>
      </c>
      <c r="F670" s="8">
        <f>IFERROR(__xludf.DUMMYFUNCTION("IF(
  REGEXMATCH(E670, "":""),
  60*VALUE(INDEX(SPLIT(E670, "":""),1,1)) + VALUE(INDEX(SPLIT(E670, "":""),1,2)),
  VALUE(E670)
)"),470.65999999999997)</f>
        <v>470.66</v>
      </c>
      <c r="G670" s="8">
        <f>average(F668-F670,F669-F671)</f>
        <v>3.275</v>
      </c>
      <c r="H670" s="8">
        <v>3.2750000000000057</v>
      </c>
      <c r="I670" s="6">
        <f>C658</f>
        <v>15</v>
      </c>
      <c r="J670" s="6">
        <f>C675</f>
        <v>23</v>
      </c>
      <c r="K670" s="6">
        <f t="array" ref="K670">INDEX('Podium Target Times'!$C:$C, MATCH(A670&amp;B670, 'Podium Target Times'!$A:$A&amp;'Podium Target Times'!$B:$B, 0))
</f>
        <v>486.71</v>
      </c>
      <c r="L670" s="8">
        <f>L672+G672</f>
        <v>491.515</v>
      </c>
      <c r="M670" s="6" t="str">
        <f t="shared" si="1"/>
        <v>8:11.52</v>
      </c>
      <c r="N670" s="9">
        <f>IFERROR(__xludf.DUMMYFUNCTION("LET(
  gen,$A670, ev,$B670, t,$M670,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)"),778.0)</f>
        <v>778</v>
      </c>
    </row>
    <row r="671">
      <c r="A671" s="10" t="s">
        <v>295</v>
      </c>
      <c r="B671" s="11" t="s">
        <v>278</v>
      </c>
      <c r="C671" s="11">
        <v>20.0</v>
      </c>
      <c r="D671" s="11">
        <v>3.0</v>
      </c>
      <c r="E671" s="12" t="s">
        <v>555</v>
      </c>
      <c r="F671" s="13">
        <f>IFERROR(__xludf.DUMMYFUNCTION("IF(
  REGEXMATCH(E671, "":""),
  60*VALUE(INDEX(SPLIT(E671, "":""),1,1)) + VALUE(INDEX(SPLIT(E671, "":""),1,2)),
  VALUE(E671)
)"),472.43)</f>
        <v>472.43</v>
      </c>
      <c r="G671" s="13">
        <f>average(F668-F670,F669-F671)</f>
        <v>3.275</v>
      </c>
      <c r="H671" s="13">
        <v>3.2750000000000057</v>
      </c>
      <c r="I671" s="11">
        <f>C658</f>
        <v>15</v>
      </c>
      <c r="J671" s="11">
        <f>C675</f>
        <v>23</v>
      </c>
      <c r="K671" s="11">
        <f t="array" ref="K671">INDEX('Podium Target Times'!$C:$C, MATCH(A671&amp;B671, 'Podium Target Times'!$A:$A&amp;'Podium Target Times'!$B:$B, 0))
</f>
        <v>486.71</v>
      </c>
      <c r="L671" s="13">
        <f>L672+G672</f>
        <v>491.515</v>
      </c>
      <c r="M671" s="11" t="str">
        <f t="shared" si="1"/>
        <v>8:11.52</v>
      </c>
      <c r="N671" s="14">
        <f>IFERROR(__xludf.DUMMYFUNCTION("LET(
  gen,$A671, ev,$B671, t,$M671,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)"),778.0)</f>
        <v>778</v>
      </c>
    </row>
    <row r="672">
      <c r="A672" s="5" t="s">
        <v>295</v>
      </c>
      <c r="B672" s="6" t="s">
        <v>278</v>
      </c>
      <c r="C672" s="6">
        <v>21.0</v>
      </c>
      <c r="D672" s="6">
        <v>2.0</v>
      </c>
      <c r="E672" s="7" t="s">
        <v>551</v>
      </c>
      <c r="F672" s="8">
        <f>IFERROR(__xludf.DUMMYFUNCTION("IF(
  REGEXMATCH(E672, "":""),
  60*VALUE(INDEX(SPLIT(E672, "":""),1,1)) + VALUE(INDEX(SPLIT(E672, "":""),1,2)),
  VALUE(E672)
)"),468.65999999999997)</f>
        <v>468.66</v>
      </c>
      <c r="G672" s="8">
        <f>average(F670-F672,F671-F673)</f>
        <v>2.005</v>
      </c>
      <c r="H672" s="8">
        <v>2.0049999999999955</v>
      </c>
      <c r="I672" s="6">
        <f>C658</f>
        <v>15</v>
      </c>
      <c r="J672" s="6">
        <f>C675</f>
        <v>23</v>
      </c>
      <c r="K672" s="6">
        <f t="array" ref="K672">INDEX('Podium Target Times'!$C:$C, MATCH(A672&amp;B672, 'Podium Target Times'!$A:$A&amp;'Podium Target Times'!$B:$B, 0))
</f>
        <v>486.71</v>
      </c>
      <c r="L672" s="8">
        <f>L674+G674</f>
        <v>489.51</v>
      </c>
      <c r="M672" s="6" t="str">
        <f t="shared" si="1"/>
        <v>8:09.51</v>
      </c>
      <c r="N672" s="9">
        <f>IFERROR(__xludf.DUMMYFUNCTION("LET(
  gen,$A672, ev,$B672, t,$M672,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)"),787.0)</f>
        <v>787</v>
      </c>
    </row>
    <row r="673">
      <c r="A673" s="10" t="s">
        <v>295</v>
      </c>
      <c r="B673" s="11" t="s">
        <v>278</v>
      </c>
      <c r="C673" s="11">
        <v>21.0</v>
      </c>
      <c r="D673" s="11">
        <v>3.0</v>
      </c>
      <c r="E673" s="12" t="s">
        <v>556</v>
      </c>
      <c r="F673" s="13">
        <f>IFERROR(__xludf.DUMMYFUNCTION("IF(
  REGEXMATCH(E673, "":""),
  60*VALUE(INDEX(SPLIT(E673, "":""),1,1)) + VALUE(INDEX(SPLIT(E673, "":""),1,2)),
  VALUE(E673)
)"),470.42)</f>
        <v>470.42</v>
      </c>
      <c r="G673" s="13">
        <f>average(F670-F672,F671-F673)</f>
        <v>2.005</v>
      </c>
      <c r="H673" s="13">
        <v>2.0049999999999955</v>
      </c>
      <c r="I673" s="11">
        <f>C658</f>
        <v>15</v>
      </c>
      <c r="J673" s="11">
        <f>C675</f>
        <v>23</v>
      </c>
      <c r="K673" s="11">
        <f t="array" ref="K673">INDEX('Podium Target Times'!$C:$C, MATCH(A673&amp;B673, 'Podium Target Times'!$A:$A&amp;'Podium Target Times'!$B:$B, 0))
</f>
        <v>486.71</v>
      </c>
      <c r="L673" s="13">
        <f t="shared" ref="L673:L674" si="69">L674+G674</f>
        <v>489.51</v>
      </c>
      <c r="M673" s="11" t="str">
        <f t="shared" si="1"/>
        <v>8:09.51</v>
      </c>
      <c r="N673" s="14">
        <f>IFERROR(__xludf.DUMMYFUNCTION("LET(
  gen,$A673, ev,$B673, t,$M673,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)"),787.0)</f>
        <v>787</v>
      </c>
    </row>
    <row r="674">
      <c r="A674" s="5" t="s">
        <v>295</v>
      </c>
      <c r="B674" s="6" t="s">
        <v>278</v>
      </c>
      <c r="C674" s="6">
        <v>22.0</v>
      </c>
      <c r="D674" s="6">
        <v>3.0</v>
      </c>
      <c r="E674" s="7" t="s">
        <v>557</v>
      </c>
      <c r="F674" s="8">
        <f>IFERROR(__xludf.DUMMYFUNCTION("IF(
  REGEXMATCH(E674, "":""),
  60*VALUE(INDEX(SPLIT(E674, "":""),1,1)) + VALUE(INDEX(SPLIT(E674, "":""),1,2)),
  VALUE(E674)
)"),469.18)</f>
        <v>469.18</v>
      </c>
      <c r="G674" s="8">
        <f t="shared" ref="G674:G677" si="70">F673-F674</f>
        <v>1.24</v>
      </c>
      <c r="H674" s="8">
        <v>1.240000000000009</v>
      </c>
      <c r="I674" s="6">
        <f>C658</f>
        <v>15</v>
      </c>
      <c r="J674" s="6">
        <f>C675</f>
        <v>23</v>
      </c>
      <c r="K674" s="6">
        <f t="array" ref="K674">INDEX('Podium Target Times'!$C:$C, MATCH(A674&amp;B674, 'Podium Target Times'!$A:$A&amp;'Podium Target Times'!$B:$B, 0))
</f>
        <v>486.71</v>
      </c>
      <c r="L674" s="8">
        <f t="shared" si="69"/>
        <v>488.27</v>
      </c>
      <c r="M674" s="6" t="str">
        <f t="shared" si="1"/>
        <v>8:08.27</v>
      </c>
      <c r="N674" s="9">
        <f>IFERROR(__xludf.DUMMYFUNCTION("LET(
  gen,$A674, ev,$B674, t,$M674,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)"),793.0)</f>
        <v>793</v>
      </c>
    </row>
    <row r="675">
      <c r="A675" s="10" t="s">
        <v>295</v>
      </c>
      <c r="B675" s="11" t="s">
        <v>278</v>
      </c>
      <c r="C675" s="11">
        <v>23.0</v>
      </c>
      <c r="D675" s="11">
        <v>3.0</v>
      </c>
      <c r="E675" s="12" t="s">
        <v>551</v>
      </c>
      <c r="F675" s="13">
        <f>IFERROR(__xludf.DUMMYFUNCTION("IF(
  REGEXMATCH(E675, "":""),
  60*VALUE(INDEX(SPLIT(E675, "":""),1,1)) + VALUE(INDEX(SPLIT(E675, "":""),1,2)),
  VALUE(E675)
)"),468.65999999999997)</f>
        <v>468.66</v>
      </c>
      <c r="G675" s="13">
        <f t="shared" si="70"/>
        <v>0.52</v>
      </c>
      <c r="H675" s="13">
        <v>0.5200000000000387</v>
      </c>
      <c r="I675" s="11">
        <f>C658</f>
        <v>15</v>
      </c>
      <c r="J675" s="11">
        <f>C675</f>
        <v>23</v>
      </c>
      <c r="K675" s="11">
        <f t="array" ref="K675">INDEX('Podium Target Times'!$C:$C, MATCH(A675&amp;B675, 'Podium Target Times'!$A:$A&amp;'Podium Target Times'!$B:$B, 0))
</f>
        <v>486.71</v>
      </c>
      <c r="L675" s="13">
        <f>G675+L676</f>
        <v>487.75</v>
      </c>
      <c r="M675" s="11" t="str">
        <f t="shared" si="1"/>
        <v>8:07.75</v>
      </c>
      <c r="N675" s="14">
        <f>IFERROR(__xludf.DUMMYFUNCTION("LET(
  gen,$A675, ev,$B675, t,$M675,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)"),796.0)</f>
        <v>796</v>
      </c>
    </row>
    <row r="676">
      <c r="A676" s="5" t="s">
        <v>295</v>
      </c>
      <c r="B676" s="6" t="s">
        <v>278</v>
      </c>
      <c r="C676" s="6">
        <v>24.0</v>
      </c>
      <c r="D676" s="6"/>
      <c r="E676" s="7"/>
      <c r="F676" s="8">
        <f>IFERROR(__xludf.DUMMYFUNCTION("IF(
  REGEXMATCH(E676, "":""),
  60*VALUE(INDEX(SPLIT(E676, "":""),1,1)) + VALUE(INDEX(SPLIT(E676, "":""),1,2)),
  VALUE(E676)
)"),0.0)</f>
        <v>0</v>
      </c>
      <c r="G676" s="8">
        <f t="shared" si="70"/>
        <v>468.66</v>
      </c>
      <c r="H676" s="8"/>
      <c r="I676" s="6">
        <f>C658</f>
        <v>15</v>
      </c>
      <c r="J676" s="6">
        <f>C675</f>
        <v>23</v>
      </c>
      <c r="K676" s="6">
        <f t="array" ref="K676">INDEX('Podium Target Times'!$C:$C, MATCH(A676&amp;B676, 'Podium Target Times'!$A:$A&amp;'Podium Target Times'!$B:$B, 0))
</f>
        <v>486.71</v>
      </c>
      <c r="L676" s="8">
        <f>G675+L677</f>
        <v>487.23</v>
      </c>
      <c r="M676" s="6" t="str">
        <f t="shared" si="1"/>
        <v>8:07.23</v>
      </c>
      <c r="N676" s="9">
        <f>IFERROR(__xludf.DUMMYFUNCTION("LET(
  gen,$A676, ev,$B676, t,$M676,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)"),799.0)</f>
        <v>799</v>
      </c>
    </row>
    <row r="677">
      <c r="A677" s="17" t="s">
        <v>295</v>
      </c>
      <c r="B677" s="18" t="s">
        <v>278</v>
      </c>
      <c r="C677" s="18">
        <v>25.0</v>
      </c>
      <c r="D677" s="18"/>
      <c r="E677" s="19"/>
      <c r="F677" s="20">
        <f>IFERROR(__xludf.DUMMYFUNCTION("IF(
  REGEXMATCH(E677, "":""),
  60*VALUE(INDEX(SPLIT(E677, "":""),1,1)) + VALUE(INDEX(SPLIT(E677, "":""),1,2)),
  VALUE(E677)
)"),0.0)</f>
        <v>0</v>
      </c>
      <c r="G677" s="20">
        <f t="shared" si="70"/>
        <v>0</v>
      </c>
      <c r="H677" s="20"/>
      <c r="I677" s="18">
        <f>C658</f>
        <v>15</v>
      </c>
      <c r="J677" s="18">
        <f>C675</f>
        <v>23</v>
      </c>
      <c r="K677" s="18">
        <f t="array" ref="K677">INDEX('Podium Target Times'!$C:$C, MATCH(A677&amp;B677, 'Podium Target Times'!$A:$A&amp;'Podium Target Times'!$B:$B, 0))
</f>
        <v>486.71</v>
      </c>
      <c r="L677" s="18">
        <f>K677</f>
        <v>486.71</v>
      </c>
      <c r="M677" s="18" t="str">
        <f t="shared" si="1"/>
        <v>8:06.71</v>
      </c>
      <c r="N677" s="21">
        <f>IFERROR(__xludf.DUMMYFUNCTION("LET(
  gen,$A677, ev,$B677, t,$M677,
  hdrs, ARRAYFORMULA(UPPER(TRIM(CLEAN(SUBSTITUTE('AQUA POINTS'!$1:$1,CHAR(160),"" ""))))),
  col,  MATCH(UPPER(ev), hdrs, 0),
  base, INDEX('AQUA POINTS'!$1:$3, IF(gen=""M"",2,3), col),
  baseSec, IF(ISNUMBER(base), IF"&amp;"(base&lt;1, base*86400, base),
              IF(REGEXMATCH(base,"":""), VALUE(LEFT(base, FIND("":"",base)-1))*60 + VALUE(MID(base, FIND("":"",base)+1, 99)),
                 VALUE(SUBSTITUTE(base,"","",""."")))),
  tSec, IF(ISNUMBER(t), IF(t&lt;1, t*86400, t),
"&amp;"           IF(REGEXMATCH(t,"":""), VALUE(LEFT(t, FIND("":"",t)-1))*60 + VALUE(MID(t, FIND("":"",t)+1, 99)),
              VALUE(SUBSTITUTE(t,"","",""."")))),
  INT(1000*(baseSec/tSec)^3)
)"),801.0)</f>
        <v>801</v>
      </c>
    </row>
  </sheetData>
  <dataValidations>
    <dataValidation type="custom" allowBlank="1" showDropDown="1" sqref="F2:G677">
      <formula1>AND(ISNUMBER(F2),(NOT(OR(NOT(ISERROR(DATEVALUE(F2))), AND(ISNUMBER(F2), LEFT(CELL("format", F2))="D")))))</formula1>
    </dataValidation>
    <dataValidation allowBlank="1" showDropDown="1" sqref="E2:E67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2" t="s">
        <v>0</v>
      </c>
      <c r="B1" s="23" t="s">
        <v>1</v>
      </c>
      <c r="C1" s="23" t="s">
        <v>558</v>
      </c>
      <c r="D1" s="24" t="s">
        <v>559</v>
      </c>
    </row>
    <row r="2">
      <c r="A2" s="5" t="s">
        <v>295</v>
      </c>
      <c r="B2" s="6" t="s">
        <v>263</v>
      </c>
      <c r="C2" s="6">
        <v>22.84</v>
      </c>
      <c r="D2" s="9">
        <f>IFERROR(__xludf.DUMMYFUNCTION("LET(
  gen,$A2, ev,$B2, t,$C2,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)"),767.0)</f>
        <v>767</v>
      </c>
    </row>
    <row r="3">
      <c r="A3" s="10" t="s">
        <v>295</v>
      </c>
      <c r="B3" s="11" t="s">
        <v>65</v>
      </c>
      <c r="C3" s="11">
        <v>49.69</v>
      </c>
      <c r="D3" s="14">
        <f>IFERROR(__xludf.DUMMYFUNCTION("LET(
  gen,$A3, ev,$B3, t,$C3,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)"),814.0)</f>
        <v>814</v>
      </c>
    </row>
    <row r="4">
      <c r="A4" s="5" t="s">
        <v>295</v>
      </c>
      <c r="B4" s="6" t="s">
        <v>149</v>
      </c>
      <c r="C4" s="6">
        <v>109.31</v>
      </c>
      <c r="D4" s="9">
        <f>IFERROR(__xludf.DUMMYFUNCTION("LET(
  gen,$A4, ev,$B4, t,$C4,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)"),812.0)</f>
        <v>812</v>
      </c>
    </row>
    <row r="5">
      <c r="A5" s="10" t="s">
        <v>295</v>
      </c>
      <c r="B5" s="11" t="s">
        <v>182</v>
      </c>
      <c r="C5" s="11">
        <v>233.78</v>
      </c>
      <c r="D5" s="14">
        <f>IFERROR(__xludf.DUMMYFUNCTION("LET(
  gen,$A5, ev,$B5, t,$C5,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)"),834.0)</f>
        <v>834</v>
      </c>
    </row>
    <row r="6">
      <c r="A6" s="5" t="s">
        <v>295</v>
      </c>
      <c r="B6" s="6" t="s">
        <v>278</v>
      </c>
      <c r="C6" s="6">
        <v>486.71</v>
      </c>
      <c r="D6" s="9">
        <f>IFERROR(__xludf.DUMMYFUNCTION("LET(
  gen,$A6, ev,$B6, t,$C6,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)"),801.0)</f>
        <v>801</v>
      </c>
    </row>
    <row r="7">
      <c r="A7" s="10" t="s">
        <v>295</v>
      </c>
      <c r="B7" s="11" t="s">
        <v>82</v>
      </c>
      <c r="C7" s="11">
        <v>940.49</v>
      </c>
      <c r="D7" s="14">
        <f>IFERROR(__xludf.DUMMYFUNCTION("LET(
  gen,$A7, ev,$B7, t,$C7,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)"),793.0)</f>
        <v>793</v>
      </c>
    </row>
    <row r="8">
      <c r="A8" s="5" t="s">
        <v>295</v>
      </c>
      <c r="B8" s="6" t="s">
        <v>15</v>
      </c>
      <c r="C8" s="6">
        <v>55.99</v>
      </c>
      <c r="D8" s="9">
        <f>IFERROR(__xludf.DUMMYFUNCTION("LET(
  gen,$A8, ev,$B8, t,$C8,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)"),782.0)</f>
        <v>782</v>
      </c>
    </row>
    <row r="9">
      <c r="A9" s="10" t="s">
        <v>295</v>
      </c>
      <c r="B9" s="11" t="s">
        <v>99</v>
      </c>
      <c r="C9" s="11">
        <v>121.74</v>
      </c>
      <c r="D9" s="14">
        <f>IFERROR(__xludf.DUMMYFUNCTION("LET(
  gen,$A9, ev,$B9, t,$C9,
  hdrs, ARRAYFORMULA(UPPER(TRIM(CLEAN(SUBSTITUTE('AQUA POINTS'!$1:$1,CHAR(160),"" ""))))),
  col,  MATCH(UPPER(ev), hdrs, 0),
  base, INDEX('AQUA POINTS'!$1:$3, IF(gen=""M"",2,3), col),
  baseSec, IF(ISNUMBER(base), IF(base&lt;"&amp;"1, base*86400, base),
              IF(REGEXMATCH(base,"":""), VALUE(LEFT(base, FIND("":"",base)-1))*60 + VALUE(MID(base, FIND("":"",base)+1, 99)),
                 VALUE(SUBSTITUTE(base,"","",""."")))),
  tSec, IF(ISNUMBER(t), IF(t&lt;1, t*86400, t),
      "&amp;"     IF(REGEXMATCH(t,"":""), VALUE(LEFT(t, FIND("":"",t)-1))*60 + VALUE(MID(t, FIND("":"",t)+1, 99)),
              VALUE(SUBSTITUTE(t,"","",""."")))),
  INT(1000*(baseSec/tSec)^3)
)"),777.0)</f>
        <v>777</v>
      </c>
    </row>
    <row r="10">
      <c r="A10" s="5" t="s">
        <v>295</v>
      </c>
      <c r="B10" s="6" t="s">
        <v>32</v>
      </c>
      <c r="C10" s="6">
        <v>62.22</v>
      </c>
      <c r="D10" s="9">
        <f>IFERROR(__xludf.DUMMYFUNCTION("LET(
  gen,$A10, ev,$B10, t,$C10,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)"),763.0)</f>
        <v>763</v>
      </c>
    </row>
    <row r="11">
      <c r="A11" s="10" t="s">
        <v>295</v>
      </c>
      <c r="B11" s="11" t="s">
        <v>115</v>
      </c>
      <c r="C11" s="11">
        <v>134.3</v>
      </c>
      <c r="D11" s="14">
        <f>IFERROR(__xludf.DUMMYFUNCTION("LET(
  gen,$A11, ev,$B11, t,$C11,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)"),815.0)</f>
        <v>815</v>
      </c>
    </row>
    <row r="12">
      <c r="A12" s="5" t="s">
        <v>295</v>
      </c>
      <c r="B12" s="6" t="s">
        <v>49</v>
      </c>
      <c r="C12" s="6">
        <v>52.91</v>
      </c>
      <c r="D12" s="9">
        <f>IFERROR(__xludf.DUMMYFUNCTION("LET(
  gen,$A12, ev,$B12, t,$C12,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)"),816.0)</f>
        <v>816</v>
      </c>
    </row>
    <row r="13">
      <c r="A13" s="10" t="s">
        <v>295</v>
      </c>
      <c r="B13" s="11" t="s">
        <v>132</v>
      </c>
      <c r="C13" s="11">
        <v>120.6</v>
      </c>
      <c r="D13" s="14">
        <f>IFERROR(__xludf.DUMMYFUNCTION("LET(
  gen,$A13, ev,$B13, t,$C13,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)"),765.0)</f>
        <v>765</v>
      </c>
    </row>
    <row r="14">
      <c r="A14" s="5" t="s">
        <v>295</v>
      </c>
      <c r="B14" s="6" t="s">
        <v>166</v>
      </c>
      <c r="C14" s="6">
        <v>122.42</v>
      </c>
      <c r="D14" s="9">
        <f>IFERROR(__xludf.DUMMYFUNCTION("LET(
  gen,$A14, ev,$B14, t,$C14,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)"),807.0)</f>
        <v>807</v>
      </c>
    </row>
    <row r="15">
      <c r="A15" s="10" t="s">
        <v>295</v>
      </c>
      <c r="B15" s="11" t="s">
        <v>199</v>
      </c>
      <c r="C15" s="11">
        <v>263.24</v>
      </c>
      <c r="D15" s="14">
        <f>IFERROR(__xludf.DUMMYFUNCTION("LET(
  gen,$A15, ev,$B15, t,$C15,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)"),781.0)</f>
        <v>781</v>
      </c>
    </row>
    <row r="16">
      <c r="A16" s="5" t="s">
        <v>14</v>
      </c>
      <c r="B16" s="6" t="s">
        <v>263</v>
      </c>
      <c r="C16" s="6">
        <v>25.32</v>
      </c>
      <c r="D16" s="9">
        <f>IFERROR(__xludf.DUMMYFUNCTION("LET(
  gen,$A16, ev,$B16, t,$C16,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)"),810.0)</f>
        <v>810</v>
      </c>
    </row>
    <row r="17">
      <c r="A17" s="10" t="s">
        <v>14</v>
      </c>
      <c r="B17" s="11" t="s">
        <v>65</v>
      </c>
      <c r="C17" s="11">
        <v>56.42</v>
      </c>
      <c r="D17" s="14">
        <f>IFERROR(__xludf.DUMMYFUNCTION("LET(
  gen,$A17, ev,$B17, t,$C17,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)"),769.0)</f>
        <v>769</v>
      </c>
    </row>
    <row r="18">
      <c r="A18" s="5" t="s">
        <v>14</v>
      </c>
      <c r="B18" s="6" t="s">
        <v>149</v>
      </c>
      <c r="C18" s="6">
        <v>122.94</v>
      </c>
      <c r="D18" s="9">
        <f>IFERROR(__xludf.DUMMYFUNCTION("LET(
  gen,$A18, ev,$B18, t,$C18,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19">
      <c r="A19" s="10" t="s">
        <v>14</v>
      </c>
      <c r="B19" s="11" t="s">
        <v>182</v>
      </c>
      <c r="C19" s="11">
        <v>257.55</v>
      </c>
      <c r="D19" s="14">
        <f>IFERROR(__xludf.DUMMYFUNCTION("LET(
  gen,$A19, ev,$B19, t,$C19,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)"),763.0)</f>
        <v>763</v>
      </c>
    </row>
    <row r="20">
      <c r="A20" s="5" t="s">
        <v>14</v>
      </c>
      <c r="B20" s="6" t="s">
        <v>278</v>
      </c>
      <c r="C20" s="6">
        <v>536.07</v>
      </c>
      <c r="D20" s="9">
        <f>IFERROR(__xludf.DUMMYFUNCTION("LET(
  gen,$A20, ev,$B20, t,$C20,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)"),739.0)</f>
        <v>739</v>
      </c>
    </row>
    <row r="21">
      <c r="A21" s="10" t="s">
        <v>14</v>
      </c>
      <c r="B21" s="11" t="s">
        <v>82</v>
      </c>
      <c r="C21" s="11">
        <v>1027.45</v>
      </c>
      <c r="D21" s="14">
        <f>IFERROR(__xludf.DUMMYFUNCTION("LET(
  gen,$A21, ev,$B21, t,$C21,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)"),719.0)</f>
        <v>719</v>
      </c>
    </row>
    <row r="22">
      <c r="A22" s="5" t="s">
        <v>14</v>
      </c>
      <c r="B22" s="6" t="s">
        <v>15</v>
      </c>
      <c r="C22" s="6">
        <v>63.71</v>
      </c>
      <c r="D22" s="9">
        <f>IFERROR(__xludf.DUMMYFUNCTION("LET(
  gen,$A22, ev,$B22, t,$C22,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)"),721.0)</f>
        <v>721</v>
      </c>
    </row>
    <row r="23">
      <c r="A23" s="10" t="s">
        <v>14</v>
      </c>
      <c r="B23" s="11" t="s">
        <v>99</v>
      </c>
      <c r="C23" s="11">
        <v>137.95</v>
      </c>
      <c r="D23" s="14">
        <f>IFERROR(__xludf.DUMMYFUNCTION("LET(
  gen,$A23, ev,$B23, t,$C23,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)"),711.0)</f>
        <v>711</v>
      </c>
    </row>
    <row r="24">
      <c r="A24" s="5" t="s">
        <v>14</v>
      </c>
      <c r="B24" s="6" t="s">
        <v>32</v>
      </c>
      <c r="C24" s="6">
        <v>70.94</v>
      </c>
      <c r="D24" s="9">
        <f>IFERROR(__xludf.DUMMYFUNCTION("LET(
  gen,$A24, ev,$B24, t,$C24,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)"),738.0)</f>
        <v>738</v>
      </c>
    </row>
    <row r="25">
      <c r="A25" s="10" t="s">
        <v>14</v>
      </c>
      <c r="B25" s="11" t="s">
        <v>115</v>
      </c>
      <c r="C25" s="11">
        <v>152.6</v>
      </c>
      <c r="D25" s="14">
        <f>IFERROR(__xludf.DUMMYFUNCTION("LET(
  gen,$A25, ev,$B25, t,$C25,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)"),732.0)</f>
        <v>732</v>
      </c>
    </row>
    <row r="26">
      <c r="A26" s="5" t="s">
        <v>14</v>
      </c>
      <c r="B26" s="6" t="s">
        <v>49</v>
      </c>
      <c r="C26" s="6">
        <v>60.45</v>
      </c>
      <c r="D26" s="9">
        <f>IFERROR(__xludf.DUMMYFUNCTION("LET(
  gen,$A26, ev,$B26, t,$C26,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27">
      <c r="A27" s="10" t="s">
        <v>14</v>
      </c>
      <c r="B27" s="11" t="s">
        <v>132</v>
      </c>
      <c r="C27" s="11">
        <v>134.37</v>
      </c>
      <c r="D27" s="14">
        <f>IFERROR(__xludf.DUMMYFUNCTION("LET(
  gen,$A27, ev,$B27, t,$C27,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)"),744.0)</f>
        <v>744</v>
      </c>
    </row>
    <row r="28">
      <c r="A28" s="5" t="s">
        <v>14</v>
      </c>
      <c r="B28" s="6" t="s">
        <v>166</v>
      </c>
      <c r="C28" s="6">
        <v>136.39</v>
      </c>
      <c r="D28" s="9">
        <f>IFERROR(__xludf.DUMMYFUNCTION("LET(
  gen,$A28, ev,$B28, t,$C28,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)"),790.0)</f>
        <v>790</v>
      </c>
    </row>
    <row r="29">
      <c r="A29" s="10" t="s">
        <v>14</v>
      </c>
      <c r="B29" s="11" t="s">
        <v>199</v>
      </c>
      <c r="C29" s="11">
        <v>292.08</v>
      </c>
      <c r="D29" s="14">
        <f>IFERROR(__xludf.DUMMYFUNCTION("LET(
  gen,$A29, ev,$B29, t,$C29,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)"),741.0)</f>
        <v>741</v>
      </c>
    </row>
    <row r="30">
      <c r="A30" s="5" t="s">
        <v>14</v>
      </c>
      <c r="B30" s="6" t="s">
        <v>216</v>
      </c>
      <c r="C30" s="6">
        <v>28.99</v>
      </c>
      <c r="D30" s="9">
        <f>IFERROR(__xludf.DUMMYFUNCTION("LET(
  gen,$A30, ev,$B30, t,$C30,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)"),795.0)</f>
        <v>795</v>
      </c>
    </row>
    <row r="31">
      <c r="A31" s="10" t="s">
        <v>14</v>
      </c>
      <c r="B31" s="11" t="s">
        <v>232</v>
      </c>
      <c r="C31" s="11">
        <v>31.94</v>
      </c>
      <c r="D31" s="14">
        <f>IFERROR(__xludf.DUMMYFUNCTION("LET(
  gen,$A31, ev,$B31, t,$C31,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)"),760.0)</f>
        <v>760</v>
      </c>
    </row>
    <row r="32">
      <c r="A32" s="5" t="s">
        <v>14</v>
      </c>
      <c r="B32" s="6" t="s">
        <v>248</v>
      </c>
      <c r="C32" s="6">
        <v>27.02</v>
      </c>
      <c r="D32" s="9">
        <f>IFERROR(__xludf.DUMMYFUNCTION("LET(
  gen,$A32, ev,$B32, t,$C32,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)"),739.0)</f>
        <v>739</v>
      </c>
    </row>
    <row r="33">
      <c r="A33" s="10" t="s">
        <v>295</v>
      </c>
      <c r="B33" s="11" t="s">
        <v>216</v>
      </c>
      <c r="C33" s="11">
        <v>25.61</v>
      </c>
      <c r="D33" s="14">
        <f>IFERROR(__xludf.DUMMYFUNCTION("LET(
  gen,$A33, ev,$B33, t,$C33,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)"),777.0)</f>
        <v>777</v>
      </c>
    </row>
    <row r="34">
      <c r="A34" s="5" t="s">
        <v>295</v>
      </c>
      <c r="B34" s="6" t="s">
        <v>232</v>
      </c>
      <c r="C34" s="6">
        <v>28.01</v>
      </c>
      <c r="D34" s="9">
        <f>IFERROR(__xludf.DUMMYFUNCTION("LET(
  gen,$A34, ev,$B34, t,$C34,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)"),795.0)</f>
        <v>795</v>
      </c>
    </row>
    <row r="35">
      <c r="A35" s="17" t="s">
        <v>295</v>
      </c>
      <c r="B35" s="18" t="s">
        <v>248</v>
      </c>
      <c r="C35" s="18">
        <v>23.89</v>
      </c>
      <c r="D35" s="21">
        <f>IFERROR(__xludf.DUMMYFUNCTION("LET(
  gen,$A35, ev,$B35, t,$C35,
  hdrs, ARRAYFORMULA(UPPER(TRIM(CLEAN(SUBSTITUTE('AQUA POINTS'!$1:$1,CHAR(160),"" ""))))),
  col,  MATCH(UPPER(ev), hdrs, 0),
  base, INDEX('AQUA POINTS'!$1:$3, IF(gen=""M"",2,3), col),
  baseSec, IF(ISNUMBER(base), IF(ba"&amp;"se&lt;1, base*86400, base),
              IF(REGEXMATCH(base,"":""), VALUE(LEFT(base, FIND("":"",base)-1))*60 + VALUE(MID(base, FIND("":"",base)+1, 99)),
                 VALUE(SUBSTITUTE(base,"","",""."")))),
  tSec, IF(ISNUMBER(t), IF(t&lt;1, t*86400, t),
   "&amp;"        IF(REGEXMATCH(t,"":""), VALUE(LEFT(t, FIND("":"",t)-1))*60 + VALUE(MID(t, FIND("":"",t)+1, 99)),
              VALUE(SUBSTITUTE(t,"","",""."")))),
  INT(1000*(baseSec/tSec)^3)
)"),810.0)</f>
        <v>810</v>
      </c>
    </row>
    <row r="36">
      <c r="A36" s="25"/>
      <c r="B36" s="25"/>
      <c r="C36" s="25"/>
      <c r="D36" s="25"/>
    </row>
    <row r="37">
      <c r="A37" s="25"/>
      <c r="B37" s="25"/>
      <c r="C37" s="25"/>
      <c r="D37" s="25"/>
    </row>
    <row r="38">
      <c r="A38" s="25"/>
      <c r="B38" s="25"/>
      <c r="C38" s="25"/>
      <c r="D38" s="25"/>
    </row>
    <row r="39">
      <c r="A39" s="25"/>
      <c r="B39" s="25"/>
      <c r="C39" s="25"/>
      <c r="D39" s="25"/>
    </row>
    <row r="40">
      <c r="A40" s="25"/>
      <c r="B40" s="25"/>
      <c r="C40" s="25"/>
      <c r="D40" s="25"/>
    </row>
    <row r="41">
      <c r="A41" s="25"/>
      <c r="B41" s="25"/>
      <c r="C41" s="25"/>
      <c r="D41" s="25"/>
    </row>
    <row r="42">
      <c r="A42" s="25"/>
      <c r="B42" s="25"/>
      <c r="C42" s="25"/>
      <c r="D42" s="25"/>
    </row>
    <row r="43">
      <c r="A43" s="25"/>
      <c r="B43" s="25"/>
      <c r="C43" s="25"/>
      <c r="D43" s="25"/>
    </row>
    <row r="44">
      <c r="A44" s="25"/>
      <c r="B44" s="25"/>
      <c r="C44" s="25"/>
      <c r="D44" s="25"/>
    </row>
    <row r="45">
      <c r="A45" s="25"/>
      <c r="B45" s="25"/>
      <c r="C45" s="25"/>
      <c r="D45" s="25"/>
    </row>
    <row r="46">
      <c r="A46" s="25"/>
      <c r="B46" s="25"/>
      <c r="C46" s="25"/>
      <c r="D46" s="25"/>
    </row>
    <row r="47">
      <c r="A47" s="25"/>
      <c r="B47" s="25"/>
      <c r="C47" s="25"/>
      <c r="D47" s="25"/>
    </row>
    <row r="48">
      <c r="A48" s="25"/>
      <c r="B48" s="25"/>
      <c r="C48" s="25"/>
      <c r="D48" s="25"/>
    </row>
    <row r="49">
      <c r="A49" s="25"/>
      <c r="B49" s="25"/>
      <c r="C49" s="25"/>
      <c r="D49" s="25"/>
    </row>
    <row r="50">
      <c r="A50" s="25"/>
      <c r="B50" s="25"/>
      <c r="C50" s="25"/>
      <c r="D50" s="25"/>
    </row>
    <row r="51">
      <c r="A51" s="25"/>
      <c r="B51" s="25"/>
      <c r="C51" s="25"/>
      <c r="D51" s="25"/>
    </row>
    <row r="52">
      <c r="A52" s="25"/>
      <c r="B52" s="25"/>
      <c r="C52" s="25"/>
      <c r="D52" s="25"/>
    </row>
    <row r="53">
      <c r="A53" s="25"/>
      <c r="B53" s="25"/>
      <c r="C53" s="25"/>
      <c r="D53" s="25"/>
    </row>
    <row r="54">
      <c r="A54" s="25"/>
      <c r="B54" s="25"/>
      <c r="C54" s="25"/>
      <c r="D54" s="25"/>
    </row>
    <row r="55">
      <c r="A55" s="25"/>
      <c r="B55" s="25"/>
      <c r="C55" s="25"/>
      <c r="D55" s="25"/>
    </row>
    <row r="56">
      <c r="A56" s="25"/>
      <c r="B56" s="25"/>
      <c r="C56" s="25"/>
      <c r="D56" s="25"/>
    </row>
    <row r="57">
      <c r="A57" s="25"/>
      <c r="B57" s="25"/>
      <c r="C57" s="25"/>
      <c r="D57" s="25"/>
    </row>
    <row r="58">
      <c r="A58" s="25"/>
      <c r="B58" s="25"/>
      <c r="C58" s="25"/>
      <c r="D58" s="25"/>
    </row>
    <row r="59">
      <c r="A59" s="25"/>
      <c r="B59" s="25"/>
      <c r="C59" s="25"/>
      <c r="D59" s="25"/>
    </row>
    <row r="60">
      <c r="A60" s="25"/>
      <c r="B60" s="25"/>
      <c r="C60" s="25"/>
      <c r="D60" s="25"/>
    </row>
    <row r="61">
      <c r="A61" s="25"/>
      <c r="B61" s="25"/>
      <c r="C61" s="25"/>
      <c r="D61" s="25"/>
    </row>
    <row r="62">
      <c r="A62" s="25"/>
      <c r="B62" s="25"/>
      <c r="C62" s="25"/>
      <c r="D62" s="25"/>
    </row>
    <row r="63">
      <c r="A63" s="25"/>
      <c r="B63" s="25"/>
      <c r="C63" s="25"/>
      <c r="D63" s="25"/>
    </row>
    <row r="64">
      <c r="A64" s="25"/>
      <c r="B64" s="25"/>
      <c r="C64" s="25"/>
      <c r="D64" s="25"/>
    </row>
    <row r="65">
      <c r="A65" s="25"/>
      <c r="B65" s="25"/>
      <c r="C65" s="25"/>
      <c r="D65" s="25"/>
    </row>
    <row r="66">
      <c r="A66" s="25"/>
      <c r="B66" s="25"/>
      <c r="C66" s="25"/>
      <c r="D66" s="25"/>
    </row>
    <row r="67">
      <c r="A67" s="25"/>
      <c r="B67" s="25"/>
      <c r="C67" s="25"/>
      <c r="D67" s="25"/>
    </row>
    <row r="68">
      <c r="A68" s="25"/>
      <c r="B68" s="25"/>
      <c r="C68" s="25"/>
      <c r="D68" s="25"/>
    </row>
    <row r="69">
      <c r="A69" s="25"/>
      <c r="B69" s="25"/>
      <c r="C69" s="25"/>
      <c r="D69" s="25"/>
    </row>
    <row r="70">
      <c r="A70" s="25"/>
      <c r="B70" s="25"/>
      <c r="C70" s="25"/>
      <c r="D70" s="25"/>
    </row>
    <row r="71">
      <c r="A71" s="25"/>
      <c r="B71" s="25"/>
      <c r="C71" s="25"/>
      <c r="D71" s="25"/>
    </row>
    <row r="72">
      <c r="A72" s="25"/>
      <c r="B72" s="25"/>
      <c r="C72" s="25"/>
      <c r="D72" s="25"/>
    </row>
    <row r="73">
      <c r="A73" s="25"/>
      <c r="B73" s="25"/>
      <c r="C73" s="25"/>
      <c r="D73" s="25"/>
    </row>
    <row r="74">
      <c r="A74" s="25"/>
      <c r="B74" s="25"/>
      <c r="C74" s="25"/>
      <c r="D74" s="25"/>
    </row>
    <row r="75">
      <c r="A75" s="25"/>
      <c r="B75" s="25"/>
      <c r="C75" s="25"/>
      <c r="D75" s="25"/>
    </row>
    <row r="76">
      <c r="A76" s="25"/>
      <c r="B76" s="25"/>
      <c r="C76" s="25"/>
      <c r="D76" s="25"/>
    </row>
    <row r="77">
      <c r="A77" s="25"/>
      <c r="B77" s="25"/>
      <c r="C77" s="25"/>
      <c r="D77" s="25"/>
    </row>
    <row r="78">
      <c r="A78" s="25"/>
      <c r="B78" s="25"/>
      <c r="C78" s="25"/>
      <c r="D78" s="25"/>
    </row>
    <row r="79">
      <c r="A79" s="25"/>
      <c r="B79" s="25"/>
      <c r="C79" s="25"/>
      <c r="D79" s="25"/>
    </row>
    <row r="80">
      <c r="A80" s="25"/>
      <c r="B80" s="25"/>
      <c r="C80" s="25"/>
      <c r="D80" s="25"/>
    </row>
    <row r="81">
      <c r="A81" s="25"/>
      <c r="B81" s="25"/>
      <c r="C81" s="25"/>
      <c r="D81" s="25"/>
    </row>
    <row r="82">
      <c r="A82" s="25"/>
      <c r="B82" s="25"/>
      <c r="C82" s="25"/>
      <c r="D82" s="25"/>
    </row>
    <row r="83">
      <c r="A83" s="25"/>
      <c r="B83" s="25"/>
      <c r="C83" s="25"/>
      <c r="D83" s="25"/>
    </row>
    <row r="84">
      <c r="A84" s="25"/>
      <c r="B84" s="25"/>
      <c r="C84" s="25"/>
      <c r="D84" s="25"/>
    </row>
    <row r="85">
      <c r="A85" s="25"/>
      <c r="B85" s="25"/>
      <c r="C85" s="25"/>
      <c r="D85" s="25"/>
    </row>
    <row r="86">
      <c r="A86" s="25"/>
      <c r="B86" s="25"/>
      <c r="C86" s="25"/>
      <c r="D86" s="25"/>
    </row>
    <row r="87">
      <c r="A87" s="25"/>
      <c r="B87" s="25"/>
      <c r="C87" s="25"/>
      <c r="D87" s="25"/>
    </row>
    <row r="88">
      <c r="A88" s="25"/>
      <c r="B88" s="25"/>
      <c r="C88" s="25"/>
      <c r="D88" s="25"/>
    </row>
    <row r="89">
      <c r="A89" s="25"/>
      <c r="B89" s="25"/>
      <c r="C89" s="25"/>
      <c r="D89" s="25"/>
    </row>
    <row r="90">
      <c r="A90" s="25"/>
      <c r="B90" s="25"/>
      <c r="C90" s="25"/>
      <c r="D90" s="25"/>
    </row>
    <row r="91">
      <c r="A91" s="25"/>
      <c r="B91" s="25"/>
      <c r="C91" s="25"/>
      <c r="D91" s="25"/>
    </row>
    <row r="92">
      <c r="A92" s="25"/>
      <c r="B92" s="25"/>
      <c r="C92" s="25"/>
      <c r="D92" s="25"/>
    </row>
    <row r="93">
      <c r="A93" s="25"/>
      <c r="B93" s="25"/>
      <c r="C93" s="25"/>
      <c r="D93" s="25"/>
    </row>
    <row r="94">
      <c r="A94" s="25"/>
      <c r="B94" s="25"/>
      <c r="C94" s="25"/>
      <c r="D94" s="25"/>
    </row>
    <row r="95">
      <c r="A95" s="25"/>
      <c r="B95" s="25"/>
      <c r="C95" s="25"/>
      <c r="D95" s="25"/>
    </row>
    <row r="96">
      <c r="A96" s="25"/>
      <c r="B96" s="25"/>
      <c r="C96" s="25"/>
      <c r="D96" s="25"/>
    </row>
    <row r="97">
      <c r="A97" s="25"/>
      <c r="B97" s="25"/>
      <c r="C97" s="25"/>
      <c r="D97" s="25"/>
    </row>
    <row r="98">
      <c r="A98" s="25"/>
      <c r="B98" s="25"/>
      <c r="C98" s="25"/>
      <c r="D98" s="25"/>
    </row>
    <row r="99">
      <c r="A99" s="25"/>
      <c r="B99" s="25"/>
      <c r="C99" s="25"/>
      <c r="D99" s="25"/>
    </row>
    <row r="100">
      <c r="A100" s="25"/>
      <c r="B100" s="25"/>
      <c r="C100" s="25"/>
      <c r="D100" s="25"/>
    </row>
    <row r="101">
      <c r="A101" s="25"/>
      <c r="B101" s="25"/>
      <c r="C101" s="25"/>
      <c r="D101" s="25"/>
    </row>
    <row r="102">
      <c r="A102" s="25"/>
      <c r="B102" s="25"/>
      <c r="C102" s="25"/>
      <c r="D102" s="25"/>
    </row>
    <row r="103">
      <c r="A103" s="25"/>
      <c r="B103" s="25"/>
      <c r="C103" s="25"/>
      <c r="D103" s="25"/>
    </row>
    <row r="104">
      <c r="A104" s="25"/>
      <c r="B104" s="25"/>
      <c r="C104" s="25"/>
      <c r="D104" s="25"/>
    </row>
    <row r="105">
      <c r="A105" s="25"/>
      <c r="B105" s="25"/>
      <c r="C105" s="25"/>
      <c r="D105" s="25"/>
    </row>
    <row r="106">
      <c r="A106" s="25"/>
      <c r="B106" s="25"/>
      <c r="C106" s="25"/>
      <c r="D106" s="25"/>
    </row>
    <row r="107">
      <c r="A107" s="25"/>
      <c r="B107" s="25"/>
      <c r="C107" s="25"/>
      <c r="D107" s="25"/>
    </row>
    <row r="108">
      <c r="A108" s="25"/>
      <c r="B108" s="25"/>
      <c r="C108" s="25"/>
      <c r="D108" s="25"/>
    </row>
    <row r="109">
      <c r="A109" s="25"/>
      <c r="B109" s="25"/>
      <c r="C109" s="25"/>
      <c r="D109" s="25"/>
    </row>
    <row r="110">
      <c r="A110" s="25"/>
      <c r="B110" s="25"/>
      <c r="C110" s="25"/>
      <c r="D110" s="25"/>
    </row>
    <row r="111">
      <c r="A111" s="25"/>
      <c r="B111" s="25"/>
      <c r="C111" s="25"/>
      <c r="D111" s="25"/>
    </row>
    <row r="112">
      <c r="A112" s="25"/>
      <c r="B112" s="25"/>
      <c r="C112" s="25"/>
      <c r="D112" s="25"/>
    </row>
    <row r="113">
      <c r="A113" s="25"/>
      <c r="B113" s="25"/>
      <c r="C113" s="25"/>
      <c r="D113" s="25"/>
    </row>
    <row r="114">
      <c r="A114" s="25"/>
      <c r="B114" s="25"/>
      <c r="C114" s="25"/>
      <c r="D114" s="25"/>
    </row>
    <row r="115">
      <c r="A115" s="25"/>
      <c r="B115" s="25"/>
      <c r="C115" s="25"/>
      <c r="D115" s="25"/>
    </row>
    <row r="116">
      <c r="A116" s="25"/>
      <c r="B116" s="25"/>
      <c r="C116" s="25"/>
      <c r="D116" s="25"/>
    </row>
    <row r="117">
      <c r="A117" s="25"/>
      <c r="B117" s="25"/>
      <c r="C117" s="25"/>
      <c r="D117" s="25"/>
    </row>
    <row r="118">
      <c r="A118" s="25"/>
      <c r="B118" s="25"/>
      <c r="C118" s="25"/>
      <c r="D118" s="25"/>
    </row>
    <row r="119">
      <c r="A119" s="25"/>
      <c r="B119" s="25"/>
      <c r="C119" s="25"/>
      <c r="D119" s="25"/>
    </row>
    <row r="120">
      <c r="A120" s="25"/>
      <c r="B120" s="25"/>
      <c r="C120" s="25"/>
      <c r="D120" s="25"/>
    </row>
    <row r="121">
      <c r="A121" s="25"/>
      <c r="B121" s="25"/>
      <c r="C121" s="25"/>
      <c r="D121" s="25"/>
    </row>
    <row r="122">
      <c r="A122" s="25"/>
      <c r="B122" s="25"/>
      <c r="C122" s="25"/>
      <c r="D122" s="25"/>
    </row>
    <row r="123">
      <c r="A123" s="25"/>
      <c r="B123" s="25"/>
      <c r="C123" s="25"/>
      <c r="D123" s="25"/>
    </row>
    <row r="124">
      <c r="A124" s="25"/>
      <c r="B124" s="25"/>
      <c r="C124" s="25"/>
      <c r="D124" s="25"/>
    </row>
    <row r="125">
      <c r="A125" s="25"/>
      <c r="B125" s="25"/>
      <c r="C125" s="25"/>
      <c r="D125" s="25"/>
    </row>
    <row r="126">
      <c r="A126" s="25"/>
      <c r="B126" s="25"/>
      <c r="C126" s="25"/>
      <c r="D126" s="25"/>
    </row>
    <row r="127">
      <c r="A127" s="25"/>
      <c r="B127" s="25"/>
      <c r="C127" s="25"/>
      <c r="D127" s="25"/>
    </row>
    <row r="128">
      <c r="A128" s="25"/>
      <c r="B128" s="25"/>
      <c r="C128" s="25"/>
      <c r="D128" s="25"/>
    </row>
    <row r="129">
      <c r="A129" s="25"/>
      <c r="B129" s="25"/>
      <c r="C129" s="25"/>
      <c r="D129" s="25"/>
    </row>
    <row r="130">
      <c r="A130" s="25"/>
      <c r="B130" s="25"/>
      <c r="C130" s="25"/>
      <c r="D130" s="25"/>
    </row>
    <row r="131">
      <c r="A131" s="25"/>
      <c r="B131" s="25"/>
      <c r="C131" s="25"/>
      <c r="D131" s="25"/>
    </row>
    <row r="132">
      <c r="A132" s="25"/>
      <c r="B132" s="25"/>
      <c r="C132" s="25"/>
      <c r="D132" s="25"/>
    </row>
    <row r="133">
      <c r="A133" s="25"/>
      <c r="B133" s="25"/>
      <c r="C133" s="25"/>
      <c r="D133" s="25"/>
    </row>
    <row r="134">
      <c r="A134" s="25"/>
      <c r="B134" s="25"/>
      <c r="C134" s="25"/>
      <c r="D134" s="25"/>
    </row>
    <row r="135">
      <c r="A135" s="25"/>
      <c r="B135" s="25"/>
      <c r="C135" s="25"/>
      <c r="D135" s="25"/>
    </row>
    <row r="136">
      <c r="A136" s="25"/>
      <c r="B136" s="25"/>
      <c r="C136" s="25"/>
      <c r="D136" s="25"/>
    </row>
    <row r="137">
      <c r="A137" s="25"/>
      <c r="B137" s="25"/>
      <c r="C137" s="25"/>
      <c r="D137" s="25"/>
    </row>
    <row r="138">
      <c r="A138" s="25"/>
      <c r="B138" s="25"/>
      <c r="C138" s="25"/>
      <c r="D138" s="25"/>
    </row>
    <row r="139">
      <c r="A139" s="25"/>
      <c r="B139" s="25"/>
      <c r="C139" s="25"/>
      <c r="D139" s="25"/>
    </row>
    <row r="140">
      <c r="A140" s="25"/>
      <c r="B140" s="25"/>
      <c r="C140" s="25"/>
      <c r="D140" s="25"/>
    </row>
    <row r="141">
      <c r="A141" s="25"/>
      <c r="B141" s="25"/>
      <c r="C141" s="25"/>
      <c r="D141" s="25"/>
    </row>
    <row r="142">
      <c r="A142" s="25"/>
      <c r="B142" s="25"/>
      <c r="C142" s="25"/>
      <c r="D142" s="25"/>
    </row>
    <row r="143">
      <c r="A143" s="25"/>
      <c r="B143" s="25"/>
      <c r="C143" s="25"/>
      <c r="D143" s="25"/>
    </row>
    <row r="144">
      <c r="A144" s="25"/>
      <c r="B144" s="25"/>
      <c r="C144" s="25"/>
      <c r="D144" s="25"/>
    </row>
    <row r="145">
      <c r="A145" s="25"/>
      <c r="B145" s="25"/>
      <c r="C145" s="25"/>
      <c r="D145" s="25"/>
    </row>
    <row r="146">
      <c r="A146" s="25"/>
      <c r="B146" s="25"/>
      <c r="C146" s="25"/>
      <c r="D146" s="25"/>
    </row>
    <row r="147">
      <c r="A147" s="25"/>
      <c r="B147" s="25"/>
      <c r="C147" s="25"/>
      <c r="D147" s="25"/>
    </row>
    <row r="148">
      <c r="A148" s="25"/>
      <c r="B148" s="25"/>
      <c r="C148" s="25"/>
      <c r="D148" s="25"/>
    </row>
    <row r="149">
      <c r="A149" s="25"/>
      <c r="B149" s="25"/>
      <c r="C149" s="25"/>
      <c r="D149" s="25"/>
    </row>
    <row r="150">
      <c r="A150" s="25"/>
      <c r="B150" s="25"/>
      <c r="C150" s="25"/>
      <c r="D150" s="25"/>
    </row>
    <row r="151">
      <c r="A151" s="25"/>
      <c r="B151" s="25"/>
      <c r="C151" s="25"/>
      <c r="D151" s="25"/>
    </row>
    <row r="152">
      <c r="A152" s="25"/>
      <c r="B152" s="25"/>
      <c r="C152" s="25"/>
      <c r="D152" s="25"/>
    </row>
    <row r="153">
      <c r="A153" s="25"/>
      <c r="B153" s="25"/>
      <c r="C153" s="25"/>
      <c r="D153" s="25"/>
    </row>
    <row r="154">
      <c r="A154" s="25"/>
      <c r="B154" s="25"/>
      <c r="C154" s="25"/>
      <c r="D154" s="25"/>
    </row>
    <row r="155">
      <c r="A155" s="25"/>
      <c r="B155" s="25"/>
      <c r="C155" s="25"/>
      <c r="D155" s="25"/>
    </row>
    <row r="156">
      <c r="A156" s="25"/>
      <c r="B156" s="25"/>
      <c r="C156" s="25"/>
      <c r="D156" s="25"/>
    </row>
    <row r="157">
      <c r="A157" s="25"/>
      <c r="B157" s="25"/>
      <c r="C157" s="25"/>
      <c r="D157" s="25"/>
    </row>
    <row r="158">
      <c r="A158" s="25"/>
      <c r="B158" s="25"/>
      <c r="C158" s="25"/>
      <c r="D158" s="25"/>
    </row>
    <row r="159">
      <c r="A159" s="25"/>
      <c r="B159" s="25"/>
      <c r="C159" s="25"/>
      <c r="D159" s="25"/>
    </row>
    <row r="160">
      <c r="A160" s="25"/>
      <c r="B160" s="25"/>
      <c r="C160" s="25"/>
      <c r="D160" s="25"/>
    </row>
    <row r="161">
      <c r="A161" s="25"/>
      <c r="B161" s="25"/>
      <c r="C161" s="25"/>
      <c r="D161" s="25"/>
    </row>
    <row r="162">
      <c r="A162" s="25"/>
      <c r="B162" s="25"/>
      <c r="C162" s="25"/>
      <c r="D162" s="25"/>
    </row>
    <row r="163">
      <c r="A163" s="25"/>
      <c r="B163" s="25"/>
      <c r="C163" s="25"/>
      <c r="D163" s="25"/>
    </row>
    <row r="164">
      <c r="A164" s="25"/>
      <c r="B164" s="25"/>
      <c r="C164" s="25"/>
      <c r="D164" s="25"/>
    </row>
    <row r="165">
      <c r="A165" s="25"/>
      <c r="B165" s="25"/>
      <c r="C165" s="25"/>
      <c r="D165" s="25"/>
    </row>
    <row r="166">
      <c r="A166" s="25"/>
      <c r="B166" s="25"/>
      <c r="C166" s="25"/>
      <c r="D166" s="25"/>
    </row>
    <row r="167">
      <c r="A167" s="25"/>
      <c r="B167" s="25"/>
      <c r="C167" s="25"/>
      <c r="D167" s="25"/>
    </row>
    <row r="168">
      <c r="A168" s="25"/>
      <c r="B168" s="25"/>
      <c r="C168" s="25"/>
      <c r="D168" s="25"/>
    </row>
    <row r="169">
      <c r="A169" s="25"/>
      <c r="B169" s="25"/>
      <c r="C169" s="25"/>
      <c r="D169" s="25"/>
    </row>
    <row r="170">
      <c r="A170" s="25"/>
      <c r="B170" s="25"/>
      <c r="C170" s="25"/>
      <c r="D170" s="25"/>
    </row>
    <row r="171">
      <c r="A171" s="25"/>
      <c r="B171" s="25"/>
      <c r="C171" s="25"/>
      <c r="D171" s="25"/>
    </row>
    <row r="172">
      <c r="A172" s="25"/>
      <c r="B172" s="25"/>
      <c r="C172" s="25"/>
      <c r="D172" s="25"/>
    </row>
    <row r="173">
      <c r="A173" s="25"/>
      <c r="B173" s="25"/>
      <c r="C173" s="25"/>
      <c r="D173" s="25"/>
    </row>
    <row r="174">
      <c r="A174" s="25"/>
      <c r="B174" s="25"/>
      <c r="C174" s="25"/>
      <c r="D174" s="25"/>
    </row>
    <row r="175">
      <c r="A175" s="25"/>
      <c r="B175" s="25"/>
      <c r="C175" s="25"/>
      <c r="D175" s="25"/>
    </row>
    <row r="176">
      <c r="A176" s="25"/>
      <c r="B176" s="25"/>
      <c r="C176" s="25"/>
      <c r="D176" s="25"/>
    </row>
    <row r="177">
      <c r="A177" s="25"/>
      <c r="B177" s="25"/>
      <c r="C177" s="25"/>
      <c r="D177" s="25"/>
    </row>
    <row r="178">
      <c r="A178" s="25"/>
      <c r="B178" s="25"/>
      <c r="C178" s="25"/>
      <c r="D178" s="25"/>
    </row>
    <row r="179">
      <c r="A179" s="25"/>
      <c r="B179" s="25"/>
      <c r="C179" s="25"/>
      <c r="D179" s="25"/>
    </row>
    <row r="180">
      <c r="A180" s="25"/>
      <c r="B180" s="25"/>
      <c r="C180" s="25"/>
      <c r="D180" s="25"/>
    </row>
    <row r="181">
      <c r="A181" s="25"/>
      <c r="B181" s="25"/>
      <c r="C181" s="25"/>
      <c r="D181" s="25"/>
    </row>
    <row r="182">
      <c r="A182" s="25"/>
      <c r="B182" s="25"/>
      <c r="C182" s="25"/>
      <c r="D182" s="25"/>
    </row>
    <row r="183">
      <c r="A183" s="25"/>
      <c r="B183" s="25"/>
      <c r="C183" s="25"/>
      <c r="D183" s="25"/>
    </row>
    <row r="184">
      <c r="A184" s="25"/>
      <c r="B184" s="25"/>
      <c r="C184" s="25"/>
      <c r="D184" s="25"/>
    </row>
    <row r="185">
      <c r="A185" s="25"/>
      <c r="B185" s="25"/>
      <c r="C185" s="25"/>
      <c r="D185" s="25"/>
    </row>
    <row r="186">
      <c r="A186" s="25"/>
      <c r="B186" s="25"/>
      <c r="C186" s="25"/>
      <c r="D186" s="25"/>
    </row>
    <row r="187">
      <c r="A187" s="25"/>
      <c r="B187" s="25"/>
      <c r="C187" s="25"/>
      <c r="D187" s="25"/>
    </row>
    <row r="188">
      <c r="A188" s="25"/>
      <c r="B188" s="25"/>
      <c r="C188" s="25"/>
      <c r="D188" s="25"/>
    </row>
    <row r="189">
      <c r="A189" s="25"/>
      <c r="B189" s="25"/>
      <c r="C189" s="25"/>
      <c r="D189" s="25"/>
    </row>
    <row r="190">
      <c r="A190" s="25"/>
      <c r="B190" s="25"/>
      <c r="C190" s="25"/>
      <c r="D190" s="25"/>
    </row>
    <row r="191">
      <c r="A191" s="25"/>
      <c r="B191" s="25"/>
      <c r="C191" s="25"/>
      <c r="D191" s="25"/>
    </row>
    <row r="192">
      <c r="A192" s="25"/>
      <c r="B192" s="25"/>
      <c r="C192" s="25"/>
      <c r="D192" s="25"/>
    </row>
    <row r="193">
      <c r="A193" s="25"/>
      <c r="B193" s="25"/>
      <c r="C193" s="25"/>
      <c r="D193" s="25"/>
    </row>
    <row r="194">
      <c r="A194" s="25"/>
      <c r="B194" s="25"/>
      <c r="C194" s="25"/>
      <c r="D194" s="25"/>
    </row>
    <row r="195">
      <c r="A195" s="25"/>
      <c r="B195" s="25"/>
      <c r="C195" s="25"/>
      <c r="D195" s="25"/>
    </row>
    <row r="196">
      <c r="A196" s="25"/>
      <c r="B196" s="25"/>
      <c r="C196" s="25"/>
      <c r="D196" s="25"/>
    </row>
    <row r="197">
      <c r="A197" s="25"/>
      <c r="B197" s="25"/>
      <c r="C197" s="25"/>
      <c r="D197" s="25"/>
    </row>
    <row r="198">
      <c r="A198" s="25"/>
      <c r="B198" s="25"/>
      <c r="C198" s="25"/>
      <c r="D198" s="25"/>
    </row>
    <row r="199">
      <c r="A199" s="25"/>
      <c r="B199" s="25"/>
      <c r="C199" s="25"/>
      <c r="D199" s="25"/>
    </row>
    <row r="200">
      <c r="A200" s="25"/>
      <c r="B200" s="25"/>
      <c r="C200" s="25"/>
      <c r="D200" s="25"/>
    </row>
    <row r="201">
      <c r="A201" s="25"/>
      <c r="B201" s="25"/>
      <c r="C201" s="25"/>
      <c r="D201" s="25"/>
    </row>
    <row r="202">
      <c r="A202" s="25"/>
      <c r="B202" s="25"/>
      <c r="C202" s="25"/>
      <c r="D202" s="25"/>
    </row>
    <row r="203">
      <c r="A203" s="25"/>
      <c r="B203" s="25"/>
      <c r="C203" s="25"/>
      <c r="D203" s="25"/>
    </row>
    <row r="204">
      <c r="A204" s="25"/>
      <c r="B204" s="25"/>
      <c r="C204" s="25"/>
      <c r="D204" s="25"/>
    </row>
    <row r="205">
      <c r="A205" s="25"/>
      <c r="B205" s="25"/>
      <c r="C205" s="25"/>
      <c r="D205" s="25"/>
    </row>
    <row r="206">
      <c r="A206" s="25"/>
      <c r="B206" s="25"/>
      <c r="C206" s="25"/>
      <c r="D206" s="25"/>
    </row>
    <row r="207">
      <c r="A207" s="25"/>
      <c r="B207" s="25"/>
      <c r="C207" s="25"/>
      <c r="D207" s="25"/>
    </row>
    <row r="208">
      <c r="A208" s="25"/>
      <c r="B208" s="25"/>
      <c r="C208" s="25"/>
      <c r="D208" s="25"/>
    </row>
    <row r="209">
      <c r="A209" s="25"/>
      <c r="B209" s="25"/>
      <c r="C209" s="25"/>
      <c r="D209" s="25"/>
    </row>
    <row r="210">
      <c r="A210" s="25"/>
      <c r="B210" s="25"/>
      <c r="C210" s="25"/>
      <c r="D210" s="25"/>
    </row>
    <row r="211">
      <c r="A211" s="25"/>
      <c r="B211" s="25"/>
      <c r="C211" s="25"/>
      <c r="D211" s="25"/>
    </row>
    <row r="212">
      <c r="A212" s="25"/>
      <c r="B212" s="25"/>
      <c r="C212" s="25"/>
      <c r="D212" s="25"/>
    </row>
    <row r="213">
      <c r="A213" s="25"/>
      <c r="B213" s="25"/>
      <c r="C213" s="25"/>
      <c r="D213" s="25"/>
    </row>
    <row r="214">
      <c r="A214" s="25"/>
      <c r="B214" s="25"/>
      <c r="C214" s="25"/>
      <c r="D214" s="25"/>
    </row>
    <row r="215">
      <c r="A215" s="25"/>
      <c r="B215" s="25"/>
      <c r="C215" s="25"/>
      <c r="D215" s="25"/>
    </row>
    <row r="216">
      <c r="A216" s="25"/>
      <c r="B216" s="25"/>
      <c r="C216" s="25"/>
      <c r="D216" s="25"/>
    </row>
    <row r="217">
      <c r="A217" s="25"/>
      <c r="B217" s="25"/>
      <c r="C217" s="25"/>
      <c r="D217" s="25"/>
    </row>
    <row r="218">
      <c r="A218" s="25"/>
      <c r="B218" s="25"/>
      <c r="C218" s="25"/>
      <c r="D218" s="25"/>
    </row>
    <row r="219">
      <c r="A219" s="25"/>
      <c r="B219" s="25"/>
      <c r="C219" s="25"/>
      <c r="D219" s="25"/>
    </row>
    <row r="220">
      <c r="A220" s="25"/>
      <c r="B220" s="25"/>
      <c r="C220" s="25"/>
      <c r="D220" s="25"/>
    </row>
    <row r="221">
      <c r="A221" s="25"/>
      <c r="B221" s="25"/>
      <c r="C221" s="25"/>
      <c r="D221" s="25"/>
    </row>
    <row r="222">
      <c r="A222" s="25"/>
      <c r="B222" s="25"/>
      <c r="C222" s="25"/>
      <c r="D222" s="25"/>
    </row>
    <row r="223">
      <c r="A223" s="25"/>
      <c r="B223" s="25"/>
      <c r="C223" s="25"/>
      <c r="D223" s="25"/>
    </row>
    <row r="224">
      <c r="A224" s="25"/>
      <c r="B224" s="25"/>
      <c r="C224" s="25"/>
      <c r="D224" s="25"/>
    </row>
    <row r="225">
      <c r="A225" s="25"/>
      <c r="B225" s="25"/>
      <c r="C225" s="25"/>
      <c r="D225" s="25"/>
    </row>
    <row r="226">
      <c r="A226" s="25"/>
      <c r="B226" s="25"/>
      <c r="C226" s="25"/>
      <c r="D226" s="25"/>
    </row>
    <row r="227">
      <c r="A227" s="25"/>
      <c r="B227" s="25"/>
      <c r="C227" s="25"/>
      <c r="D227" s="25"/>
    </row>
    <row r="228">
      <c r="A228" s="25"/>
      <c r="B228" s="25"/>
      <c r="C228" s="25"/>
      <c r="D228" s="25"/>
    </row>
    <row r="229">
      <c r="A229" s="25"/>
      <c r="B229" s="25"/>
      <c r="C229" s="25"/>
      <c r="D229" s="25"/>
    </row>
    <row r="230">
      <c r="A230" s="25"/>
      <c r="B230" s="25"/>
      <c r="C230" s="25"/>
      <c r="D230" s="25"/>
    </row>
    <row r="231">
      <c r="A231" s="25"/>
      <c r="B231" s="25"/>
      <c r="C231" s="25"/>
      <c r="D231" s="25"/>
    </row>
    <row r="232">
      <c r="A232" s="25"/>
      <c r="B232" s="25"/>
      <c r="C232" s="25"/>
      <c r="D232" s="25"/>
    </row>
    <row r="233">
      <c r="A233" s="25"/>
      <c r="B233" s="25"/>
      <c r="C233" s="25"/>
      <c r="D233" s="25"/>
    </row>
    <row r="234">
      <c r="A234" s="25"/>
      <c r="B234" s="25"/>
      <c r="C234" s="25"/>
      <c r="D234" s="25"/>
    </row>
    <row r="235">
      <c r="A235" s="25"/>
      <c r="B235" s="25"/>
      <c r="C235" s="25"/>
      <c r="D235" s="25"/>
    </row>
    <row r="236">
      <c r="A236" s="25"/>
      <c r="B236" s="25"/>
      <c r="C236" s="25"/>
      <c r="D236" s="25"/>
    </row>
    <row r="237">
      <c r="A237" s="25"/>
      <c r="B237" s="25"/>
      <c r="C237" s="25"/>
      <c r="D237" s="25"/>
    </row>
    <row r="238">
      <c r="A238" s="25"/>
      <c r="B238" s="25"/>
      <c r="C238" s="25"/>
      <c r="D238" s="25"/>
    </row>
    <row r="239">
      <c r="A239" s="25"/>
      <c r="B239" s="25"/>
      <c r="C239" s="25"/>
      <c r="D239" s="25"/>
    </row>
    <row r="240">
      <c r="A240" s="25"/>
      <c r="B240" s="25"/>
      <c r="C240" s="25"/>
      <c r="D240" s="25"/>
    </row>
    <row r="241">
      <c r="A241" s="25"/>
      <c r="B241" s="25"/>
      <c r="C241" s="25"/>
      <c r="D241" s="25"/>
    </row>
    <row r="242">
      <c r="A242" s="25"/>
      <c r="B242" s="25"/>
      <c r="C242" s="25"/>
      <c r="D242" s="25"/>
    </row>
    <row r="243">
      <c r="A243" s="25"/>
      <c r="B243" s="25"/>
      <c r="C243" s="25"/>
      <c r="D243" s="25"/>
    </row>
    <row r="244">
      <c r="A244" s="25"/>
      <c r="B244" s="25"/>
      <c r="C244" s="25"/>
      <c r="D244" s="25"/>
    </row>
    <row r="245">
      <c r="A245" s="25"/>
      <c r="B245" s="25"/>
      <c r="C245" s="25"/>
      <c r="D245" s="25"/>
    </row>
    <row r="246">
      <c r="A246" s="25"/>
      <c r="B246" s="25"/>
      <c r="C246" s="25"/>
      <c r="D246" s="25"/>
    </row>
    <row r="247">
      <c r="A247" s="25"/>
      <c r="B247" s="25"/>
      <c r="C247" s="25"/>
      <c r="D247" s="25"/>
    </row>
    <row r="248">
      <c r="A248" s="25"/>
      <c r="B248" s="25"/>
      <c r="C248" s="25"/>
      <c r="D248" s="25"/>
    </row>
    <row r="249">
      <c r="A249" s="25"/>
      <c r="B249" s="25"/>
      <c r="C249" s="25"/>
      <c r="D249" s="25"/>
    </row>
    <row r="250">
      <c r="A250" s="25"/>
      <c r="B250" s="25"/>
      <c r="C250" s="25"/>
      <c r="D250" s="25"/>
    </row>
    <row r="251">
      <c r="A251" s="25"/>
      <c r="B251" s="25"/>
      <c r="C251" s="25"/>
      <c r="D251" s="25"/>
    </row>
    <row r="252">
      <c r="A252" s="25"/>
      <c r="B252" s="25"/>
      <c r="C252" s="25"/>
      <c r="D252" s="25"/>
    </row>
    <row r="253">
      <c r="A253" s="25"/>
      <c r="B253" s="25"/>
      <c r="C253" s="25"/>
      <c r="D253" s="25"/>
    </row>
    <row r="254">
      <c r="A254" s="25"/>
      <c r="B254" s="25"/>
      <c r="C254" s="25"/>
      <c r="D254" s="25"/>
    </row>
    <row r="255">
      <c r="A255" s="25"/>
      <c r="B255" s="25"/>
      <c r="C255" s="25"/>
      <c r="D255" s="25"/>
    </row>
    <row r="256">
      <c r="A256" s="25"/>
      <c r="B256" s="25"/>
      <c r="C256" s="25"/>
      <c r="D256" s="25"/>
    </row>
    <row r="257">
      <c r="A257" s="25"/>
      <c r="B257" s="25"/>
      <c r="C257" s="25"/>
      <c r="D257" s="25"/>
    </row>
    <row r="258">
      <c r="A258" s="25"/>
      <c r="B258" s="25"/>
      <c r="C258" s="25"/>
      <c r="D258" s="25"/>
    </row>
    <row r="259">
      <c r="A259" s="25"/>
      <c r="B259" s="25"/>
      <c r="C259" s="25"/>
      <c r="D259" s="25"/>
    </row>
    <row r="260">
      <c r="A260" s="25"/>
      <c r="B260" s="25"/>
      <c r="C260" s="25"/>
      <c r="D260" s="25"/>
    </row>
    <row r="261">
      <c r="A261" s="25"/>
      <c r="B261" s="25"/>
      <c r="C261" s="25"/>
      <c r="D261" s="25"/>
    </row>
    <row r="262">
      <c r="A262" s="25"/>
      <c r="B262" s="25"/>
      <c r="C262" s="25"/>
      <c r="D262" s="25"/>
    </row>
    <row r="263">
      <c r="A263" s="25"/>
      <c r="B263" s="25"/>
      <c r="C263" s="25"/>
      <c r="D263" s="25"/>
    </row>
    <row r="264">
      <c r="A264" s="25"/>
      <c r="B264" s="25"/>
      <c r="C264" s="25"/>
      <c r="D264" s="25"/>
    </row>
    <row r="265">
      <c r="A265" s="25"/>
      <c r="B265" s="25"/>
      <c r="C265" s="25"/>
      <c r="D265" s="25"/>
    </row>
    <row r="266">
      <c r="A266" s="25"/>
      <c r="B266" s="25"/>
      <c r="C266" s="25"/>
      <c r="D266" s="25"/>
    </row>
    <row r="267">
      <c r="A267" s="25"/>
      <c r="B267" s="25"/>
      <c r="C267" s="25"/>
      <c r="D267" s="25"/>
    </row>
    <row r="268">
      <c r="A268" s="25"/>
      <c r="B268" s="25"/>
      <c r="C268" s="25"/>
      <c r="D268" s="25"/>
    </row>
    <row r="269">
      <c r="A269" s="25"/>
      <c r="B269" s="25"/>
      <c r="C269" s="25"/>
      <c r="D269" s="25"/>
    </row>
    <row r="270">
      <c r="A270" s="25"/>
      <c r="B270" s="25"/>
      <c r="C270" s="25"/>
      <c r="D270" s="25"/>
    </row>
    <row r="271">
      <c r="A271" s="25"/>
      <c r="B271" s="25"/>
      <c r="C271" s="25"/>
      <c r="D271" s="25"/>
    </row>
    <row r="272">
      <c r="A272" s="25"/>
      <c r="B272" s="25"/>
      <c r="C272" s="25"/>
      <c r="D272" s="25"/>
    </row>
    <row r="273">
      <c r="A273" s="25"/>
      <c r="B273" s="25"/>
      <c r="C273" s="25"/>
      <c r="D273" s="25"/>
    </row>
    <row r="274">
      <c r="A274" s="25"/>
      <c r="B274" s="25"/>
      <c r="C274" s="25"/>
      <c r="D274" s="25"/>
    </row>
    <row r="275">
      <c r="A275" s="25"/>
      <c r="B275" s="25"/>
      <c r="C275" s="25"/>
      <c r="D275" s="25"/>
    </row>
    <row r="276">
      <c r="A276" s="25"/>
      <c r="B276" s="25"/>
      <c r="C276" s="25"/>
      <c r="D276" s="25"/>
    </row>
    <row r="277">
      <c r="A277" s="25"/>
      <c r="B277" s="25"/>
      <c r="C277" s="25"/>
      <c r="D277" s="25"/>
    </row>
    <row r="278">
      <c r="A278" s="25"/>
      <c r="B278" s="25"/>
      <c r="C278" s="25"/>
      <c r="D278" s="25"/>
    </row>
    <row r="279">
      <c r="A279" s="25"/>
      <c r="B279" s="25"/>
      <c r="C279" s="25"/>
      <c r="D279" s="25"/>
    </row>
    <row r="280">
      <c r="A280" s="25"/>
      <c r="B280" s="25"/>
      <c r="C280" s="25"/>
      <c r="D280" s="25"/>
    </row>
    <row r="281">
      <c r="A281" s="25"/>
      <c r="B281" s="25"/>
      <c r="C281" s="25"/>
      <c r="D281" s="25"/>
    </row>
    <row r="282">
      <c r="A282" s="25"/>
      <c r="B282" s="25"/>
      <c r="C282" s="25"/>
      <c r="D282" s="25"/>
    </row>
    <row r="283">
      <c r="A283" s="25"/>
      <c r="B283" s="25"/>
      <c r="C283" s="25"/>
      <c r="D283" s="25"/>
    </row>
    <row r="284">
      <c r="A284" s="25"/>
      <c r="B284" s="25"/>
      <c r="C284" s="25"/>
      <c r="D284" s="25"/>
    </row>
    <row r="285">
      <c r="A285" s="25"/>
      <c r="B285" s="25"/>
      <c r="C285" s="25"/>
      <c r="D285" s="25"/>
    </row>
    <row r="286">
      <c r="A286" s="25"/>
      <c r="B286" s="25"/>
      <c r="C286" s="25"/>
      <c r="D286" s="25"/>
    </row>
    <row r="287">
      <c r="A287" s="25"/>
      <c r="B287" s="25"/>
      <c r="C287" s="25"/>
      <c r="D287" s="25"/>
    </row>
    <row r="288">
      <c r="A288" s="25"/>
      <c r="B288" s="25"/>
      <c r="C288" s="25"/>
      <c r="D288" s="25"/>
    </row>
    <row r="289">
      <c r="A289" s="25"/>
      <c r="B289" s="25"/>
      <c r="C289" s="25"/>
      <c r="D289" s="25"/>
    </row>
    <row r="290">
      <c r="A290" s="25"/>
      <c r="B290" s="25"/>
      <c r="C290" s="25"/>
      <c r="D290" s="25"/>
    </row>
    <row r="291">
      <c r="A291" s="25"/>
      <c r="B291" s="25"/>
      <c r="C291" s="25"/>
      <c r="D291" s="25"/>
    </row>
    <row r="292">
      <c r="A292" s="25"/>
      <c r="B292" s="25"/>
      <c r="C292" s="25"/>
      <c r="D292" s="25"/>
    </row>
    <row r="293">
      <c r="A293" s="25"/>
      <c r="B293" s="25"/>
      <c r="C293" s="25"/>
      <c r="D293" s="25"/>
    </row>
    <row r="294">
      <c r="A294" s="25"/>
      <c r="B294" s="25"/>
      <c r="C294" s="25"/>
      <c r="D294" s="25"/>
    </row>
    <row r="295">
      <c r="A295" s="25"/>
      <c r="B295" s="25"/>
      <c r="C295" s="25"/>
      <c r="D295" s="25"/>
    </row>
    <row r="296">
      <c r="A296" s="25"/>
      <c r="B296" s="25"/>
      <c r="C296" s="25"/>
      <c r="D296" s="25"/>
    </row>
    <row r="297">
      <c r="A297" s="25"/>
      <c r="B297" s="25"/>
      <c r="C297" s="25"/>
      <c r="D297" s="25"/>
    </row>
    <row r="298">
      <c r="A298" s="25"/>
      <c r="B298" s="25"/>
      <c r="C298" s="25"/>
      <c r="D298" s="25"/>
    </row>
    <row r="299">
      <c r="A299" s="25"/>
      <c r="B299" s="25"/>
      <c r="C299" s="25"/>
      <c r="D299" s="25"/>
    </row>
    <row r="300">
      <c r="A300" s="25"/>
      <c r="B300" s="25"/>
      <c r="C300" s="25"/>
      <c r="D300" s="25"/>
    </row>
    <row r="301">
      <c r="A301" s="25"/>
      <c r="B301" s="25"/>
      <c r="C301" s="25"/>
      <c r="D301" s="25"/>
    </row>
    <row r="302">
      <c r="A302" s="25"/>
      <c r="B302" s="25"/>
      <c r="C302" s="25"/>
      <c r="D302" s="25"/>
    </row>
    <row r="303">
      <c r="A303" s="25"/>
      <c r="B303" s="25"/>
      <c r="C303" s="25"/>
      <c r="D303" s="25"/>
    </row>
    <row r="304">
      <c r="A304" s="25"/>
      <c r="B304" s="25"/>
      <c r="C304" s="25"/>
      <c r="D304" s="25"/>
    </row>
    <row r="305">
      <c r="A305" s="25"/>
      <c r="B305" s="25"/>
      <c r="C305" s="25"/>
      <c r="D305" s="25"/>
    </row>
    <row r="306">
      <c r="A306" s="25"/>
      <c r="B306" s="25"/>
      <c r="C306" s="25"/>
      <c r="D306" s="25"/>
    </row>
    <row r="307">
      <c r="A307" s="25"/>
      <c r="B307" s="25"/>
      <c r="C307" s="25"/>
      <c r="D307" s="25"/>
    </row>
    <row r="308">
      <c r="A308" s="25"/>
      <c r="B308" s="25"/>
      <c r="C308" s="25"/>
      <c r="D308" s="25"/>
    </row>
    <row r="309">
      <c r="A309" s="25"/>
      <c r="B309" s="25"/>
      <c r="C309" s="25"/>
      <c r="D309" s="25"/>
    </row>
    <row r="310">
      <c r="A310" s="25"/>
      <c r="B310" s="25"/>
      <c r="C310" s="25"/>
      <c r="D310" s="25"/>
    </row>
    <row r="311">
      <c r="A311" s="25"/>
      <c r="B311" s="25"/>
      <c r="C311" s="25"/>
      <c r="D311" s="25"/>
    </row>
    <row r="312">
      <c r="A312" s="25"/>
      <c r="B312" s="25"/>
      <c r="C312" s="25"/>
      <c r="D312" s="25"/>
    </row>
    <row r="313">
      <c r="A313" s="25"/>
      <c r="B313" s="25"/>
      <c r="C313" s="25"/>
      <c r="D313" s="25"/>
    </row>
    <row r="314">
      <c r="A314" s="25"/>
      <c r="B314" s="25"/>
      <c r="C314" s="25"/>
      <c r="D314" s="25"/>
    </row>
    <row r="315">
      <c r="A315" s="25"/>
      <c r="B315" s="25"/>
      <c r="C315" s="25"/>
      <c r="D315" s="25"/>
    </row>
    <row r="316">
      <c r="A316" s="25"/>
      <c r="B316" s="25"/>
      <c r="C316" s="25"/>
      <c r="D316" s="25"/>
    </row>
    <row r="317">
      <c r="A317" s="25"/>
      <c r="B317" s="25"/>
      <c r="C317" s="25"/>
      <c r="D317" s="25"/>
    </row>
    <row r="318">
      <c r="A318" s="25"/>
      <c r="B318" s="25"/>
      <c r="C318" s="25"/>
      <c r="D318" s="25"/>
    </row>
    <row r="319">
      <c r="A319" s="25"/>
      <c r="B319" s="25"/>
      <c r="C319" s="25"/>
      <c r="D319" s="25"/>
    </row>
    <row r="320">
      <c r="A320" s="25"/>
      <c r="B320" s="25"/>
      <c r="C320" s="25"/>
      <c r="D320" s="25"/>
    </row>
    <row r="321">
      <c r="A321" s="25"/>
      <c r="B321" s="25"/>
      <c r="C321" s="25"/>
      <c r="D321" s="25"/>
    </row>
    <row r="322">
      <c r="A322" s="25"/>
      <c r="B322" s="25"/>
      <c r="C322" s="25"/>
      <c r="D322" s="25"/>
    </row>
    <row r="323">
      <c r="A323" s="25"/>
      <c r="B323" s="25"/>
      <c r="C323" s="25"/>
      <c r="D323" s="25"/>
    </row>
    <row r="324">
      <c r="A324" s="25"/>
      <c r="B324" s="25"/>
      <c r="C324" s="25"/>
      <c r="D324" s="25"/>
    </row>
    <row r="325">
      <c r="A325" s="25"/>
      <c r="B325" s="25"/>
      <c r="C325" s="25"/>
      <c r="D325" s="25"/>
    </row>
    <row r="326">
      <c r="A326" s="25"/>
      <c r="B326" s="25"/>
      <c r="C326" s="25"/>
      <c r="D326" s="25"/>
    </row>
    <row r="327">
      <c r="A327" s="25"/>
      <c r="B327" s="25"/>
      <c r="C327" s="25"/>
      <c r="D327" s="25"/>
    </row>
    <row r="328">
      <c r="A328" s="25"/>
      <c r="B328" s="25"/>
      <c r="C328" s="25"/>
      <c r="D328" s="25"/>
    </row>
    <row r="329">
      <c r="A329" s="25"/>
      <c r="B329" s="25"/>
      <c r="C329" s="25"/>
      <c r="D329" s="25"/>
    </row>
    <row r="330">
      <c r="A330" s="25"/>
      <c r="B330" s="25"/>
      <c r="C330" s="25"/>
      <c r="D330" s="25"/>
    </row>
    <row r="331">
      <c r="A331" s="25"/>
      <c r="B331" s="25"/>
      <c r="C331" s="25"/>
      <c r="D331" s="25"/>
    </row>
    <row r="332">
      <c r="A332" s="25"/>
      <c r="B332" s="25"/>
      <c r="C332" s="25"/>
      <c r="D332" s="25"/>
    </row>
    <row r="333">
      <c r="A333" s="25"/>
      <c r="B333" s="25"/>
      <c r="C333" s="25"/>
      <c r="D333" s="25"/>
    </row>
    <row r="334">
      <c r="A334" s="25"/>
      <c r="B334" s="25"/>
      <c r="C334" s="25"/>
      <c r="D334" s="25"/>
    </row>
    <row r="335">
      <c r="A335" s="25"/>
      <c r="B335" s="25"/>
      <c r="C335" s="25"/>
      <c r="D335" s="25"/>
    </row>
    <row r="336">
      <c r="A336" s="25"/>
      <c r="B336" s="25"/>
      <c r="C336" s="25"/>
      <c r="D336" s="25"/>
    </row>
    <row r="337">
      <c r="A337" s="25"/>
      <c r="B337" s="25"/>
      <c r="C337" s="25"/>
      <c r="D337" s="25"/>
    </row>
    <row r="338">
      <c r="A338" s="25"/>
      <c r="B338" s="25"/>
      <c r="C338" s="25"/>
      <c r="D338" s="25"/>
    </row>
    <row r="339">
      <c r="A339" s="25"/>
      <c r="B339" s="25"/>
      <c r="C339" s="25"/>
      <c r="D339" s="25"/>
    </row>
    <row r="340">
      <c r="A340" s="25"/>
      <c r="B340" s="25"/>
      <c r="C340" s="25"/>
      <c r="D340" s="25"/>
    </row>
    <row r="341">
      <c r="A341" s="25"/>
      <c r="B341" s="25"/>
      <c r="C341" s="25"/>
      <c r="D341" s="25"/>
    </row>
    <row r="342">
      <c r="A342" s="25"/>
      <c r="B342" s="25"/>
      <c r="C342" s="25"/>
      <c r="D342" s="25"/>
    </row>
    <row r="343">
      <c r="A343" s="25"/>
      <c r="B343" s="25"/>
      <c r="C343" s="25"/>
      <c r="D343" s="25"/>
    </row>
    <row r="344">
      <c r="A344" s="25"/>
      <c r="B344" s="25"/>
      <c r="C344" s="25"/>
      <c r="D344" s="25"/>
    </row>
    <row r="345">
      <c r="A345" s="25"/>
      <c r="B345" s="25"/>
      <c r="C345" s="25"/>
      <c r="D345" s="25"/>
    </row>
    <row r="346">
      <c r="A346" s="25"/>
      <c r="B346" s="25"/>
      <c r="C346" s="25"/>
      <c r="D346" s="25"/>
    </row>
    <row r="347">
      <c r="A347" s="25"/>
      <c r="B347" s="25"/>
      <c r="C347" s="25"/>
      <c r="D347" s="25"/>
    </row>
    <row r="348">
      <c r="A348" s="25"/>
      <c r="B348" s="25"/>
      <c r="C348" s="25"/>
      <c r="D348" s="25"/>
    </row>
    <row r="349">
      <c r="A349" s="25"/>
      <c r="B349" s="25"/>
      <c r="C349" s="25"/>
      <c r="D349" s="25"/>
    </row>
    <row r="350">
      <c r="A350" s="25"/>
      <c r="B350" s="25"/>
      <c r="C350" s="25"/>
      <c r="D350" s="25"/>
    </row>
    <row r="351">
      <c r="A351" s="25"/>
      <c r="B351" s="25"/>
      <c r="C351" s="25"/>
      <c r="D351" s="25"/>
    </row>
    <row r="352">
      <c r="A352" s="25"/>
      <c r="B352" s="25"/>
      <c r="C352" s="25"/>
      <c r="D352" s="25"/>
    </row>
    <row r="353">
      <c r="A353" s="25"/>
      <c r="B353" s="25"/>
      <c r="C353" s="25"/>
      <c r="D353" s="25"/>
    </row>
    <row r="354">
      <c r="A354" s="25"/>
      <c r="B354" s="25"/>
      <c r="C354" s="25"/>
      <c r="D354" s="25"/>
    </row>
    <row r="355">
      <c r="A355" s="25"/>
      <c r="B355" s="25"/>
      <c r="C355" s="25"/>
      <c r="D355" s="25"/>
    </row>
    <row r="356">
      <c r="A356" s="25"/>
      <c r="B356" s="25"/>
      <c r="C356" s="25"/>
      <c r="D356" s="25"/>
    </row>
    <row r="357">
      <c r="A357" s="25"/>
      <c r="B357" s="25"/>
      <c r="C357" s="25"/>
      <c r="D357" s="25"/>
    </row>
    <row r="358">
      <c r="A358" s="25"/>
      <c r="B358" s="25"/>
      <c r="C358" s="25"/>
      <c r="D358" s="25"/>
    </row>
    <row r="359">
      <c r="A359" s="25"/>
      <c r="B359" s="25"/>
      <c r="C359" s="25"/>
      <c r="D359" s="25"/>
    </row>
    <row r="360">
      <c r="A360" s="25"/>
      <c r="B360" s="25"/>
      <c r="C360" s="25"/>
      <c r="D360" s="25"/>
    </row>
    <row r="361">
      <c r="A361" s="25"/>
      <c r="B361" s="25"/>
      <c r="C361" s="25"/>
      <c r="D361" s="25"/>
    </row>
    <row r="362">
      <c r="A362" s="25"/>
      <c r="B362" s="25"/>
      <c r="C362" s="25"/>
      <c r="D362" s="25"/>
    </row>
    <row r="363">
      <c r="A363" s="25"/>
      <c r="B363" s="25"/>
      <c r="C363" s="25"/>
      <c r="D363" s="25"/>
    </row>
    <row r="364">
      <c r="A364" s="25"/>
      <c r="B364" s="25"/>
      <c r="C364" s="25"/>
      <c r="D364" s="25"/>
    </row>
    <row r="365">
      <c r="A365" s="25"/>
      <c r="B365" s="25"/>
      <c r="C365" s="25"/>
      <c r="D365" s="25"/>
    </row>
    <row r="366">
      <c r="A366" s="25"/>
      <c r="B366" s="25"/>
      <c r="C366" s="25"/>
      <c r="D366" s="25"/>
    </row>
    <row r="367">
      <c r="A367" s="25"/>
      <c r="B367" s="25"/>
      <c r="C367" s="25"/>
      <c r="D367" s="25"/>
    </row>
    <row r="368">
      <c r="A368" s="25"/>
      <c r="B368" s="25"/>
      <c r="C368" s="25"/>
      <c r="D368" s="25"/>
    </row>
    <row r="369">
      <c r="A369" s="25"/>
      <c r="B369" s="25"/>
      <c r="C369" s="25"/>
      <c r="D369" s="25"/>
    </row>
    <row r="370">
      <c r="A370" s="25"/>
      <c r="B370" s="25"/>
      <c r="C370" s="25"/>
      <c r="D370" s="25"/>
    </row>
    <row r="371">
      <c r="A371" s="25"/>
      <c r="B371" s="25"/>
      <c r="C371" s="25"/>
      <c r="D371" s="25"/>
    </row>
    <row r="372">
      <c r="A372" s="25"/>
      <c r="B372" s="25"/>
      <c r="C372" s="25"/>
      <c r="D372" s="25"/>
    </row>
    <row r="373">
      <c r="A373" s="25"/>
      <c r="B373" s="25"/>
      <c r="C373" s="25"/>
      <c r="D373" s="25"/>
    </row>
    <row r="374">
      <c r="A374" s="25"/>
      <c r="B374" s="25"/>
      <c r="C374" s="25"/>
      <c r="D374" s="25"/>
    </row>
    <row r="375">
      <c r="A375" s="25"/>
      <c r="B375" s="25"/>
      <c r="C375" s="25"/>
      <c r="D375" s="25"/>
    </row>
    <row r="376">
      <c r="A376" s="25"/>
      <c r="B376" s="25"/>
      <c r="C376" s="25"/>
      <c r="D376" s="25"/>
    </row>
    <row r="377">
      <c r="A377" s="25"/>
      <c r="B377" s="25"/>
      <c r="C377" s="25"/>
      <c r="D377" s="25"/>
    </row>
    <row r="378">
      <c r="A378" s="25"/>
      <c r="B378" s="25"/>
      <c r="C378" s="25"/>
      <c r="D378" s="25"/>
    </row>
    <row r="379">
      <c r="A379" s="25"/>
      <c r="B379" s="25"/>
      <c r="C379" s="25"/>
      <c r="D379" s="25"/>
    </row>
    <row r="380">
      <c r="A380" s="25"/>
      <c r="B380" s="25"/>
      <c r="C380" s="25"/>
      <c r="D380" s="25"/>
    </row>
    <row r="381">
      <c r="A381" s="25"/>
      <c r="B381" s="25"/>
      <c r="C381" s="25"/>
      <c r="D381" s="25"/>
    </row>
    <row r="382">
      <c r="A382" s="25"/>
      <c r="B382" s="25"/>
      <c r="C382" s="25"/>
      <c r="D382" s="25"/>
    </row>
    <row r="383">
      <c r="A383" s="25"/>
      <c r="B383" s="25"/>
      <c r="C383" s="25"/>
      <c r="D383" s="25"/>
    </row>
    <row r="384">
      <c r="A384" s="25"/>
      <c r="B384" s="25"/>
      <c r="C384" s="25"/>
      <c r="D384" s="25"/>
    </row>
    <row r="385">
      <c r="A385" s="25"/>
      <c r="B385" s="25"/>
      <c r="C385" s="25"/>
      <c r="D385" s="25"/>
    </row>
    <row r="386">
      <c r="A386" s="25"/>
      <c r="B386" s="25"/>
      <c r="C386" s="25"/>
      <c r="D386" s="25"/>
    </row>
    <row r="387">
      <c r="A387" s="25"/>
      <c r="B387" s="25"/>
      <c r="C387" s="25"/>
      <c r="D387" s="25"/>
    </row>
    <row r="388">
      <c r="A388" s="25"/>
      <c r="B388" s="25"/>
      <c r="C388" s="25"/>
      <c r="D388" s="25"/>
    </row>
    <row r="389">
      <c r="A389" s="25"/>
      <c r="B389" s="25"/>
      <c r="C389" s="25"/>
      <c r="D389" s="25"/>
    </row>
    <row r="390">
      <c r="A390" s="25"/>
      <c r="B390" s="25"/>
      <c r="C390" s="25"/>
      <c r="D390" s="25"/>
    </row>
    <row r="391">
      <c r="A391" s="25"/>
      <c r="B391" s="25"/>
      <c r="C391" s="25"/>
      <c r="D391" s="25"/>
    </row>
    <row r="392">
      <c r="A392" s="25"/>
      <c r="B392" s="25"/>
      <c r="C392" s="25"/>
      <c r="D392" s="25"/>
    </row>
    <row r="393">
      <c r="A393" s="25"/>
      <c r="B393" s="25"/>
      <c r="C393" s="25"/>
      <c r="D393" s="25"/>
    </row>
    <row r="394">
      <c r="A394" s="25"/>
      <c r="B394" s="25"/>
      <c r="C394" s="25"/>
      <c r="D394" s="25"/>
    </row>
    <row r="395">
      <c r="A395" s="25"/>
      <c r="B395" s="25"/>
      <c r="C395" s="25"/>
      <c r="D395" s="25"/>
    </row>
    <row r="396">
      <c r="A396" s="25"/>
      <c r="B396" s="25"/>
      <c r="C396" s="25"/>
      <c r="D396" s="25"/>
    </row>
    <row r="397">
      <c r="A397" s="25"/>
      <c r="B397" s="25"/>
      <c r="C397" s="25"/>
      <c r="D397" s="25"/>
    </row>
    <row r="398">
      <c r="A398" s="25"/>
      <c r="B398" s="25"/>
      <c r="C398" s="25"/>
      <c r="D398" s="25"/>
    </row>
    <row r="399">
      <c r="A399" s="25"/>
      <c r="B399" s="25"/>
      <c r="C399" s="25"/>
      <c r="D399" s="25"/>
    </row>
    <row r="400">
      <c r="A400" s="25"/>
      <c r="B400" s="25"/>
      <c r="C400" s="25"/>
      <c r="D400" s="25"/>
    </row>
    <row r="401">
      <c r="A401" s="25"/>
      <c r="B401" s="25"/>
      <c r="C401" s="25"/>
      <c r="D401" s="25"/>
    </row>
    <row r="402">
      <c r="A402" s="25"/>
      <c r="B402" s="25"/>
      <c r="C402" s="25"/>
      <c r="D402" s="25"/>
    </row>
    <row r="403">
      <c r="A403" s="25"/>
      <c r="B403" s="25"/>
      <c r="C403" s="25"/>
      <c r="D403" s="25"/>
    </row>
    <row r="404">
      <c r="A404" s="25"/>
      <c r="B404" s="25"/>
      <c r="C404" s="25"/>
      <c r="D404" s="25"/>
    </row>
    <row r="405">
      <c r="A405" s="25"/>
      <c r="B405" s="25"/>
      <c r="C405" s="25"/>
      <c r="D405" s="25"/>
    </row>
    <row r="406">
      <c r="A406" s="25"/>
      <c r="B406" s="25"/>
      <c r="C406" s="25"/>
      <c r="D406" s="25"/>
    </row>
    <row r="407">
      <c r="A407" s="25"/>
      <c r="B407" s="25"/>
      <c r="C407" s="25"/>
      <c r="D407" s="25"/>
    </row>
    <row r="408">
      <c r="A408" s="25"/>
      <c r="B408" s="25"/>
      <c r="C408" s="25"/>
      <c r="D408" s="25"/>
    </row>
    <row r="409">
      <c r="A409" s="25"/>
      <c r="B409" s="25"/>
      <c r="C409" s="25"/>
      <c r="D409" s="25"/>
    </row>
    <row r="410">
      <c r="A410" s="25"/>
      <c r="B410" s="25"/>
      <c r="C410" s="25"/>
      <c r="D410" s="25"/>
    </row>
    <row r="411">
      <c r="A411" s="25"/>
      <c r="B411" s="25"/>
      <c r="C411" s="25"/>
      <c r="D411" s="25"/>
    </row>
    <row r="412">
      <c r="A412" s="25"/>
      <c r="B412" s="25"/>
      <c r="C412" s="25"/>
      <c r="D412" s="25"/>
    </row>
    <row r="413">
      <c r="A413" s="25"/>
      <c r="B413" s="25"/>
      <c r="C413" s="25"/>
      <c r="D413" s="25"/>
    </row>
    <row r="414">
      <c r="A414" s="25"/>
      <c r="B414" s="25"/>
      <c r="C414" s="25"/>
      <c r="D414" s="25"/>
    </row>
    <row r="415">
      <c r="A415" s="25"/>
      <c r="B415" s="25"/>
      <c r="C415" s="25"/>
      <c r="D415" s="25"/>
    </row>
    <row r="416">
      <c r="A416" s="25"/>
      <c r="B416" s="25"/>
      <c r="C416" s="25"/>
      <c r="D416" s="25"/>
    </row>
    <row r="417">
      <c r="A417" s="25"/>
      <c r="B417" s="25"/>
      <c r="C417" s="25"/>
      <c r="D417" s="25"/>
    </row>
    <row r="418">
      <c r="A418" s="25"/>
      <c r="B418" s="25"/>
      <c r="C418" s="25"/>
      <c r="D418" s="25"/>
    </row>
    <row r="419">
      <c r="A419" s="25"/>
      <c r="B419" s="25"/>
      <c r="C419" s="25"/>
      <c r="D419" s="25"/>
    </row>
    <row r="420">
      <c r="A420" s="25"/>
      <c r="B420" s="25"/>
      <c r="C420" s="25"/>
      <c r="D420" s="25"/>
    </row>
    <row r="421">
      <c r="A421" s="25"/>
      <c r="B421" s="25"/>
      <c r="C421" s="25"/>
      <c r="D421" s="25"/>
    </row>
    <row r="422">
      <c r="A422" s="25"/>
      <c r="B422" s="25"/>
      <c r="C422" s="25"/>
      <c r="D422" s="25"/>
    </row>
    <row r="423">
      <c r="A423" s="25"/>
      <c r="B423" s="25"/>
      <c r="C423" s="25"/>
      <c r="D423" s="25"/>
    </row>
    <row r="424">
      <c r="A424" s="25"/>
      <c r="B424" s="25"/>
      <c r="C424" s="25"/>
      <c r="D424" s="25"/>
    </row>
    <row r="425">
      <c r="A425" s="25"/>
      <c r="B425" s="25"/>
      <c r="C425" s="25"/>
      <c r="D425" s="25"/>
    </row>
    <row r="426">
      <c r="A426" s="25"/>
      <c r="B426" s="25"/>
      <c r="C426" s="25"/>
      <c r="D426" s="25"/>
    </row>
    <row r="427">
      <c r="A427" s="25"/>
      <c r="B427" s="25"/>
      <c r="C427" s="25"/>
      <c r="D427" s="25"/>
    </row>
    <row r="428">
      <c r="A428" s="25"/>
      <c r="B428" s="25"/>
      <c r="C428" s="25"/>
      <c r="D428" s="25"/>
    </row>
    <row r="429">
      <c r="A429" s="25"/>
      <c r="B429" s="25"/>
      <c r="C429" s="25"/>
      <c r="D429" s="25"/>
    </row>
    <row r="430">
      <c r="A430" s="25"/>
      <c r="B430" s="25"/>
      <c r="C430" s="25"/>
      <c r="D430" s="25"/>
    </row>
    <row r="431">
      <c r="A431" s="25"/>
      <c r="B431" s="25"/>
      <c r="C431" s="25"/>
      <c r="D431" s="25"/>
    </row>
    <row r="432">
      <c r="A432" s="25"/>
      <c r="B432" s="25"/>
      <c r="C432" s="25"/>
      <c r="D432" s="25"/>
    </row>
    <row r="433">
      <c r="A433" s="25"/>
      <c r="B433" s="25"/>
      <c r="C433" s="25"/>
      <c r="D433" s="25"/>
    </row>
    <row r="434">
      <c r="A434" s="25"/>
      <c r="B434" s="25"/>
      <c r="C434" s="25"/>
      <c r="D434" s="25"/>
    </row>
    <row r="435">
      <c r="A435" s="25"/>
      <c r="B435" s="25"/>
      <c r="C435" s="25"/>
      <c r="D435" s="25"/>
    </row>
    <row r="436">
      <c r="A436" s="25"/>
      <c r="B436" s="25"/>
      <c r="C436" s="25"/>
      <c r="D436" s="25"/>
    </row>
    <row r="437">
      <c r="A437" s="25"/>
      <c r="B437" s="25"/>
      <c r="C437" s="25"/>
      <c r="D437" s="25"/>
    </row>
    <row r="438">
      <c r="A438" s="25"/>
      <c r="B438" s="25"/>
      <c r="C438" s="25"/>
      <c r="D438" s="25"/>
    </row>
    <row r="439">
      <c r="A439" s="25"/>
      <c r="B439" s="25"/>
      <c r="C439" s="25"/>
      <c r="D439" s="25"/>
    </row>
    <row r="440">
      <c r="A440" s="25"/>
      <c r="B440" s="25"/>
      <c r="C440" s="25"/>
      <c r="D440" s="25"/>
    </row>
    <row r="441">
      <c r="A441" s="25"/>
      <c r="B441" s="25"/>
      <c r="C441" s="25"/>
      <c r="D441" s="25"/>
    </row>
    <row r="442">
      <c r="A442" s="25"/>
      <c r="B442" s="25"/>
      <c r="C442" s="25"/>
      <c r="D442" s="25"/>
    </row>
    <row r="443">
      <c r="A443" s="25"/>
      <c r="B443" s="25"/>
      <c r="C443" s="25"/>
      <c r="D443" s="25"/>
    </row>
    <row r="444">
      <c r="A444" s="25"/>
      <c r="B444" s="25"/>
      <c r="C444" s="25"/>
      <c r="D444" s="25"/>
    </row>
    <row r="445">
      <c r="A445" s="25"/>
      <c r="B445" s="25"/>
      <c r="C445" s="25"/>
      <c r="D445" s="25"/>
    </row>
    <row r="446">
      <c r="A446" s="25"/>
      <c r="B446" s="25"/>
      <c r="C446" s="25"/>
      <c r="D446" s="25"/>
    </row>
    <row r="447">
      <c r="A447" s="25"/>
      <c r="B447" s="25"/>
      <c r="C447" s="25"/>
      <c r="D447" s="25"/>
    </row>
    <row r="448">
      <c r="A448" s="25"/>
      <c r="B448" s="25"/>
      <c r="C448" s="25"/>
      <c r="D448" s="25"/>
    </row>
    <row r="449">
      <c r="A449" s="25"/>
      <c r="B449" s="25"/>
      <c r="C449" s="25"/>
      <c r="D449" s="25"/>
    </row>
    <row r="450">
      <c r="A450" s="25"/>
      <c r="B450" s="25"/>
      <c r="C450" s="25"/>
      <c r="D450" s="25"/>
    </row>
    <row r="451">
      <c r="A451" s="25"/>
      <c r="B451" s="25"/>
      <c r="C451" s="25"/>
      <c r="D451" s="25"/>
    </row>
    <row r="452">
      <c r="A452" s="25"/>
      <c r="B452" s="25"/>
      <c r="C452" s="25"/>
      <c r="D452" s="25"/>
    </row>
    <row r="453">
      <c r="A453" s="25"/>
      <c r="B453" s="25"/>
      <c r="C453" s="25"/>
      <c r="D453" s="25"/>
    </row>
    <row r="454">
      <c r="A454" s="25"/>
      <c r="B454" s="25"/>
      <c r="C454" s="25"/>
      <c r="D454" s="25"/>
    </row>
    <row r="455">
      <c r="A455" s="25"/>
      <c r="B455" s="25"/>
      <c r="C455" s="25"/>
      <c r="D455" s="25"/>
    </row>
    <row r="456">
      <c r="A456" s="25"/>
      <c r="B456" s="25"/>
      <c r="C456" s="25"/>
      <c r="D456" s="25"/>
    </row>
    <row r="457">
      <c r="A457" s="25"/>
      <c r="B457" s="25"/>
      <c r="C457" s="25"/>
      <c r="D457" s="25"/>
    </row>
    <row r="458">
      <c r="A458" s="25"/>
      <c r="B458" s="25"/>
      <c r="C458" s="25"/>
      <c r="D458" s="25"/>
    </row>
    <row r="459">
      <c r="A459" s="25"/>
      <c r="B459" s="25"/>
      <c r="C459" s="25"/>
      <c r="D459" s="25"/>
    </row>
    <row r="460">
      <c r="A460" s="25"/>
      <c r="B460" s="25"/>
      <c r="C460" s="25"/>
      <c r="D460" s="25"/>
    </row>
    <row r="461">
      <c r="A461" s="25"/>
      <c r="B461" s="25"/>
      <c r="C461" s="25"/>
      <c r="D461" s="25"/>
    </row>
    <row r="462">
      <c r="A462" s="25"/>
      <c r="B462" s="25"/>
      <c r="C462" s="25"/>
      <c r="D462" s="25"/>
    </row>
    <row r="463">
      <c r="A463" s="25"/>
      <c r="B463" s="25"/>
      <c r="C463" s="25"/>
      <c r="D463" s="25"/>
    </row>
    <row r="464">
      <c r="A464" s="25"/>
      <c r="B464" s="25"/>
      <c r="C464" s="25"/>
      <c r="D464" s="25"/>
    </row>
    <row r="465">
      <c r="A465" s="25"/>
      <c r="B465" s="25"/>
      <c r="C465" s="25"/>
      <c r="D465" s="25"/>
    </row>
    <row r="466">
      <c r="A466" s="25"/>
      <c r="B466" s="25"/>
      <c r="C466" s="25"/>
      <c r="D466" s="25"/>
    </row>
    <row r="467">
      <c r="A467" s="25"/>
      <c r="B467" s="25"/>
      <c r="C467" s="25"/>
      <c r="D467" s="25"/>
    </row>
    <row r="468">
      <c r="A468" s="25"/>
      <c r="B468" s="25"/>
      <c r="C468" s="25"/>
      <c r="D468" s="25"/>
    </row>
    <row r="469">
      <c r="A469" s="25"/>
      <c r="B469" s="25"/>
      <c r="C469" s="25"/>
      <c r="D469" s="25"/>
    </row>
    <row r="470">
      <c r="A470" s="25"/>
      <c r="B470" s="25"/>
      <c r="C470" s="25"/>
      <c r="D470" s="25"/>
    </row>
    <row r="471">
      <c r="A471" s="25"/>
      <c r="B471" s="25"/>
      <c r="C471" s="25"/>
      <c r="D471" s="25"/>
    </row>
    <row r="472">
      <c r="A472" s="25"/>
      <c r="B472" s="25"/>
      <c r="C472" s="25"/>
      <c r="D472" s="25"/>
    </row>
    <row r="473">
      <c r="A473" s="25"/>
      <c r="B473" s="25"/>
      <c r="C473" s="25"/>
      <c r="D473" s="25"/>
    </row>
    <row r="474">
      <c r="A474" s="25"/>
      <c r="B474" s="25"/>
      <c r="C474" s="25"/>
      <c r="D474" s="25"/>
    </row>
    <row r="475">
      <c r="A475" s="25"/>
      <c r="B475" s="25"/>
      <c r="C475" s="25"/>
      <c r="D475" s="25"/>
    </row>
    <row r="476">
      <c r="A476" s="25"/>
      <c r="B476" s="25"/>
      <c r="C476" s="25"/>
      <c r="D476" s="25"/>
    </row>
    <row r="477">
      <c r="A477" s="25"/>
      <c r="B477" s="25"/>
      <c r="C477" s="25"/>
      <c r="D477" s="25"/>
    </row>
    <row r="478">
      <c r="A478" s="25"/>
      <c r="B478" s="25"/>
      <c r="C478" s="25"/>
      <c r="D478" s="25"/>
    </row>
    <row r="479">
      <c r="A479" s="25"/>
      <c r="B479" s="25"/>
      <c r="C479" s="25"/>
      <c r="D479" s="25"/>
    </row>
    <row r="480">
      <c r="A480" s="25"/>
      <c r="B480" s="25"/>
      <c r="C480" s="25"/>
      <c r="D480" s="25"/>
    </row>
    <row r="481">
      <c r="A481" s="25"/>
      <c r="B481" s="25"/>
      <c r="C481" s="25"/>
      <c r="D481" s="25"/>
    </row>
    <row r="482">
      <c r="A482" s="25"/>
      <c r="B482" s="25"/>
      <c r="C482" s="25"/>
      <c r="D482" s="25"/>
    </row>
    <row r="483">
      <c r="A483" s="25"/>
      <c r="B483" s="25"/>
      <c r="C483" s="25"/>
      <c r="D483" s="25"/>
    </row>
    <row r="484">
      <c r="A484" s="25"/>
      <c r="B484" s="25"/>
      <c r="C484" s="25"/>
      <c r="D484" s="25"/>
    </row>
    <row r="485">
      <c r="A485" s="25"/>
      <c r="B485" s="25"/>
      <c r="C485" s="25"/>
      <c r="D485" s="25"/>
    </row>
    <row r="486">
      <c r="A486" s="25"/>
      <c r="B486" s="25"/>
      <c r="C486" s="25"/>
      <c r="D486" s="25"/>
    </row>
    <row r="487">
      <c r="A487" s="25"/>
      <c r="B487" s="25"/>
      <c r="C487" s="25"/>
      <c r="D487" s="25"/>
    </row>
    <row r="488">
      <c r="A488" s="25"/>
      <c r="B488" s="25"/>
      <c r="C488" s="25"/>
      <c r="D488" s="25"/>
    </row>
    <row r="489">
      <c r="A489" s="25"/>
      <c r="B489" s="25"/>
      <c r="C489" s="25"/>
      <c r="D489" s="25"/>
    </row>
    <row r="490">
      <c r="A490" s="25"/>
      <c r="B490" s="25"/>
      <c r="C490" s="25"/>
      <c r="D490" s="25"/>
    </row>
    <row r="491">
      <c r="A491" s="25"/>
      <c r="B491" s="25"/>
      <c r="C491" s="25"/>
      <c r="D491" s="25"/>
    </row>
    <row r="492">
      <c r="A492" s="25"/>
      <c r="B492" s="25"/>
      <c r="C492" s="25"/>
      <c r="D492" s="25"/>
    </row>
    <row r="493">
      <c r="A493" s="25"/>
      <c r="B493" s="25"/>
      <c r="C493" s="25"/>
      <c r="D493" s="25"/>
    </row>
    <row r="494">
      <c r="A494" s="25"/>
      <c r="B494" s="25"/>
      <c r="C494" s="25"/>
      <c r="D494" s="25"/>
    </row>
    <row r="495">
      <c r="A495" s="25"/>
      <c r="B495" s="25"/>
      <c r="C495" s="25"/>
      <c r="D495" s="25"/>
    </row>
    <row r="496">
      <c r="A496" s="25"/>
      <c r="B496" s="25"/>
      <c r="C496" s="25"/>
      <c r="D496" s="25"/>
    </row>
    <row r="497">
      <c r="A497" s="25"/>
      <c r="B497" s="25"/>
      <c r="C497" s="25"/>
      <c r="D497" s="25"/>
    </row>
    <row r="498">
      <c r="A498" s="25"/>
      <c r="B498" s="25"/>
      <c r="C498" s="25"/>
      <c r="D498" s="25"/>
    </row>
    <row r="499">
      <c r="A499" s="25"/>
      <c r="B499" s="25"/>
      <c r="C499" s="25"/>
      <c r="D499" s="25"/>
    </row>
    <row r="500">
      <c r="A500" s="25"/>
      <c r="B500" s="25"/>
      <c r="C500" s="25"/>
      <c r="D500" s="25"/>
    </row>
    <row r="501">
      <c r="A501" s="25"/>
      <c r="B501" s="25"/>
      <c r="C501" s="25"/>
      <c r="D501" s="25"/>
    </row>
    <row r="502">
      <c r="A502" s="25"/>
      <c r="B502" s="25"/>
      <c r="C502" s="25"/>
      <c r="D502" s="25"/>
    </row>
    <row r="503">
      <c r="A503" s="25"/>
      <c r="B503" s="25"/>
      <c r="C503" s="25"/>
      <c r="D503" s="25"/>
    </row>
    <row r="504">
      <c r="A504" s="25"/>
      <c r="B504" s="25"/>
      <c r="C504" s="25"/>
      <c r="D504" s="25"/>
    </row>
    <row r="505">
      <c r="A505" s="25"/>
      <c r="B505" s="25"/>
      <c r="C505" s="25"/>
      <c r="D505" s="25"/>
    </row>
    <row r="506">
      <c r="A506" s="25"/>
      <c r="B506" s="25"/>
      <c r="C506" s="25"/>
      <c r="D506" s="25"/>
    </row>
    <row r="507">
      <c r="A507" s="25"/>
      <c r="B507" s="25"/>
      <c r="C507" s="25"/>
      <c r="D507" s="25"/>
    </row>
    <row r="508">
      <c r="A508" s="25"/>
      <c r="B508" s="25"/>
      <c r="C508" s="25"/>
      <c r="D508" s="25"/>
    </row>
    <row r="509">
      <c r="A509" s="25"/>
      <c r="B509" s="25"/>
      <c r="C509" s="25"/>
      <c r="D509" s="25"/>
    </row>
    <row r="510">
      <c r="A510" s="25"/>
      <c r="B510" s="25"/>
      <c r="C510" s="25"/>
      <c r="D510" s="25"/>
    </row>
    <row r="511">
      <c r="A511" s="25"/>
      <c r="B511" s="25"/>
      <c r="C511" s="25"/>
      <c r="D511" s="25"/>
    </row>
    <row r="512">
      <c r="A512" s="25"/>
      <c r="B512" s="25"/>
      <c r="C512" s="25"/>
      <c r="D512" s="25"/>
    </row>
    <row r="513">
      <c r="A513" s="25"/>
      <c r="B513" s="25"/>
      <c r="C513" s="25"/>
      <c r="D513" s="25"/>
    </row>
    <row r="514">
      <c r="A514" s="25"/>
      <c r="B514" s="25"/>
      <c r="C514" s="25"/>
      <c r="D514" s="25"/>
    </row>
    <row r="515">
      <c r="A515" s="25"/>
      <c r="B515" s="25"/>
      <c r="C515" s="25"/>
      <c r="D515" s="25"/>
    </row>
    <row r="516">
      <c r="A516" s="25"/>
      <c r="B516" s="25"/>
      <c r="C516" s="25"/>
      <c r="D516" s="25"/>
    </row>
    <row r="517">
      <c r="A517" s="25"/>
      <c r="B517" s="25"/>
      <c r="C517" s="25"/>
      <c r="D517" s="25"/>
    </row>
    <row r="518">
      <c r="A518" s="25"/>
      <c r="B518" s="25"/>
      <c r="C518" s="25"/>
      <c r="D518" s="25"/>
    </row>
    <row r="519">
      <c r="A519" s="25"/>
      <c r="B519" s="25"/>
      <c r="C519" s="25"/>
      <c r="D519" s="25"/>
    </row>
    <row r="520">
      <c r="A520" s="25"/>
      <c r="B520" s="25"/>
      <c r="C520" s="25"/>
      <c r="D520" s="25"/>
    </row>
    <row r="521">
      <c r="A521" s="25"/>
      <c r="B521" s="25"/>
      <c r="C521" s="25"/>
      <c r="D521" s="25"/>
    </row>
    <row r="522">
      <c r="A522" s="25"/>
      <c r="B522" s="25"/>
      <c r="C522" s="25"/>
      <c r="D522" s="25"/>
    </row>
    <row r="523">
      <c r="A523" s="25"/>
      <c r="B523" s="25"/>
      <c r="C523" s="25"/>
      <c r="D523" s="25"/>
    </row>
    <row r="524">
      <c r="A524" s="25"/>
      <c r="B524" s="25"/>
      <c r="C524" s="25"/>
      <c r="D524" s="25"/>
    </row>
    <row r="525">
      <c r="A525" s="25"/>
      <c r="B525" s="25"/>
      <c r="C525" s="25"/>
      <c r="D525" s="25"/>
    </row>
    <row r="526">
      <c r="A526" s="25"/>
      <c r="B526" s="25"/>
      <c r="C526" s="25"/>
      <c r="D526" s="25"/>
    </row>
    <row r="527">
      <c r="A527" s="25"/>
      <c r="B527" s="25"/>
      <c r="C527" s="25"/>
      <c r="D527" s="25"/>
    </row>
    <row r="528">
      <c r="A528" s="25"/>
      <c r="B528" s="25"/>
      <c r="C528" s="25"/>
      <c r="D528" s="25"/>
    </row>
    <row r="529">
      <c r="A529" s="25"/>
      <c r="B529" s="25"/>
      <c r="C529" s="25"/>
      <c r="D529" s="25"/>
    </row>
    <row r="530">
      <c r="A530" s="25"/>
      <c r="B530" s="25"/>
      <c r="C530" s="25"/>
      <c r="D530" s="25"/>
    </row>
    <row r="531">
      <c r="A531" s="25"/>
      <c r="B531" s="25"/>
      <c r="C531" s="25"/>
      <c r="D531" s="25"/>
    </row>
    <row r="532">
      <c r="A532" s="25"/>
      <c r="B532" s="25"/>
      <c r="C532" s="25"/>
      <c r="D532" s="25"/>
    </row>
    <row r="533">
      <c r="A533" s="25"/>
      <c r="B533" s="25"/>
      <c r="C533" s="25"/>
      <c r="D533" s="25"/>
    </row>
    <row r="534">
      <c r="A534" s="25"/>
      <c r="B534" s="25"/>
      <c r="C534" s="25"/>
      <c r="D534" s="25"/>
    </row>
    <row r="535">
      <c r="A535" s="25"/>
      <c r="B535" s="25"/>
      <c r="C535" s="25"/>
      <c r="D535" s="25"/>
    </row>
    <row r="536">
      <c r="A536" s="25"/>
      <c r="B536" s="25"/>
      <c r="C536" s="25"/>
      <c r="D536" s="25"/>
    </row>
    <row r="537">
      <c r="A537" s="25"/>
      <c r="B537" s="25"/>
      <c r="C537" s="25"/>
      <c r="D537" s="25"/>
    </row>
    <row r="538">
      <c r="A538" s="25"/>
      <c r="B538" s="25"/>
      <c r="C538" s="25"/>
      <c r="D538" s="25"/>
    </row>
    <row r="539">
      <c r="A539" s="25"/>
      <c r="B539" s="25"/>
      <c r="C539" s="25"/>
      <c r="D539" s="25"/>
    </row>
    <row r="540">
      <c r="A540" s="25"/>
      <c r="B540" s="25"/>
      <c r="C540" s="25"/>
      <c r="D540" s="25"/>
    </row>
    <row r="541">
      <c r="A541" s="25"/>
      <c r="B541" s="25"/>
      <c r="C541" s="25"/>
      <c r="D541" s="25"/>
    </row>
    <row r="542">
      <c r="A542" s="25"/>
      <c r="B542" s="25"/>
      <c r="C542" s="25"/>
      <c r="D542" s="25"/>
    </row>
    <row r="543">
      <c r="A543" s="25"/>
      <c r="B543" s="25"/>
      <c r="C543" s="25"/>
      <c r="D543" s="25"/>
    </row>
    <row r="544">
      <c r="A544" s="25"/>
      <c r="B544" s="25"/>
      <c r="C544" s="25"/>
      <c r="D544" s="25"/>
    </row>
    <row r="545">
      <c r="A545" s="25"/>
      <c r="B545" s="25"/>
      <c r="C545" s="25"/>
      <c r="D545" s="25"/>
    </row>
    <row r="546">
      <c r="A546" s="25"/>
      <c r="B546" s="25"/>
      <c r="C546" s="25"/>
      <c r="D546" s="25"/>
    </row>
    <row r="547">
      <c r="A547" s="25"/>
      <c r="B547" s="25"/>
      <c r="C547" s="25"/>
      <c r="D547" s="25"/>
    </row>
    <row r="548">
      <c r="A548" s="25"/>
      <c r="B548" s="25"/>
      <c r="C548" s="25"/>
      <c r="D548" s="25"/>
    </row>
    <row r="549">
      <c r="A549" s="25"/>
      <c r="B549" s="25"/>
      <c r="C549" s="25"/>
      <c r="D549" s="25"/>
    </row>
    <row r="550">
      <c r="A550" s="25"/>
      <c r="B550" s="25"/>
      <c r="C550" s="25"/>
      <c r="D550" s="25"/>
    </row>
    <row r="551">
      <c r="A551" s="25"/>
      <c r="B551" s="25"/>
      <c r="C551" s="25"/>
      <c r="D551" s="25"/>
    </row>
    <row r="552">
      <c r="A552" s="25"/>
      <c r="B552" s="25"/>
      <c r="C552" s="25"/>
      <c r="D552" s="25"/>
    </row>
    <row r="553">
      <c r="A553" s="25"/>
      <c r="B553" s="25"/>
      <c r="C553" s="25"/>
      <c r="D553" s="25"/>
    </row>
    <row r="554">
      <c r="A554" s="25"/>
      <c r="B554" s="25"/>
      <c r="C554" s="25"/>
      <c r="D554" s="25"/>
    </row>
    <row r="555">
      <c r="A555" s="25"/>
      <c r="B555" s="25"/>
      <c r="C555" s="25"/>
      <c r="D555" s="25"/>
    </row>
    <row r="556">
      <c r="A556" s="25"/>
      <c r="B556" s="25"/>
      <c r="C556" s="25"/>
      <c r="D556" s="25"/>
    </row>
    <row r="557">
      <c r="A557" s="25"/>
      <c r="B557" s="25"/>
      <c r="C557" s="25"/>
      <c r="D557" s="25"/>
    </row>
    <row r="558">
      <c r="A558" s="25"/>
      <c r="B558" s="25"/>
      <c r="C558" s="25"/>
      <c r="D558" s="25"/>
    </row>
    <row r="559">
      <c r="A559" s="25"/>
      <c r="B559" s="25"/>
      <c r="C559" s="25"/>
      <c r="D559" s="25"/>
    </row>
    <row r="560">
      <c r="A560" s="25"/>
      <c r="B560" s="25"/>
      <c r="C560" s="25"/>
      <c r="D560" s="25"/>
    </row>
    <row r="561">
      <c r="A561" s="25"/>
      <c r="B561" s="25"/>
      <c r="C561" s="25"/>
      <c r="D561" s="25"/>
    </row>
    <row r="562">
      <c r="A562" s="25"/>
      <c r="B562" s="25"/>
      <c r="C562" s="25"/>
      <c r="D562" s="25"/>
    </row>
    <row r="563">
      <c r="A563" s="25"/>
      <c r="B563" s="25"/>
      <c r="C563" s="25"/>
      <c r="D563" s="25"/>
    </row>
    <row r="564">
      <c r="A564" s="25"/>
      <c r="B564" s="25"/>
      <c r="C564" s="25"/>
      <c r="D564" s="25"/>
    </row>
    <row r="565">
      <c r="A565" s="25"/>
      <c r="B565" s="25"/>
      <c r="C565" s="25"/>
      <c r="D565" s="25"/>
    </row>
    <row r="566">
      <c r="A566" s="25"/>
      <c r="B566" s="25"/>
      <c r="C566" s="25"/>
      <c r="D566" s="25"/>
    </row>
    <row r="567">
      <c r="A567" s="25"/>
      <c r="B567" s="25"/>
      <c r="C567" s="25"/>
      <c r="D567" s="25"/>
    </row>
    <row r="568">
      <c r="A568" s="25"/>
      <c r="B568" s="25"/>
      <c r="C568" s="25"/>
      <c r="D568" s="25"/>
    </row>
    <row r="569">
      <c r="A569" s="25"/>
      <c r="B569" s="25"/>
      <c r="C569" s="25"/>
      <c r="D569" s="25"/>
    </row>
    <row r="570">
      <c r="A570" s="25"/>
      <c r="B570" s="25"/>
      <c r="C570" s="25"/>
      <c r="D570" s="25"/>
    </row>
    <row r="571">
      <c r="A571" s="25"/>
      <c r="B571" s="25"/>
      <c r="C571" s="25"/>
      <c r="D571" s="25"/>
    </row>
    <row r="572">
      <c r="A572" s="25"/>
      <c r="B572" s="25"/>
      <c r="C572" s="25"/>
      <c r="D572" s="25"/>
    </row>
    <row r="573">
      <c r="A573" s="25"/>
      <c r="B573" s="25"/>
      <c r="C573" s="25"/>
      <c r="D573" s="25"/>
    </row>
    <row r="574">
      <c r="A574" s="25"/>
      <c r="B574" s="25"/>
      <c r="C574" s="25"/>
      <c r="D574" s="25"/>
    </row>
    <row r="575">
      <c r="A575" s="25"/>
      <c r="B575" s="25"/>
      <c r="C575" s="25"/>
      <c r="D575" s="25"/>
    </row>
    <row r="576">
      <c r="A576" s="25"/>
      <c r="B576" s="25"/>
      <c r="C576" s="25"/>
      <c r="D576" s="25"/>
    </row>
    <row r="577">
      <c r="A577" s="25"/>
      <c r="B577" s="25"/>
      <c r="C577" s="25"/>
      <c r="D577" s="25"/>
    </row>
    <row r="578">
      <c r="A578" s="25"/>
      <c r="B578" s="25"/>
      <c r="C578" s="25"/>
      <c r="D578" s="25"/>
    </row>
    <row r="579">
      <c r="A579" s="25"/>
      <c r="B579" s="25"/>
      <c r="C579" s="25"/>
      <c r="D579" s="25"/>
    </row>
    <row r="580">
      <c r="A580" s="25"/>
      <c r="B580" s="25"/>
      <c r="C580" s="25"/>
      <c r="D580" s="25"/>
    </row>
    <row r="581">
      <c r="A581" s="25"/>
      <c r="B581" s="25"/>
      <c r="C581" s="25"/>
      <c r="D581" s="25"/>
    </row>
    <row r="582">
      <c r="A582" s="25"/>
      <c r="B582" s="25"/>
      <c r="C582" s="25"/>
      <c r="D582" s="25"/>
    </row>
    <row r="583">
      <c r="A583" s="25"/>
      <c r="B583" s="25"/>
      <c r="C583" s="25"/>
      <c r="D583" s="25"/>
    </row>
    <row r="584">
      <c r="A584" s="25"/>
      <c r="B584" s="25"/>
      <c r="C584" s="25"/>
      <c r="D584" s="25"/>
    </row>
    <row r="585">
      <c r="A585" s="25"/>
      <c r="B585" s="25"/>
      <c r="C585" s="25"/>
      <c r="D585" s="25"/>
    </row>
    <row r="586">
      <c r="A586" s="25"/>
      <c r="B586" s="25"/>
      <c r="C586" s="25"/>
      <c r="D586" s="25"/>
    </row>
    <row r="587">
      <c r="A587" s="25"/>
      <c r="B587" s="25"/>
      <c r="C587" s="25"/>
      <c r="D587" s="25"/>
    </row>
    <row r="588">
      <c r="A588" s="25"/>
      <c r="B588" s="25"/>
      <c r="C588" s="25"/>
      <c r="D588" s="25"/>
    </row>
    <row r="589">
      <c r="A589" s="25"/>
      <c r="B589" s="25"/>
      <c r="C589" s="25"/>
      <c r="D589" s="25"/>
    </row>
    <row r="590">
      <c r="A590" s="25"/>
      <c r="B590" s="25"/>
      <c r="C590" s="25"/>
      <c r="D590" s="25"/>
    </row>
    <row r="591">
      <c r="A591" s="25"/>
      <c r="B591" s="25"/>
      <c r="C591" s="25"/>
      <c r="D591" s="25"/>
    </row>
    <row r="592">
      <c r="A592" s="25"/>
      <c r="B592" s="25"/>
      <c r="C592" s="25"/>
      <c r="D592" s="25"/>
    </row>
    <row r="593">
      <c r="A593" s="25"/>
      <c r="B593" s="25"/>
      <c r="C593" s="25"/>
      <c r="D593" s="25"/>
    </row>
    <row r="594">
      <c r="A594" s="25"/>
      <c r="B594" s="25"/>
      <c r="C594" s="25"/>
      <c r="D594" s="25"/>
    </row>
    <row r="595">
      <c r="A595" s="25"/>
      <c r="B595" s="25"/>
      <c r="C595" s="25"/>
      <c r="D595" s="25"/>
    </row>
    <row r="596">
      <c r="A596" s="25"/>
      <c r="B596" s="25"/>
      <c r="C596" s="25"/>
      <c r="D596" s="25"/>
    </row>
    <row r="597">
      <c r="A597" s="25"/>
      <c r="B597" s="25"/>
      <c r="C597" s="25"/>
      <c r="D597" s="25"/>
    </row>
    <row r="598">
      <c r="A598" s="25"/>
      <c r="B598" s="25"/>
      <c r="C598" s="25"/>
      <c r="D598" s="25"/>
    </row>
    <row r="599">
      <c r="A599" s="25"/>
      <c r="B599" s="25"/>
      <c r="C599" s="25"/>
      <c r="D599" s="25"/>
    </row>
    <row r="600">
      <c r="A600" s="25"/>
      <c r="B600" s="25"/>
      <c r="C600" s="25"/>
      <c r="D600" s="25"/>
    </row>
    <row r="601">
      <c r="A601" s="25"/>
      <c r="B601" s="25"/>
      <c r="C601" s="25"/>
      <c r="D601" s="25"/>
    </row>
    <row r="602">
      <c r="A602" s="25"/>
      <c r="B602" s="25"/>
      <c r="C602" s="25"/>
      <c r="D602" s="25"/>
    </row>
    <row r="603">
      <c r="A603" s="25"/>
      <c r="B603" s="25"/>
      <c r="C603" s="25"/>
      <c r="D603" s="25"/>
    </row>
    <row r="604">
      <c r="A604" s="25"/>
      <c r="B604" s="25"/>
      <c r="C604" s="25"/>
      <c r="D604" s="25"/>
    </row>
    <row r="605">
      <c r="A605" s="25"/>
      <c r="B605" s="25"/>
      <c r="C605" s="25"/>
      <c r="D605" s="25"/>
    </row>
    <row r="606">
      <c r="A606" s="25"/>
      <c r="B606" s="25"/>
      <c r="C606" s="25"/>
      <c r="D606" s="25"/>
    </row>
    <row r="607">
      <c r="A607" s="25"/>
      <c r="B607" s="25"/>
      <c r="C607" s="25"/>
      <c r="D607" s="25"/>
    </row>
    <row r="608">
      <c r="A608" s="25"/>
      <c r="B608" s="25"/>
      <c r="C608" s="25"/>
      <c r="D608" s="25"/>
    </row>
    <row r="609">
      <c r="A609" s="25"/>
      <c r="B609" s="25"/>
      <c r="C609" s="25"/>
      <c r="D609" s="25"/>
    </row>
    <row r="610">
      <c r="A610" s="25"/>
      <c r="B610" s="25"/>
      <c r="C610" s="25"/>
      <c r="D610" s="25"/>
    </row>
    <row r="611">
      <c r="A611" s="25"/>
      <c r="B611" s="25"/>
      <c r="C611" s="25"/>
      <c r="D611" s="25"/>
    </row>
    <row r="612">
      <c r="A612" s="25"/>
      <c r="B612" s="25"/>
      <c r="C612" s="25"/>
      <c r="D612" s="25"/>
    </row>
    <row r="613">
      <c r="A613" s="25"/>
      <c r="B613" s="25"/>
      <c r="C613" s="25"/>
      <c r="D613" s="25"/>
    </row>
    <row r="614">
      <c r="A614" s="25"/>
      <c r="B614" s="25"/>
      <c r="C614" s="25"/>
      <c r="D614" s="25"/>
    </row>
    <row r="615">
      <c r="A615" s="25"/>
      <c r="B615" s="25"/>
      <c r="C615" s="25"/>
      <c r="D615" s="25"/>
    </row>
    <row r="616">
      <c r="A616" s="25"/>
      <c r="B616" s="25"/>
      <c r="C616" s="25"/>
      <c r="D616" s="25"/>
    </row>
    <row r="617">
      <c r="A617" s="25"/>
      <c r="B617" s="25"/>
      <c r="C617" s="25"/>
      <c r="D617" s="25"/>
    </row>
    <row r="618">
      <c r="A618" s="25"/>
      <c r="B618" s="25"/>
      <c r="C618" s="25"/>
      <c r="D618" s="25"/>
    </row>
    <row r="619">
      <c r="A619" s="25"/>
      <c r="B619" s="25"/>
      <c r="C619" s="25"/>
      <c r="D619" s="25"/>
    </row>
    <row r="620">
      <c r="A620" s="25"/>
      <c r="B620" s="25"/>
      <c r="C620" s="25"/>
      <c r="D620" s="25"/>
    </row>
    <row r="621">
      <c r="A621" s="25"/>
      <c r="B621" s="25"/>
      <c r="C621" s="25"/>
      <c r="D621" s="25"/>
    </row>
    <row r="622">
      <c r="A622" s="25"/>
      <c r="B622" s="25"/>
      <c r="C622" s="25"/>
      <c r="D622" s="25"/>
    </row>
    <row r="623">
      <c r="A623" s="25"/>
      <c r="B623" s="25"/>
      <c r="C623" s="25"/>
      <c r="D623" s="25"/>
    </row>
    <row r="624">
      <c r="A624" s="25"/>
      <c r="B624" s="25"/>
      <c r="C624" s="25"/>
      <c r="D624" s="25"/>
    </row>
    <row r="625">
      <c r="A625" s="25"/>
      <c r="B625" s="25"/>
      <c r="C625" s="25"/>
      <c r="D625" s="25"/>
    </row>
    <row r="626">
      <c r="A626" s="25"/>
      <c r="B626" s="25"/>
      <c r="C626" s="25"/>
      <c r="D626" s="25"/>
    </row>
    <row r="627">
      <c r="A627" s="25"/>
      <c r="B627" s="25"/>
      <c r="C627" s="25"/>
      <c r="D627" s="25"/>
    </row>
    <row r="628">
      <c r="A628" s="25"/>
      <c r="B628" s="25"/>
      <c r="C628" s="25"/>
      <c r="D628" s="25"/>
    </row>
    <row r="629">
      <c r="A629" s="25"/>
      <c r="B629" s="25"/>
      <c r="C629" s="25"/>
      <c r="D629" s="25"/>
    </row>
    <row r="630">
      <c r="A630" s="25"/>
      <c r="B630" s="25"/>
      <c r="C630" s="25"/>
      <c r="D630" s="25"/>
    </row>
    <row r="631">
      <c r="A631" s="25"/>
      <c r="B631" s="25"/>
      <c r="C631" s="25"/>
      <c r="D631" s="25"/>
    </row>
    <row r="632">
      <c r="A632" s="25"/>
      <c r="B632" s="25"/>
      <c r="C632" s="25"/>
      <c r="D632" s="25"/>
    </row>
    <row r="633">
      <c r="A633" s="25"/>
      <c r="B633" s="25"/>
      <c r="C633" s="25"/>
      <c r="D633" s="25"/>
    </row>
    <row r="634">
      <c r="A634" s="25"/>
      <c r="B634" s="25"/>
      <c r="C634" s="25"/>
      <c r="D634" s="25"/>
    </row>
    <row r="635">
      <c r="A635" s="25"/>
      <c r="B635" s="25"/>
      <c r="C635" s="25"/>
      <c r="D635" s="25"/>
    </row>
    <row r="636">
      <c r="A636" s="25"/>
      <c r="B636" s="25"/>
      <c r="C636" s="25"/>
      <c r="D636" s="25"/>
    </row>
    <row r="637">
      <c r="A637" s="25"/>
      <c r="B637" s="25"/>
      <c r="C637" s="25"/>
      <c r="D637" s="25"/>
    </row>
    <row r="638">
      <c r="A638" s="25"/>
      <c r="B638" s="25"/>
      <c r="C638" s="25"/>
      <c r="D638" s="25"/>
    </row>
    <row r="639">
      <c r="A639" s="25"/>
      <c r="B639" s="25"/>
      <c r="C639" s="25"/>
      <c r="D639" s="25"/>
    </row>
    <row r="640">
      <c r="A640" s="25"/>
      <c r="B640" s="25"/>
      <c r="C640" s="25"/>
      <c r="D640" s="25"/>
    </row>
    <row r="641">
      <c r="A641" s="25"/>
      <c r="B641" s="25"/>
      <c r="C641" s="25"/>
      <c r="D641" s="25"/>
    </row>
    <row r="642">
      <c r="A642" s="25"/>
      <c r="B642" s="25"/>
      <c r="C642" s="25"/>
      <c r="D642" s="25"/>
    </row>
    <row r="643">
      <c r="A643" s="25"/>
      <c r="B643" s="25"/>
      <c r="C643" s="25"/>
      <c r="D643" s="25"/>
    </row>
    <row r="644">
      <c r="A644" s="25"/>
      <c r="B644" s="25"/>
      <c r="C644" s="25"/>
      <c r="D644" s="25"/>
    </row>
    <row r="645">
      <c r="A645" s="25"/>
      <c r="B645" s="25"/>
      <c r="C645" s="25"/>
      <c r="D645" s="25"/>
    </row>
    <row r="646">
      <c r="A646" s="25"/>
      <c r="B646" s="25"/>
      <c r="C646" s="25"/>
      <c r="D646" s="25"/>
    </row>
    <row r="647">
      <c r="A647" s="25"/>
      <c r="B647" s="25"/>
      <c r="C647" s="25"/>
      <c r="D647" s="25"/>
    </row>
    <row r="648">
      <c r="A648" s="25"/>
      <c r="B648" s="25"/>
      <c r="C648" s="25"/>
      <c r="D648" s="25"/>
    </row>
    <row r="649">
      <c r="A649" s="25"/>
      <c r="B649" s="25"/>
      <c r="C649" s="25"/>
      <c r="D649" s="25"/>
    </row>
    <row r="650">
      <c r="A650" s="25"/>
      <c r="B650" s="25"/>
      <c r="C650" s="25"/>
      <c r="D650" s="25"/>
    </row>
    <row r="651">
      <c r="A651" s="25"/>
      <c r="B651" s="25"/>
      <c r="C651" s="25"/>
      <c r="D651" s="25"/>
    </row>
    <row r="652">
      <c r="A652" s="25"/>
      <c r="B652" s="25"/>
      <c r="C652" s="25"/>
      <c r="D652" s="25"/>
    </row>
    <row r="653">
      <c r="A653" s="25"/>
      <c r="B653" s="25"/>
      <c r="C653" s="25"/>
      <c r="D653" s="25"/>
    </row>
    <row r="654">
      <c r="A654" s="25"/>
      <c r="B654" s="25"/>
      <c r="C654" s="25"/>
      <c r="D654" s="25"/>
    </row>
    <row r="655">
      <c r="A655" s="25"/>
      <c r="B655" s="25"/>
      <c r="C655" s="25"/>
      <c r="D655" s="25"/>
    </row>
    <row r="656">
      <c r="A656" s="25"/>
      <c r="B656" s="25"/>
      <c r="C656" s="25"/>
      <c r="D656" s="25"/>
    </row>
    <row r="657">
      <c r="A657" s="25"/>
      <c r="B657" s="25"/>
      <c r="C657" s="25"/>
      <c r="D657" s="25"/>
    </row>
    <row r="658">
      <c r="A658" s="25"/>
      <c r="B658" s="25"/>
      <c r="C658" s="25"/>
      <c r="D658" s="25"/>
    </row>
    <row r="659">
      <c r="A659" s="25"/>
      <c r="B659" s="25"/>
      <c r="C659" s="25"/>
      <c r="D659" s="25"/>
    </row>
    <row r="660">
      <c r="A660" s="25"/>
      <c r="B660" s="25"/>
      <c r="C660" s="25"/>
      <c r="D660" s="25"/>
    </row>
    <row r="661">
      <c r="A661" s="25"/>
      <c r="B661" s="25"/>
      <c r="C661" s="25"/>
      <c r="D661" s="25"/>
    </row>
    <row r="662">
      <c r="A662" s="25"/>
      <c r="B662" s="25"/>
      <c r="C662" s="25"/>
      <c r="D662" s="25"/>
    </row>
    <row r="663">
      <c r="A663" s="25"/>
      <c r="B663" s="25"/>
      <c r="C663" s="25"/>
      <c r="D663" s="25"/>
    </row>
    <row r="664">
      <c r="A664" s="25"/>
      <c r="B664" s="25"/>
      <c r="C664" s="25"/>
      <c r="D664" s="25"/>
    </row>
    <row r="665">
      <c r="A665" s="25"/>
      <c r="B665" s="25"/>
      <c r="C665" s="25"/>
      <c r="D665" s="25"/>
    </row>
    <row r="666">
      <c r="A666" s="25"/>
      <c r="B666" s="25"/>
      <c r="C666" s="25"/>
      <c r="D666" s="25"/>
    </row>
    <row r="667">
      <c r="A667" s="25"/>
      <c r="B667" s="25"/>
      <c r="C667" s="25"/>
      <c r="D667" s="25"/>
    </row>
    <row r="668">
      <c r="A668" s="25"/>
      <c r="B668" s="25"/>
      <c r="C668" s="25"/>
      <c r="D668" s="25"/>
    </row>
    <row r="669">
      <c r="A669" s="25"/>
      <c r="B669" s="25"/>
      <c r="C669" s="25"/>
      <c r="D669" s="25"/>
    </row>
    <row r="670">
      <c r="A670" s="25"/>
      <c r="B670" s="25"/>
      <c r="C670" s="25"/>
      <c r="D670" s="25"/>
    </row>
    <row r="671">
      <c r="A671" s="25"/>
      <c r="B671" s="25"/>
      <c r="C671" s="25"/>
      <c r="D671" s="25"/>
    </row>
    <row r="672">
      <c r="A672" s="25"/>
      <c r="B672" s="25"/>
      <c r="C672" s="25"/>
      <c r="D672" s="25"/>
    </row>
    <row r="673">
      <c r="A673" s="25"/>
      <c r="B673" s="25"/>
      <c r="C673" s="25"/>
      <c r="D673" s="25"/>
    </row>
    <row r="674">
      <c r="A674" s="25"/>
      <c r="B674" s="25"/>
      <c r="C674" s="25"/>
      <c r="D674" s="25"/>
    </row>
    <row r="675">
      <c r="A675" s="25"/>
      <c r="B675" s="25"/>
      <c r="C675" s="25"/>
      <c r="D675" s="25"/>
    </row>
    <row r="676">
      <c r="A676" s="25"/>
      <c r="B676" s="25"/>
      <c r="C676" s="25"/>
      <c r="D676" s="25"/>
    </row>
    <row r="677">
      <c r="A677" s="25"/>
      <c r="B677" s="25"/>
      <c r="C677" s="25"/>
      <c r="D677" s="25"/>
    </row>
    <row r="678">
      <c r="A678" s="25"/>
      <c r="B678" s="25"/>
      <c r="C678" s="25"/>
      <c r="D678" s="25"/>
    </row>
    <row r="679">
      <c r="A679" s="25"/>
      <c r="B679" s="25"/>
      <c r="C679" s="25"/>
      <c r="D679" s="25"/>
    </row>
    <row r="680">
      <c r="A680" s="25"/>
      <c r="B680" s="25"/>
      <c r="C680" s="25"/>
      <c r="D680" s="25"/>
    </row>
    <row r="681">
      <c r="A681" s="25"/>
      <c r="B681" s="25"/>
      <c r="C681" s="25"/>
      <c r="D681" s="25"/>
    </row>
    <row r="682">
      <c r="A682" s="25"/>
      <c r="B682" s="25"/>
      <c r="C682" s="25"/>
      <c r="D682" s="25"/>
    </row>
    <row r="683">
      <c r="A683" s="25"/>
      <c r="B683" s="25"/>
      <c r="C683" s="25"/>
      <c r="D683" s="25"/>
    </row>
    <row r="684">
      <c r="A684" s="25"/>
      <c r="B684" s="25"/>
      <c r="C684" s="25"/>
      <c r="D684" s="25"/>
    </row>
    <row r="685">
      <c r="A685" s="25"/>
      <c r="B685" s="25"/>
      <c r="C685" s="25"/>
      <c r="D685" s="25"/>
    </row>
    <row r="686">
      <c r="A686" s="25"/>
      <c r="B686" s="25"/>
      <c r="C686" s="25"/>
      <c r="D686" s="25"/>
    </row>
    <row r="687">
      <c r="A687" s="25"/>
      <c r="B687" s="25"/>
      <c r="C687" s="25"/>
      <c r="D687" s="25"/>
    </row>
    <row r="688">
      <c r="A688" s="25"/>
      <c r="B688" s="25"/>
      <c r="C688" s="25"/>
      <c r="D688" s="25"/>
    </row>
    <row r="689">
      <c r="A689" s="25"/>
      <c r="B689" s="25"/>
      <c r="C689" s="25"/>
      <c r="D689" s="25"/>
    </row>
    <row r="690">
      <c r="A690" s="25"/>
      <c r="B690" s="25"/>
      <c r="C690" s="25"/>
      <c r="D690" s="25"/>
    </row>
    <row r="691">
      <c r="A691" s="25"/>
      <c r="B691" s="25"/>
      <c r="C691" s="25"/>
      <c r="D691" s="25"/>
    </row>
    <row r="692">
      <c r="A692" s="25"/>
      <c r="B692" s="25"/>
      <c r="C692" s="25"/>
      <c r="D692" s="25"/>
    </row>
    <row r="693">
      <c r="A693" s="25"/>
      <c r="B693" s="25"/>
      <c r="C693" s="25"/>
      <c r="D693" s="25"/>
    </row>
    <row r="694">
      <c r="A694" s="25"/>
      <c r="B694" s="25"/>
      <c r="C694" s="25"/>
      <c r="D694" s="25"/>
    </row>
    <row r="695">
      <c r="A695" s="25"/>
      <c r="B695" s="25"/>
      <c r="C695" s="25"/>
      <c r="D695" s="25"/>
    </row>
    <row r="696">
      <c r="A696" s="25"/>
      <c r="B696" s="25"/>
      <c r="C696" s="25"/>
      <c r="D696" s="25"/>
    </row>
    <row r="697">
      <c r="A697" s="25"/>
      <c r="B697" s="25"/>
      <c r="C697" s="25"/>
      <c r="D697" s="25"/>
    </row>
    <row r="698">
      <c r="A698" s="25"/>
      <c r="B698" s="25"/>
      <c r="C698" s="25"/>
      <c r="D698" s="25"/>
    </row>
    <row r="699">
      <c r="A699" s="25"/>
      <c r="B699" s="25"/>
      <c r="C699" s="25"/>
      <c r="D699" s="25"/>
    </row>
    <row r="700">
      <c r="A700" s="25"/>
      <c r="B700" s="25"/>
      <c r="C700" s="25"/>
      <c r="D700" s="25"/>
    </row>
    <row r="701">
      <c r="A701" s="25"/>
      <c r="B701" s="25"/>
      <c r="C701" s="25"/>
      <c r="D701" s="25"/>
    </row>
    <row r="702">
      <c r="A702" s="25"/>
      <c r="B702" s="25"/>
      <c r="C702" s="25"/>
      <c r="D702" s="25"/>
    </row>
    <row r="703">
      <c r="A703" s="25"/>
      <c r="B703" s="25"/>
      <c r="C703" s="25"/>
      <c r="D703" s="25"/>
    </row>
    <row r="704">
      <c r="A704" s="25"/>
      <c r="B704" s="25"/>
      <c r="C704" s="25"/>
      <c r="D704" s="25"/>
    </row>
    <row r="705">
      <c r="A705" s="25"/>
      <c r="B705" s="25"/>
      <c r="C705" s="25"/>
      <c r="D705" s="25"/>
    </row>
    <row r="706">
      <c r="A706" s="25"/>
      <c r="B706" s="25"/>
      <c r="C706" s="25"/>
      <c r="D706" s="25"/>
    </row>
    <row r="707">
      <c r="A707" s="25"/>
      <c r="B707" s="25"/>
      <c r="C707" s="25"/>
      <c r="D707" s="25"/>
    </row>
    <row r="708">
      <c r="A708" s="25"/>
      <c r="B708" s="25"/>
      <c r="C708" s="25"/>
      <c r="D708" s="25"/>
    </row>
    <row r="709">
      <c r="A709" s="25"/>
      <c r="B709" s="25"/>
      <c r="C709" s="25"/>
      <c r="D709" s="25"/>
    </row>
    <row r="710">
      <c r="A710" s="25"/>
      <c r="B710" s="25"/>
      <c r="C710" s="25"/>
      <c r="D710" s="25"/>
    </row>
    <row r="711">
      <c r="A711" s="25"/>
      <c r="B711" s="25"/>
      <c r="C711" s="25"/>
      <c r="D711" s="25"/>
    </row>
    <row r="712">
      <c r="A712" s="25"/>
      <c r="B712" s="25"/>
      <c r="C712" s="25"/>
      <c r="D712" s="25"/>
    </row>
    <row r="713">
      <c r="A713" s="25"/>
      <c r="B713" s="25"/>
      <c r="C713" s="25"/>
      <c r="D713" s="25"/>
    </row>
    <row r="714">
      <c r="A714" s="25"/>
      <c r="B714" s="25"/>
      <c r="C714" s="25"/>
      <c r="D714" s="25"/>
    </row>
    <row r="715">
      <c r="A715" s="25"/>
      <c r="B715" s="25"/>
      <c r="C715" s="25"/>
      <c r="D715" s="25"/>
    </row>
    <row r="716">
      <c r="A716" s="25"/>
      <c r="B716" s="25"/>
      <c r="C716" s="25"/>
      <c r="D716" s="25"/>
    </row>
    <row r="717">
      <c r="A717" s="25"/>
      <c r="B717" s="25"/>
      <c r="C717" s="25"/>
      <c r="D717" s="25"/>
    </row>
    <row r="718">
      <c r="A718" s="25"/>
      <c r="B718" s="25"/>
      <c r="C718" s="25"/>
      <c r="D718" s="25"/>
    </row>
    <row r="719">
      <c r="A719" s="25"/>
      <c r="B719" s="25"/>
      <c r="C719" s="25"/>
      <c r="D719" s="25"/>
    </row>
    <row r="720">
      <c r="A720" s="25"/>
      <c r="B720" s="25"/>
      <c r="C720" s="25"/>
      <c r="D720" s="25"/>
    </row>
    <row r="721">
      <c r="A721" s="25"/>
      <c r="B721" s="25"/>
      <c r="C721" s="25"/>
      <c r="D721" s="25"/>
    </row>
    <row r="722">
      <c r="A722" s="25"/>
      <c r="B722" s="25"/>
      <c r="C722" s="25"/>
      <c r="D722" s="25"/>
    </row>
    <row r="723">
      <c r="A723" s="25"/>
      <c r="B723" s="25"/>
      <c r="C723" s="25"/>
      <c r="D723" s="25"/>
    </row>
    <row r="724">
      <c r="A724" s="25"/>
      <c r="B724" s="25"/>
      <c r="C724" s="25"/>
      <c r="D724" s="25"/>
    </row>
    <row r="725">
      <c r="A725" s="25"/>
      <c r="B725" s="25"/>
      <c r="C725" s="25"/>
      <c r="D725" s="25"/>
    </row>
    <row r="726">
      <c r="A726" s="25"/>
      <c r="B726" s="25"/>
      <c r="C726" s="25"/>
      <c r="D726" s="25"/>
    </row>
    <row r="727">
      <c r="A727" s="25"/>
      <c r="B727" s="25"/>
      <c r="C727" s="25"/>
      <c r="D727" s="25"/>
    </row>
    <row r="728">
      <c r="A728" s="25"/>
      <c r="B728" s="25"/>
      <c r="C728" s="25"/>
      <c r="D728" s="25"/>
    </row>
    <row r="729">
      <c r="A729" s="25"/>
      <c r="B729" s="25"/>
      <c r="C729" s="25"/>
      <c r="D729" s="25"/>
    </row>
    <row r="730">
      <c r="A730" s="25"/>
      <c r="B730" s="25"/>
      <c r="C730" s="25"/>
      <c r="D730" s="25"/>
    </row>
    <row r="731">
      <c r="A731" s="25"/>
      <c r="B731" s="25"/>
      <c r="C731" s="25"/>
      <c r="D731" s="25"/>
    </row>
    <row r="732">
      <c r="A732" s="25"/>
      <c r="B732" s="25"/>
      <c r="C732" s="25"/>
      <c r="D732" s="25"/>
    </row>
    <row r="733">
      <c r="A733" s="25"/>
      <c r="B733" s="25"/>
      <c r="C733" s="25"/>
      <c r="D733" s="25"/>
    </row>
    <row r="734">
      <c r="A734" s="25"/>
      <c r="B734" s="25"/>
      <c r="C734" s="25"/>
      <c r="D734" s="25"/>
    </row>
    <row r="735">
      <c r="A735" s="25"/>
      <c r="B735" s="25"/>
      <c r="C735" s="25"/>
      <c r="D735" s="25"/>
    </row>
    <row r="736">
      <c r="A736" s="25"/>
      <c r="B736" s="25"/>
      <c r="C736" s="25"/>
      <c r="D736" s="25"/>
    </row>
    <row r="737">
      <c r="A737" s="25"/>
      <c r="B737" s="25"/>
      <c r="C737" s="25"/>
      <c r="D737" s="25"/>
    </row>
    <row r="738">
      <c r="A738" s="25"/>
      <c r="B738" s="25"/>
      <c r="C738" s="25"/>
      <c r="D738" s="25"/>
    </row>
    <row r="739">
      <c r="A739" s="25"/>
      <c r="B739" s="25"/>
      <c r="C739" s="25"/>
      <c r="D739" s="25"/>
    </row>
    <row r="740">
      <c r="A740" s="25"/>
      <c r="B740" s="25"/>
      <c r="C740" s="25"/>
      <c r="D740" s="25"/>
    </row>
    <row r="741">
      <c r="A741" s="25"/>
      <c r="B741" s="25"/>
      <c r="C741" s="25"/>
      <c r="D741" s="25"/>
    </row>
    <row r="742">
      <c r="A742" s="25"/>
      <c r="B742" s="25"/>
      <c r="C742" s="25"/>
      <c r="D742" s="25"/>
    </row>
    <row r="743">
      <c r="A743" s="25"/>
      <c r="B743" s="25"/>
      <c r="C743" s="25"/>
      <c r="D743" s="25"/>
    </row>
    <row r="744">
      <c r="A744" s="25"/>
      <c r="B744" s="25"/>
      <c r="C744" s="25"/>
      <c r="D744" s="25"/>
    </row>
    <row r="745">
      <c r="A745" s="25"/>
      <c r="B745" s="25"/>
      <c r="C745" s="25"/>
      <c r="D745" s="25"/>
    </row>
    <row r="746">
      <c r="A746" s="25"/>
      <c r="B746" s="25"/>
      <c r="C746" s="25"/>
      <c r="D746" s="25"/>
    </row>
    <row r="747">
      <c r="A747" s="25"/>
      <c r="B747" s="25"/>
      <c r="C747" s="25"/>
      <c r="D747" s="25"/>
    </row>
    <row r="748">
      <c r="A748" s="25"/>
      <c r="B748" s="25"/>
      <c r="C748" s="25"/>
      <c r="D748" s="25"/>
    </row>
    <row r="749">
      <c r="A749" s="25"/>
      <c r="B749" s="25"/>
      <c r="C749" s="25"/>
      <c r="D749" s="25"/>
    </row>
    <row r="750">
      <c r="A750" s="25"/>
      <c r="B750" s="25"/>
      <c r="C750" s="25"/>
      <c r="D750" s="25"/>
    </row>
    <row r="751">
      <c r="A751" s="25"/>
      <c r="B751" s="25"/>
      <c r="C751" s="25"/>
      <c r="D751" s="25"/>
    </row>
    <row r="752">
      <c r="A752" s="25"/>
      <c r="B752" s="25"/>
      <c r="C752" s="25"/>
      <c r="D752" s="25"/>
    </row>
    <row r="753">
      <c r="A753" s="25"/>
      <c r="B753" s="25"/>
      <c r="C753" s="25"/>
      <c r="D753" s="25"/>
    </row>
    <row r="754">
      <c r="A754" s="25"/>
      <c r="B754" s="25"/>
      <c r="C754" s="25"/>
      <c r="D754" s="25"/>
    </row>
    <row r="755">
      <c r="A755" s="25"/>
      <c r="B755" s="25"/>
      <c r="C755" s="25"/>
      <c r="D755" s="25"/>
    </row>
    <row r="756">
      <c r="A756" s="25"/>
      <c r="B756" s="25"/>
      <c r="C756" s="25"/>
      <c r="D756" s="25"/>
    </row>
    <row r="757">
      <c r="A757" s="25"/>
      <c r="B757" s="25"/>
      <c r="C757" s="25"/>
      <c r="D757" s="25"/>
    </row>
    <row r="758">
      <c r="A758" s="25"/>
      <c r="B758" s="25"/>
      <c r="C758" s="25"/>
      <c r="D758" s="25"/>
    </row>
    <row r="759">
      <c r="A759" s="25"/>
      <c r="B759" s="25"/>
      <c r="C759" s="25"/>
      <c r="D759" s="25"/>
    </row>
    <row r="760">
      <c r="A760" s="25"/>
      <c r="B760" s="25"/>
      <c r="C760" s="25"/>
      <c r="D760" s="25"/>
    </row>
    <row r="761">
      <c r="A761" s="25"/>
      <c r="B761" s="25"/>
      <c r="C761" s="25"/>
      <c r="D761" s="25"/>
    </row>
    <row r="762">
      <c r="A762" s="25"/>
      <c r="B762" s="25"/>
      <c r="C762" s="25"/>
      <c r="D762" s="25"/>
    </row>
    <row r="763">
      <c r="A763" s="25"/>
      <c r="B763" s="25"/>
      <c r="C763" s="25"/>
      <c r="D763" s="25"/>
    </row>
    <row r="764">
      <c r="A764" s="25"/>
      <c r="B764" s="25"/>
      <c r="C764" s="25"/>
      <c r="D764" s="25"/>
    </row>
    <row r="765">
      <c r="A765" s="25"/>
      <c r="B765" s="25"/>
      <c r="C765" s="25"/>
      <c r="D765" s="25"/>
    </row>
    <row r="766">
      <c r="A766" s="25"/>
      <c r="B766" s="25"/>
      <c r="C766" s="25"/>
      <c r="D766" s="25"/>
    </row>
    <row r="767">
      <c r="A767" s="25"/>
      <c r="B767" s="25"/>
      <c r="C767" s="25"/>
      <c r="D767" s="25"/>
    </row>
    <row r="768">
      <c r="A768" s="25"/>
      <c r="B768" s="25"/>
      <c r="C768" s="25"/>
      <c r="D768" s="25"/>
    </row>
    <row r="769">
      <c r="A769" s="25"/>
      <c r="B769" s="25"/>
      <c r="C769" s="25"/>
      <c r="D769" s="25"/>
    </row>
    <row r="770">
      <c r="A770" s="25"/>
      <c r="B770" s="25"/>
      <c r="C770" s="25"/>
      <c r="D770" s="25"/>
    </row>
    <row r="771">
      <c r="A771" s="25"/>
      <c r="B771" s="25"/>
      <c r="C771" s="25"/>
      <c r="D771" s="25"/>
    </row>
    <row r="772">
      <c r="A772" s="25"/>
      <c r="B772" s="25"/>
      <c r="C772" s="25"/>
      <c r="D772" s="25"/>
    </row>
    <row r="773">
      <c r="A773" s="25"/>
      <c r="B773" s="25"/>
      <c r="C773" s="25"/>
      <c r="D773" s="25"/>
    </row>
    <row r="774">
      <c r="A774" s="25"/>
      <c r="B774" s="25"/>
      <c r="C774" s="25"/>
      <c r="D774" s="25"/>
    </row>
    <row r="775">
      <c r="A775" s="25"/>
      <c r="B775" s="25"/>
      <c r="C775" s="25"/>
      <c r="D775" s="25"/>
    </row>
    <row r="776">
      <c r="A776" s="25"/>
      <c r="B776" s="25"/>
      <c r="C776" s="25"/>
      <c r="D776" s="25"/>
    </row>
    <row r="777">
      <c r="A777" s="25"/>
      <c r="B777" s="25"/>
      <c r="C777" s="25"/>
      <c r="D777" s="25"/>
    </row>
    <row r="778">
      <c r="A778" s="25"/>
      <c r="B778" s="25"/>
      <c r="C778" s="25"/>
      <c r="D778" s="25"/>
    </row>
    <row r="779">
      <c r="A779" s="25"/>
      <c r="B779" s="25"/>
      <c r="C779" s="25"/>
      <c r="D779" s="25"/>
    </row>
    <row r="780">
      <c r="A780" s="25"/>
      <c r="B780" s="25"/>
      <c r="C780" s="25"/>
      <c r="D780" s="25"/>
    </row>
    <row r="781">
      <c r="A781" s="25"/>
      <c r="B781" s="25"/>
      <c r="C781" s="25"/>
      <c r="D781" s="25"/>
    </row>
    <row r="782">
      <c r="A782" s="25"/>
      <c r="B782" s="25"/>
      <c r="C782" s="25"/>
      <c r="D782" s="25"/>
    </row>
    <row r="783">
      <c r="A783" s="25"/>
      <c r="B783" s="25"/>
      <c r="C783" s="25"/>
      <c r="D783" s="25"/>
    </row>
    <row r="784">
      <c r="A784" s="25"/>
      <c r="B784" s="25"/>
      <c r="C784" s="25"/>
      <c r="D784" s="25"/>
    </row>
    <row r="785">
      <c r="A785" s="25"/>
      <c r="B785" s="25"/>
      <c r="C785" s="25"/>
      <c r="D785" s="25"/>
    </row>
    <row r="786">
      <c r="A786" s="25"/>
      <c r="B786" s="25"/>
      <c r="C786" s="25"/>
      <c r="D786" s="25"/>
    </row>
    <row r="787">
      <c r="A787" s="25"/>
      <c r="B787" s="25"/>
      <c r="C787" s="25"/>
      <c r="D787" s="25"/>
    </row>
    <row r="788">
      <c r="A788" s="25"/>
      <c r="B788" s="25"/>
      <c r="C788" s="25"/>
      <c r="D788" s="25"/>
    </row>
    <row r="789">
      <c r="A789" s="25"/>
      <c r="B789" s="25"/>
      <c r="C789" s="25"/>
      <c r="D789" s="25"/>
    </row>
    <row r="790">
      <c r="A790" s="25"/>
      <c r="B790" s="25"/>
      <c r="C790" s="25"/>
      <c r="D790" s="25"/>
    </row>
    <row r="791">
      <c r="A791" s="25"/>
      <c r="B791" s="25"/>
      <c r="C791" s="25"/>
      <c r="D791" s="25"/>
    </row>
    <row r="792">
      <c r="A792" s="25"/>
      <c r="B792" s="25"/>
      <c r="C792" s="25"/>
      <c r="D792" s="25"/>
    </row>
    <row r="793">
      <c r="A793" s="25"/>
      <c r="B793" s="25"/>
      <c r="C793" s="25"/>
      <c r="D793" s="25"/>
    </row>
    <row r="794">
      <c r="A794" s="25"/>
      <c r="B794" s="25"/>
      <c r="C794" s="25"/>
      <c r="D794" s="25"/>
    </row>
    <row r="795">
      <c r="A795" s="25"/>
      <c r="B795" s="25"/>
      <c r="C795" s="25"/>
      <c r="D795" s="25"/>
    </row>
    <row r="796">
      <c r="A796" s="25"/>
      <c r="B796" s="25"/>
      <c r="C796" s="25"/>
      <c r="D796" s="25"/>
    </row>
    <row r="797">
      <c r="A797" s="25"/>
      <c r="B797" s="25"/>
      <c r="C797" s="25"/>
      <c r="D797" s="25"/>
    </row>
    <row r="798">
      <c r="A798" s="25"/>
      <c r="B798" s="25"/>
      <c r="C798" s="25"/>
      <c r="D798" s="25"/>
    </row>
    <row r="799">
      <c r="A799" s="25"/>
      <c r="B799" s="25"/>
      <c r="C799" s="25"/>
      <c r="D799" s="25"/>
    </row>
    <row r="800">
      <c r="A800" s="25"/>
      <c r="B800" s="25"/>
      <c r="C800" s="25"/>
      <c r="D800" s="25"/>
    </row>
    <row r="801">
      <c r="A801" s="25"/>
      <c r="B801" s="25"/>
      <c r="C801" s="25"/>
      <c r="D801" s="25"/>
    </row>
    <row r="802">
      <c r="A802" s="25"/>
      <c r="B802" s="25"/>
      <c r="C802" s="25"/>
      <c r="D802" s="25"/>
    </row>
    <row r="803">
      <c r="A803" s="25"/>
      <c r="B803" s="25"/>
      <c r="C803" s="25"/>
      <c r="D803" s="25"/>
    </row>
    <row r="804">
      <c r="A804" s="25"/>
      <c r="B804" s="25"/>
      <c r="C804" s="25"/>
      <c r="D804" s="25"/>
    </row>
    <row r="805">
      <c r="A805" s="25"/>
      <c r="B805" s="25"/>
      <c r="C805" s="25"/>
      <c r="D805" s="25"/>
    </row>
    <row r="806">
      <c r="A806" s="25"/>
      <c r="B806" s="25"/>
      <c r="C806" s="25"/>
      <c r="D806" s="25"/>
    </row>
    <row r="807">
      <c r="A807" s="25"/>
      <c r="B807" s="25"/>
      <c r="C807" s="25"/>
      <c r="D807" s="25"/>
    </row>
    <row r="808">
      <c r="A808" s="25"/>
      <c r="B808" s="25"/>
      <c r="C808" s="25"/>
      <c r="D808" s="25"/>
    </row>
    <row r="809">
      <c r="A809" s="25"/>
      <c r="B809" s="25"/>
      <c r="C809" s="25"/>
      <c r="D809" s="25"/>
    </row>
    <row r="810">
      <c r="A810" s="25"/>
      <c r="B810" s="25"/>
      <c r="C810" s="25"/>
      <c r="D810" s="25"/>
    </row>
    <row r="811">
      <c r="A811" s="25"/>
      <c r="B811" s="25"/>
      <c r="C811" s="25"/>
      <c r="D811" s="25"/>
    </row>
    <row r="812">
      <c r="A812" s="25"/>
      <c r="B812" s="25"/>
      <c r="C812" s="25"/>
      <c r="D812" s="25"/>
    </row>
    <row r="813">
      <c r="A813" s="25"/>
      <c r="B813" s="25"/>
      <c r="C813" s="25"/>
      <c r="D813" s="25"/>
    </row>
    <row r="814">
      <c r="A814" s="25"/>
      <c r="B814" s="25"/>
      <c r="C814" s="25"/>
      <c r="D814" s="25"/>
    </row>
    <row r="815">
      <c r="A815" s="25"/>
      <c r="B815" s="25"/>
      <c r="C815" s="25"/>
      <c r="D815" s="25"/>
    </row>
    <row r="816">
      <c r="A816" s="25"/>
      <c r="B816" s="25"/>
      <c r="C816" s="25"/>
      <c r="D816" s="25"/>
    </row>
    <row r="817">
      <c r="A817" s="25"/>
      <c r="B817" s="25"/>
      <c r="C817" s="25"/>
      <c r="D817" s="25"/>
    </row>
    <row r="818">
      <c r="A818" s="25"/>
      <c r="B818" s="25"/>
      <c r="C818" s="25"/>
      <c r="D818" s="25"/>
    </row>
    <row r="819">
      <c r="A819" s="25"/>
      <c r="B819" s="25"/>
      <c r="C819" s="25"/>
      <c r="D819" s="25"/>
    </row>
    <row r="820">
      <c r="A820" s="25"/>
      <c r="B820" s="25"/>
      <c r="C820" s="25"/>
      <c r="D820" s="25"/>
    </row>
    <row r="821">
      <c r="A821" s="25"/>
      <c r="B821" s="25"/>
      <c r="C821" s="25"/>
      <c r="D821" s="25"/>
    </row>
    <row r="822">
      <c r="A822" s="25"/>
      <c r="B822" s="25"/>
      <c r="C822" s="25"/>
      <c r="D822" s="25"/>
    </row>
    <row r="823">
      <c r="A823" s="25"/>
      <c r="B823" s="25"/>
      <c r="C823" s="25"/>
      <c r="D823" s="25"/>
    </row>
    <row r="824">
      <c r="A824" s="25"/>
      <c r="B824" s="25"/>
      <c r="C824" s="25"/>
      <c r="D824" s="25"/>
    </row>
    <row r="825">
      <c r="A825" s="25"/>
      <c r="B825" s="25"/>
      <c r="C825" s="25"/>
      <c r="D825" s="25"/>
    </row>
    <row r="826">
      <c r="A826" s="25"/>
      <c r="B826" s="25"/>
      <c r="C826" s="25"/>
      <c r="D826" s="25"/>
    </row>
    <row r="827">
      <c r="A827" s="25"/>
      <c r="B827" s="25"/>
      <c r="C827" s="25"/>
      <c r="D827" s="25"/>
    </row>
    <row r="828">
      <c r="A828" s="25"/>
      <c r="B828" s="25"/>
      <c r="C828" s="25"/>
      <c r="D828" s="25"/>
    </row>
    <row r="829">
      <c r="A829" s="25"/>
      <c r="B829" s="25"/>
      <c r="C829" s="25"/>
      <c r="D829" s="25"/>
    </row>
    <row r="830">
      <c r="A830" s="25"/>
      <c r="B830" s="25"/>
      <c r="C830" s="25"/>
      <c r="D830" s="25"/>
    </row>
    <row r="831">
      <c r="A831" s="25"/>
      <c r="B831" s="25"/>
      <c r="C831" s="25"/>
      <c r="D831" s="25"/>
    </row>
    <row r="832">
      <c r="A832" s="25"/>
      <c r="B832" s="25"/>
      <c r="C832" s="25"/>
      <c r="D832" s="25"/>
    </row>
    <row r="833">
      <c r="A833" s="25"/>
      <c r="B833" s="25"/>
      <c r="C833" s="25"/>
      <c r="D833" s="25"/>
    </row>
    <row r="834">
      <c r="A834" s="25"/>
      <c r="B834" s="25"/>
      <c r="C834" s="25"/>
      <c r="D834" s="25"/>
    </row>
    <row r="835">
      <c r="A835" s="25"/>
      <c r="B835" s="25"/>
      <c r="C835" s="25"/>
      <c r="D835" s="25"/>
    </row>
    <row r="836">
      <c r="A836" s="25"/>
      <c r="B836" s="25"/>
      <c r="C836" s="25"/>
      <c r="D836" s="25"/>
    </row>
    <row r="837">
      <c r="A837" s="25"/>
      <c r="B837" s="25"/>
      <c r="C837" s="25"/>
      <c r="D837" s="25"/>
    </row>
    <row r="838">
      <c r="A838" s="25"/>
      <c r="B838" s="25"/>
      <c r="C838" s="25"/>
      <c r="D838" s="25"/>
    </row>
    <row r="839">
      <c r="A839" s="25"/>
      <c r="B839" s="25"/>
      <c r="C839" s="25"/>
      <c r="D839" s="25"/>
    </row>
    <row r="840">
      <c r="A840" s="25"/>
      <c r="B840" s="25"/>
      <c r="C840" s="25"/>
      <c r="D840" s="25"/>
    </row>
    <row r="841">
      <c r="A841" s="25"/>
      <c r="B841" s="25"/>
      <c r="C841" s="25"/>
      <c r="D841" s="25"/>
    </row>
    <row r="842">
      <c r="A842" s="25"/>
      <c r="B842" s="25"/>
      <c r="C842" s="25"/>
      <c r="D842" s="25"/>
    </row>
    <row r="843">
      <c r="A843" s="25"/>
      <c r="B843" s="25"/>
      <c r="C843" s="25"/>
      <c r="D843" s="25"/>
    </row>
    <row r="844">
      <c r="A844" s="25"/>
      <c r="B844" s="25"/>
      <c r="C844" s="25"/>
      <c r="D844" s="25"/>
    </row>
    <row r="845">
      <c r="A845" s="25"/>
      <c r="B845" s="25"/>
      <c r="C845" s="25"/>
      <c r="D845" s="25"/>
    </row>
    <row r="846">
      <c r="A846" s="25"/>
      <c r="B846" s="25"/>
      <c r="C846" s="25"/>
      <c r="D846" s="25"/>
    </row>
    <row r="847">
      <c r="A847" s="25"/>
      <c r="B847" s="25"/>
      <c r="C847" s="25"/>
      <c r="D847" s="25"/>
    </row>
    <row r="848">
      <c r="A848" s="25"/>
      <c r="B848" s="25"/>
      <c r="C848" s="25"/>
      <c r="D848" s="25"/>
    </row>
    <row r="849">
      <c r="A849" s="25"/>
      <c r="B849" s="25"/>
      <c r="C849" s="25"/>
      <c r="D849" s="25"/>
    </row>
    <row r="850">
      <c r="A850" s="25"/>
      <c r="B850" s="25"/>
      <c r="C850" s="25"/>
      <c r="D850" s="25"/>
    </row>
    <row r="851">
      <c r="A851" s="25"/>
      <c r="B851" s="25"/>
      <c r="C851" s="25"/>
      <c r="D851" s="25"/>
    </row>
    <row r="852">
      <c r="A852" s="25"/>
      <c r="B852" s="25"/>
      <c r="C852" s="25"/>
      <c r="D852" s="25"/>
    </row>
    <row r="853">
      <c r="A853" s="25"/>
      <c r="B853" s="25"/>
      <c r="C853" s="25"/>
      <c r="D853" s="25"/>
    </row>
    <row r="854">
      <c r="A854" s="25"/>
      <c r="B854" s="25"/>
      <c r="C854" s="25"/>
      <c r="D854" s="25"/>
    </row>
    <row r="855">
      <c r="A855" s="25"/>
      <c r="B855" s="25"/>
      <c r="C855" s="25"/>
      <c r="D855" s="25"/>
    </row>
    <row r="856">
      <c r="A856" s="25"/>
      <c r="B856" s="25"/>
      <c r="C856" s="25"/>
      <c r="D856" s="25"/>
    </row>
    <row r="857">
      <c r="A857" s="25"/>
      <c r="B857" s="25"/>
      <c r="C857" s="25"/>
      <c r="D857" s="25"/>
    </row>
    <row r="858">
      <c r="A858" s="25"/>
      <c r="B858" s="25"/>
      <c r="C858" s="25"/>
      <c r="D858" s="25"/>
    </row>
    <row r="859">
      <c r="A859" s="25"/>
      <c r="B859" s="25"/>
      <c r="C859" s="25"/>
      <c r="D859" s="25"/>
    </row>
    <row r="860">
      <c r="A860" s="25"/>
      <c r="B860" s="25"/>
      <c r="C860" s="25"/>
      <c r="D860" s="25"/>
    </row>
    <row r="861">
      <c r="A861" s="25"/>
      <c r="B861" s="25"/>
      <c r="C861" s="25"/>
      <c r="D861" s="25"/>
    </row>
    <row r="862">
      <c r="A862" s="25"/>
      <c r="B862" s="25"/>
      <c r="C862" s="25"/>
      <c r="D862" s="25"/>
    </row>
    <row r="863">
      <c r="A863" s="25"/>
      <c r="B863" s="25"/>
      <c r="C863" s="25"/>
      <c r="D863" s="25"/>
    </row>
    <row r="864">
      <c r="A864" s="25"/>
      <c r="B864" s="25"/>
      <c r="C864" s="25"/>
      <c r="D864" s="25"/>
    </row>
    <row r="865">
      <c r="A865" s="25"/>
      <c r="B865" s="25"/>
      <c r="C865" s="25"/>
      <c r="D865" s="25"/>
    </row>
    <row r="866">
      <c r="A866" s="25"/>
      <c r="B866" s="25"/>
      <c r="C866" s="25"/>
      <c r="D866" s="25"/>
    </row>
    <row r="867">
      <c r="A867" s="25"/>
      <c r="B867" s="25"/>
      <c r="C867" s="25"/>
      <c r="D867" s="25"/>
    </row>
    <row r="868">
      <c r="A868" s="25"/>
      <c r="B868" s="25"/>
      <c r="C868" s="25"/>
      <c r="D868" s="25"/>
    </row>
    <row r="869">
      <c r="A869" s="25"/>
      <c r="B869" s="25"/>
      <c r="C869" s="25"/>
      <c r="D869" s="25"/>
    </row>
    <row r="870">
      <c r="A870" s="25"/>
      <c r="B870" s="25"/>
      <c r="C870" s="25"/>
      <c r="D870" s="25"/>
    </row>
    <row r="871">
      <c r="A871" s="25"/>
      <c r="B871" s="25"/>
      <c r="C871" s="25"/>
      <c r="D871" s="25"/>
    </row>
    <row r="872">
      <c r="A872" s="25"/>
      <c r="B872" s="25"/>
      <c r="C872" s="25"/>
      <c r="D872" s="25"/>
    </row>
    <row r="873">
      <c r="A873" s="25"/>
      <c r="B873" s="25"/>
      <c r="C873" s="25"/>
      <c r="D873" s="25"/>
    </row>
    <row r="874">
      <c r="A874" s="25"/>
      <c r="B874" s="25"/>
      <c r="C874" s="25"/>
      <c r="D874" s="25"/>
    </row>
    <row r="875">
      <c r="A875" s="25"/>
      <c r="B875" s="25"/>
      <c r="C875" s="25"/>
      <c r="D875" s="25"/>
    </row>
    <row r="876">
      <c r="A876" s="25"/>
      <c r="B876" s="25"/>
      <c r="C876" s="25"/>
      <c r="D876" s="25"/>
    </row>
    <row r="877">
      <c r="A877" s="25"/>
      <c r="B877" s="25"/>
      <c r="C877" s="25"/>
      <c r="D877" s="25"/>
    </row>
    <row r="878">
      <c r="A878" s="25"/>
      <c r="B878" s="25"/>
      <c r="C878" s="25"/>
      <c r="D878" s="25"/>
    </row>
    <row r="879">
      <c r="A879" s="25"/>
      <c r="B879" s="25"/>
      <c r="C879" s="25"/>
      <c r="D879" s="25"/>
    </row>
    <row r="880">
      <c r="A880" s="25"/>
      <c r="B880" s="25"/>
      <c r="C880" s="25"/>
      <c r="D880" s="25"/>
    </row>
    <row r="881">
      <c r="A881" s="25"/>
      <c r="B881" s="25"/>
      <c r="C881" s="25"/>
      <c r="D881" s="25"/>
    </row>
    <row r="882">
      <c r="A882" s="25"/>
      <c r="B882" s="25"/>
      <c r="C882" s="25"/>
      <c r="D882" s="25"/>
    </row>
    <row r="883">
      <c r="A883" s="25"/>
      <c r="B883" s="25"/>
      <c r="C883" s="25"/>
      <c r="D883" s="25"/>
    </row>
    <row r="884">
      <c r="A884" s="25"/>
      <c r="B884" s="25"/>
      <c r="C884" s="25"/>
      <c r="D884" s="25"/>
    </row>
    <row r="885">
      <c r="A885" s="25"/>
      <c r="B885" s="25"/>
      <c r="C885" s="25"/>
      <c r="D885" s="25"/>
    </row>
    <row r="886">
      <c r="A886" s="25"/>
      <c r="B886" s="25"/>
      <c r="C886" s="25"/>
      <c r="D886" s="25"/>
    </row>
    <row r="887">
      <c r="A887" s="25"/>
      <c r="B887" s="25"/>
      <c r="C887" s="25"/>
      <c r="D887" s="25"/>
    </row>
    <row r="888">
      <c r="A888" s="25"/>
      <c r="B888" s="25"/>
      <c r="C888" s="25"/>
      <c r="D888" s="25"/>
    </row>
    <row r="889">
      <c r="A889" s="25"/>
      <c r="B889" s="25"/>
      <c r="C889" s="25"/>
      <c r="D889" s="25"/>
    </row>
    <row r="890">
      <c r="A890" s="25"/>
      <c r="B890" s="25"/>
      <c r="C890" s="25"/>
      <c r="D890" s="25"/>
    </row>
    <row r="891">
      <c r="A891" s="25"/>
      <c r="B891" s="25"/>
      <c r="C891" s="25"/>
      <c r="D891" s="25"/>
    </row>
    <row r="892">
      <c r="A892" s="25"/>
      <c r="B892" s="25"/>
      <c r="C892" s="25"/>
      <c r="D892" s="25"/>
    </row>
    <row r="893">
      <c r="A893" s="25"/>
      <c r="B893" s="25"/>
      <c r="C893" s="25"/>
      <c r="D893" s="25"/>
    </row>
    <row r="894">
      <c r="A894" s="25"/>
      <c r="B894" s="25"/>
      <c r="C894" s="25"/>
      <c r="D894" s="25"/>
    </row>
    <row r="895">
      <c r="A895" s="25"/>
      <c r="B895" s="25"/>
      <c r="C895" s="25"/>
      <c r="D895" s="25"/>
    </row>
    <row r="896">
      <c r="A896" s="25"/>
      <c r="B896" s="25"/>
      <c r="C896" s="25"/>
      <c r="D896" s="25"/>
    </row>
    <row r="897">
      <c r="A897" s="25"/>
      <c r="B897" s="25"/>
      <c r="C897" s="25"/>
      <c r="D897" s="25"/>
    </row>
    <row r="898">
      <c r="A898" s="25"/>
      <c r="B898" s="25"/>
      <c r="C898" s="25"/>
      <c r="D898" s="25"/>
    </row>
    <row r="899">
      <c r="A899" s="25"/>
      <c r="B899" s="25"/>
      <c r="C899" s="25"/>
      <c r="D899" s="25"/>
    </row>
    <row r="900">
      <c r="A900" s="25"/>
      <c r="B900" s="25"/>
      <c r="C900" s="25"/>
      <c r="D900" s="25"/>
    </row>
    <row r="901">
      <c r="A901" s="25"/>
      <c r="B901" s="25"/>
      <c r="C901" s="25"/>
      <c r="D901" s="25"/>
    </row>
    <row r="902">
      <c r="A902" s="25"/>
      <c r="B902" s="25"/>
      <c r="C902" s="25"/>
      <c r="D902" s="25"/>
    </row>
    <row r="903">
      <c r="A903" s="25"/>
      <c r="B903" s="25"/>
      <c r="C903" s="25"/>
      <c r="D903" s="25"/>
    </row>
    <row r="904">
      <c r="A904" s="25"/>
      <c r="B904" s="25"/>
      <c r="C904" s="25"/>
      <c r="D904" s="25"/>
    </row>
    <row r="905">
      <c r="A905" s="25"/>
      <c r="B905" s="25"/>
      <c r="C905" s="25"/>
      <c r="D905" s="25"/>
    </row>
    <row r="906">
      <c r="A906" s="25"/>
      <c r="B906" s="25"/>
      <c r="C906" s="25"/>
      <c r="D906" s="25"/>
    </row>
    <row r="907">
      <c r="A907" s="25"/>
      <c r="B907" s="25"/>
      <c r="C907" s="25"/>
      <c r="D907" s="25"/>
    </row>
    <row r="908">
      <c r="A908" s="25"/>
      <c r="B908" s="25"/>
      <c r="C908" s="25"/>
      <c r="D908" s="25"/>
    </row>
    <row r="909">
      <c r="A909" s="25"/>
      <c r="B909" s="25"/>
      <c r="C909" s="25"/>
      <c r="D909" s="25"/>
    </row>
    <row r="910">
      <c r="A910" s="25"/>
      <c r="B910" s="25"/>
      <c r="C910" s="25"/>
      <c r="D910" s="25"/>
    </row>
    <row r="911">
      <c r="A911" s="25"/>
      <c r="B911" s="25"/>
      <c r="C911" s="25"/>
      <c r="D911" s="25"/>
    </row>
    <row r="912">
      <c r="A912" s="25"/>
      <c r="B912" s="25"/>
      <c r="C912" s="25"/>
      <c r="D912" s="25"/>
    </row>
    <row r="913">
      <c r="A913" s="25"/>
      <c r="B913" s="25"/>
      <c r="C913" s="25"/>
      <c r="D913" s="25"/>
    </row>
    <row r="914">
      <c r="A914" s="25"/>
      <c r="B914" s="25"/>
      <c r="C914" s="25"/>
      <c r="D914" s="25"/>
    </row>
    <row r="915">
      <c r="A915" s="25"/>
      <c r="B915" s="25"/>
      <c r="C915" s="25"/>
      <c r="D915" s="25"/>
    </row>
    <row r="916">
      <c r="A916" s="25"/>
      <c r="B916" s="25"/>
      <c r="C916" s="25"/>
      <c r="D916" s="25"/>
    </row>
    <row r="917">
      <c r="A917" s="25"/>
      <c r="B917" s="25"/>
      <c r="C917" s="25"/>
      <c r="D917" s="25"/>
    </row>
    <row r="918">
      <c r="A918" s="25"/>
      <c r="B918" s="25"/>
      <c r="C918" s="25"/>
      <c r="D918" s="25"/>
    </row>
    <row r="919">
      <c r="A919" s="25"/>
      <c r="B919" s="25"/>
      <c r="C919" s="25"/>
      <c r="D919" s="25"/>
    </row>
    <row r="920">
      <c r="A920" s="25"/>
      <c r="B920" s="25"/>
      <c r="C920" s="25"/>
      <c r="D920" s="25"/>
    </row>
    <row r="921">
      <c r="A921" s="25"/>
      <c r="B921" s="25"/>
      <c r="C921" s="25"/>
      <c r="D921" s="25"/>
    </row>
    <row r="922">
      <c r="A922" s="25"/>
      <c r="B922" s="25"/>
      <c r="C922" s="25"/>
      <c r="D922" s="25"/>
    </row>
    <row r="923">
      <c r="A923" s="25"/>
      <c r="B923" s="25"/>
      <c r="C923" s="25"/>
      <c r="D923" s="25"/>
    </row>
    <row r="924">
      <c r="A924" s="25"/>
      <c r="B924" s="25"/>
      <c r="C924" s="25"/>
      <c r="D924" s="25"/>
    </row>
    <row r="925">
      <c r="A925" s="25"/>
      <c r="B925" s="25"/>
      <c r="C925" s="25"/>
      <c r="D925" s="25"/>
    </row>
    <row r="926">
      <c r="A926" s="25"/>
      <c r="B926" s="25"/>
      <c r="C926" s="25"/>
      <c r="D926" s="25"/>
    </row>
    <row r="927">
      <c r="A927" s="25"/>
      <c r="B927" s="25"/>
      <c r="C927" s="25"/>
      <c r="D927" s="25"/>
    </row>
    <row r="928">
      <c r="A928" s="25"/>
      <c r="B928" s="25"/>
      <c r="C928" s="25"/>
      <c r="D928" s="25"/>
    </row>
    <row r="929">
      <c r="A929" s="25"/>
      <c r="B929" s="25"/>
      <c r="C929" s="25"/>
      <c r="D929" s="25"/>
    </row>
    <row r="930">
      <c r="A930" s="25"/>
      <c r="B930" s="25"/>
      <c r="C930" s="25"/>
      <c r="D930" s="25"/>
    </row>
    <row r="931">
      <c r="A931" s="25"/>
      <c r="B931" s="25"/>
      <c r="C931" s="25"/>
      <c r="D931" s="25"/>
    </row>
    <row r="932">
      <c r="A932" s="25"/>
      <c r="B932" s="25"/>
      <c r="C932" s="25"/>
      <c r="D932" s="25"/>
    </row>
    <row r="933">
      <c r="A933" s="25"/>
      <c r="B933" s="25"/>
      <c r="C933" s="25"/>
      <c r="D933" s="25"/>
    </row>
    <row r="934">
      <c r="A934" s="25"/>
      <c r="B934" s="25"/>
      <c r="C934" s="25"/>
      <c r="D934" s="25"/>
    </row>
    <row r="935">
      <c r="A935" s="25"/>
      <c r="B935" s="25"/>
      <c r="C935" s="25"/>
      <c r="D935" s="25"/>
    </row>
    <row r="936">
      <c r="A936" s="25"/>
      <c r="B936" s="25"/>
      <c r="C936" s="25"/>
      <c r="D936" s="25"/>
    </row>
    <row r="937">
      <c r="A937" s="25"/>
      <c r="B937" s="25"/>
      <c r="C937" s="25"/>
      <c r="D937" s="25"/>
    </row>
    <row r="938">
      <c r="A938" s="25"/>
      <c r="B938" s="25"/>
      <c r="C938" s="25"/>
      <c r="D938" s="25"/>
    </row>
    <row r="939">
      <c r="A939" s="25"/>
      <c r="B939" s="25"/>
      <c r="C939" s="25"/>
      <c r="D939" s="25"/>
    </row>
    <row r="940">
      <c r="A940" s="25"/>
      <c r="B940" s="25"/>
      <c r="C940" s="25"/>
      <c r="D940" s="25"/>
    </row>
    <row r="941">
      <c r="A941" s="25"/>
      <c r="B941" s="25"/>
      <c r="C941" s="25"/>
      <c r="D941" s="25"/>
    </row>
    <row r="942">
      <c r="A942" s="25"/>
      <c r="B942" s="25"/>
      <c r="C942" s="25"/>
      <c r="D942" s="25"/>
    </row>
    <row r="943">
      <c r="A943" s="25"/>
      <c r="B943" s="25"/>
      <c r="C943" s="25"/>
      <c r="D943" s="25"/>
    </row>
    <row r="944">
      <c r="A944" s="25"/>
      <c r="B944" s="25"/>
      <c r="C944" s="25"/>
      <c r="D944" s="25"/>
    </row>
    <row r="945">
      <c r="A945" s="25"/>
      <c r="B945" s="25"/>
      <c r="C945" s="25"/>
      <c r="D945" s="25"/>
    </row>
    <row r="946">
      <c r="A946" s="25"/>
      <c r="B946" s="25"/>
      <c r="C946" s="25"/>
      <c r="D946" s="25"/>
    </row>
    <row r="947">
      <c r="A947" s="25"/>
      <c r="B947" s="25"/>
      <c r="C947" s="25"/>
      <c r="D947" s="25"/>
    </row>
    <row r="948">
      <c r="A948" s="25"/>
      <c r="B948" s="25"/>
      <c r="C948" s="25"/>
      <c r="D948" s="25"/>
    </row>
    <row r="949">
      <c r="A949" s="25"/>
      <c r="B949" s="25"/>
      <c r="C949" s="25"/>
      <c r="D949" s="25"/>
    </row>
    <row r="950">
      <c r="A950" s="25"/>
      <c r="B950" s="25"/>
      <c r="C950" s="25"/>
      <c r="D950" s="25"/>
    </row>
    <row r="951">
      <c r="A951" s="25"/>
      <c r="B951" s="25"/>
      <c r="C951" s="25"/>
      <c r="D951" s="25"/>
    </row>
    <row r="952">
      <c r="A952" s="25"/>
      <c r="B952" s="25"/>
      <c r="C952" s="25"/>
      <c r="D952" s="25"/>
    </row>
    <row r="953">
      <c r="A953" s="25"/>
      <c r="B953" s="25"/>
      <c r="C953" s="25"/>
      <c r="D953" s="25"/>
    </row>
    <row r="954">
      <c r="A954" s="25"/>
      <c r="B954" s="25"/>
      <c r="C954" s="25"/>
      <c r="D954" s="25"/>
    </row>
    <row r="955">
      <c r="A955" s="25"/>
      <c r="B955" s="25"/>
      <c r="C955" s="25"/>
      <c r="D955" s="25"/>
    </row>
    <row r="956">
      <c r="A956" s="25"/>
      <c r="B956" s="25"/>
      <c r="C956" s="25"/>
      <c r="D956" s="25"/>
    </row>
    <row r="957">
      <c r="A957" s="25"/>
      <c r="B957" s="25"/>
      <c r="C957" s="25"/>
      <c r="D957" s="25"/>
    </row>
    <row r="958">
      <c r="A958" s="25"/>
      <c r="B958" s="25"/>
      <c r="C958" s="25"/>
      <c r="D958" s="25"/>
    </row>
    <row r="959">
      <c r="A959" s="25"/>
      <c r="B959" s="25"/>
      <c r="C959" s="25"/>
      <c r="D959" s="25"/>
    </row>
    <row r="960">
      <c r="A960" s="25"/>
      <c r="B960" s="25"/>
      <c r="C960" s="25"/>
      <c r="D960" s="25"/>
    </row>
    <row r="961">
      <c r="A961" s="25"/>
      <c r="B961" s="25"/>
      <c r="C961" s="25"/>
      <c r="D961" s="25"/>
    </row>
    <row r="962">
      <c r="A962" s="25"/>
      <c r="B962" s="25"/>
      <c r="C962" s="25"/>
      <c r="D962" s="25"/>
    </row>
    <row r="963">
      <c r="A963" s="25"/>
      <c r="B963" s="25"/>
      <c r="C963" s="25"/>
      <c r="D963" s="25"/>
    </row>
    <row r="964">
      <c r="A964" s="25"/>
      <c r="B964" s="25"/>
      <c r="C964" s="25"/>
      <c r="D964" s="25"/>
    </row>
    <row r="965">
      <c r="A965" s="25"/>
      <c r="B965" s="25"/>
      <c r="C965" s="25"/>
      <c r="D965" s="25"/>
    </row>
    <row r="966">
      <c r="A966" s="25"/>
      <c r="B966" s="25"/>
      <c r="C966" s="25"/>
      <c r="D966" s="25"/>
    </row>
    <row r="967">
      <c r="A967" s="25"/>
      <c r="B967" s="25"/>
      <c r="C967" s="25"/>
      <c r="D967" s="25"/>
    </row>
    <row r="968">
      <c r="A968" s="25"/>
      <c r="B968" s="25"/>
      <c r="C968" s="25"/>
      <c r="D968" s="25"/>
    </row>
    <row r="969">
      <c r="A969" s="25"/>
      <c r="B969" s="25"/>
      <c r="C969" s="25"/>
      <c r="D969" s="25"/>
    </row>
    <row r="970">
      <c r="A970" s="25"/>
      <c r="B970" s="25"/>
      <c r="C970" s="25"/>
      <c r="D970" s="25"/>
    </row>
    <row r="971">
      <c r="A971" s="25"/>
      <c r="B971" s="25"/>
      <c r="C971" s="25"/>
      <c r="D971" s="25"/>
    </row>
    <row r="972">
      <c r="A972" s="25"/>
      <c r="B972" s="25"/>
      <c r="C972" s="25"/>
      <c r="D972" s="25"/>
    </row>
    <row r="973">
      <c r="A973" s="25"/>
      <c r="B973" s="25"/>
      <c r="C973" s="25"/>
      <c r="D973" s="25"/>
    </row>
    <row r="974">
      <c r="A974" s="25"/>
      <c r="B974" s="25"/>
      <c r="C974" s="25"/>
      <c r="D974" s="25"/>
    </row>
    <row r="975">
      <c r="A975" s="25"/>
      <c r="B975" s="25"/>
      <c r="C975" s="25"/>
      <c r="D975" s="25"/>
    </row>
    <row r="976">
      <c r="A976" s="25"/>
      <c r="B976" s="25"/>
      <c r="C976" s="25"/>
      <c r="D976" s="25"/>
    </row>
    <row r="977">
      <c r="A977" s="25"/>
      <c r="B977" s="25"/>
      <c r="C977" s="25"/>
      <c r="D977" s="25"/>
    </row>
    <row r="978">
      <c r="A978" s="25"/>
      <c r="B978" s="25"/>
      <c r="C978" s="25"/>
      <c r="D978" s="25"/>
    </row>
    <row r="979">
      <c r="A979" s="25"/>
      <c r="B979" s="25"/>
      <c r="C979" s="25"/>
      <c r="D979" s="25"/>
    </row>
    <row r="980">
      <c r="A980" s="25"/>
      <c r="B980" s="25"/>
      <c r="C980" s="25"/>
      <c r="D980" s="25"/>
    </row>
    <row r="981">
      <c r="A981" s="25"/>
      <c r="B981" s="25"/>
      <c r="C981" s="25"/>
      <c r="D981" s="25"/>
    </row>
    <row r="982">
      <c r="A982" s="25"/>
      <c r="B982" s="25"/>
      <c r="C982" s="25"/>
      <c r="D982" s="25"/>
    </row>
    <row r="983">
      <c r="A983" s="25"/>
      <c r="B983" s="25"/>
      <c r="C983" s="25"/>
      <c r="D983" s="25"/>
    </row>
    <row r="984">
      <c r="A984" s="25"/>
      <c r="B984" s="25"/>
      <c r="C984" s="25"/>
      <c r="D984" s="25"/>
    </row>
    <row r="985">
      <c r="A985" s="25"/>
      <c r="B985" s="25"/>
      <c r="C985" s="25"/>
      <c r="D985" s="25"/>
    </row>
    <row r="986">
      <c r="A986" s="25"/>
      <c r="B986" s="25"/>
      <c r="C986" s="25"/>
      <c r="D986" s="25"/>
    </row>
    <row r="987">
      <c r="A987" s="25"/>
      <c r="B987" s="25"/>
      <c r="C987" s="25"/>
      <c r="D987" s="25"/>
    </row>
    <row r="988">
      <c r="A988" s="25"/>
      <c r="B988" s="25"/>
      <c r="C988" s="25"/>
      <c r="D988" s="25"/>
    </row>
    <row r="989">
      <c r="A989" s="25"/>
      <c r="B989" s="25"/>
      <c r="C989" s="25"/>
      <c r="D989" s="25"/>
    </row>
    <row r="990">
      <c r="A990" s="25"/>
      <c r="B990" s="25"/>
      <c r="C990" s="25"/>
      <c r="D990" s="25"/>
    </row>
    <row r="991">
      <c r="A991" s="25"/>
      <c r="B991" s="25"/>
      <c r="C991" s="25"/>
      <c r="D991" s="25"/>
    </row>
    <row r="992">
      <c r="A992" s="25"/>
      <c r="B992" s="25"/>
      <c r="C992" s="25"/>
      <c r="D992" s="25"/>
    </row>
    <row r="993">
      <c r="A993" s="25"/>
      <c r="B993" s="25"/>
      <c r="C993" s="25"/>
      <c r="D993" s="25"/>
    </row>
    <row r="994">
      <c r="A994" s="25"/>
      <c r="B994" s="25"/>
      <c r="C994" s="25"/>
      <c r="D994" s="25"/>
    </row>
    <row r="995">
      <c r="A995" s="25"/>
      <c r="B995" s="25"/>
      <c r="C995" s="25"/>
      <c r="D995" s="25"/>
    </row>
    <row r="996">
      <c r="A996" s="25"/>
      <c r="B996" s="25"/>
      <c r="C996" s="25"/>
      <c r="D996" s="25"/>
    </row>
    <row r="997">
      <c r="A997" s="25"/>
      <c r="B997" s="25"/>
      <c r="C997" s="25"/>
      <c r="D997" s="25"/>
    </row>
    <row r="998">
      <c r="A998" s="25"/>
      <c r="B998" s="25"/>
      <c r="C998" s="25"/>
      <c r="D998" s="25"/>
    </row>
    <row r="999">
      <c r="A999" s="25"/>
      <c r="B999" s="25"/>
      <c r="C999" s="25"/>
      <c r="D999" s="25"/>
    </row>
    <row r="1000">
      <c r="A1000" s="25"/>
      <c r="B1000" s="25"/>
      <c r="C1000" s="25"/>
      <c r="D1000" s="2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6"/>
      <c r="B1" s="27" t="s">
        <v>263</v>
      </c>
      <c r="C1" s="27" t="s">
        <v>65</v>
      </c>
      <c r="D1" s="27" t="s">
        <v>149</v>
      </c>
      <c r="E1" s="27" t="s">
        <v>182</v>
      </c>
      <c r="F1" s="27" t="s">
        <v>278</v>
      </c>
      <c r="G1" s="27" t="s">
        <v>82</v>
      </c>
      <c r="H1" s="27" t="s">
        <v>216</v>
      </c>
      <c r="I1" s="27" t="s">
        <v>15</v>
      </c>
      <c r="J1" s="27" t="s">
        <v>99</v>
      </c>
      <c r="K1" s="27" t="s">
        <v>232</v>
      </c>
      <c r="L1" s="27" t="s">
        <v>32</v>
      </c>
      <c r="M1" s="27" t="s">
        <v>115</v>
      </c>
      <c r="N1" s="27" t="s">
        <v>248</v>
      </c>
      <c r="O1" s="27" t="s">
        <v>49</v>
      </c>
      <c r="P1" s="27" t="s">
        <v>132</v>
      </c>
      <c r="Q1" s="27" t="s">
        <v>166</v>
      </c>
      <c r="R1" s="27" t="s">
        <v>199</v>
      </c>
      <c r="S1" s="28"/>
      <c r="T1" s="26"/>
      <c r="U1" s="26"/>
      <c r="V1" s="26"/>
      <c r="W1" s="26"/>
      <c r="X1" s="26"/>
      <c r="Y1" s="26"/>
      <c r="Z1" s="26"/>
      <c r="AA1" s="26"/>
      <c r="AB1" s="26"/>
    </row>
    <row r="2">
      <c r="A2" s="29" t="s">
        <v>560</v>
      </c>
      <c r="B2" s="27">
        <v>20.91</v>
      </c>
      <c r="C2" s="27">
        <v>46.4</v>
      </c>
      <c r="D2" s="27">
        <v>102.0</v>
      </c>
      <c r="E2" s="27">
        <v>220.07</v>
      </c>
      <c r="F2" s="27">
        <v>452.12</v>
      </c>
      <c r="G2" s="27">
        <v>870.67</v>
      </c>
      <c r="H2" s="27">
        <v>23.55</v>
      </c>
      <c r="I2" s="27">
        <v>51.6</v>
      </c>
      <c r="J2" s="27">
        <v>111.92</v>
      </c>
      <c r="K2" s="27">
        <v>25.95</v>
      </c>
      <c r="L2" s="27">
        <v>56.88</v>
      </c>
      <c r="M2" s="27">
        <v>125.48</v>
      </c>
      <c r="N2" s="27">
        <v>22.27</v>
      </c>
      <c r="O2" s="27">
        <v>49.45</v>
      </c>
      <c r="P2" s="27">
        <v>110.34</v>
      </c>
      <c r="Q2" s="27">
        <v>114.0</v>
      </c>
      <c r="R2" s="27">
        <v>242.5</v>
      </c>
      <c r="S2" s="28"/>
      <c r="T2" s="26"/>
      <c r="U2" s="26"/>
      <c r="V2" s="26"/>
      <c r="W2" s="26"/>
      <c r="X2" s="26"/>
      <c r="Y2" s="26"/>
      <c r="Z2" s="26"/>
      <c r="AA2" s="26"/>
      <c r="AB2" s="26"/>
    </row>
    <row r="3">
      <c r="A3" s="29" t="s">
        <v>561</v>
      </c>
      <c r="B3" s="30">
        <v>23.61</v>
      </c>
      <c r="C3" s="30">
        <v>51.71</v>
      </c>
      <c r="D3" s="30">
        <v>112.23</v>
      </c>
      <c r="E3" s="30">
        <v>235.38</v>
      </c>
      <c r="F3" s="30">
        <v>484.79</v>
      </c>
      <c r="G3" s="30">
        <v>920.48</v>
      </c>
      <c r="H3" s="30">
        <v>26.86</v>
      </c>
      <c r="I3" s="30">
        <v>57.13</v>
      </c>
      <c r="J3" s="30">
        <v>123.14</v>
      </c>
      <c r="K3" s="30">
        <v>29.16</v>
      </c>
      <c r="L3" s="30">
        <v>64.13</v>
      </c>
      <c r="M3" s="30">
        <v>137.55</v>
      </c>
      <c r="N3" s="30">
        <v>24.43</v>
      </c>
      <c r="O3" s="30">
        <v>55.18</v>
      </c>
      <c r="P3" s="30">
        <v>121.81</v>
      </c>
      <c r="Q3" s="30">
        <v>126.12</v>
      </c>
      <c r="R3" s="30">
        <v>264.38</v>
      </c>
      <c r="S3" s="30">
        <v>258.94</v>
      </c>
      <c r="T3" s="26"/>
      <c r="U3" s="26"/>
      <c r="V3" s="26"/>
      <c r="W3" s="26"/>
      <c r="X3" s="26"/>
      <c r="Y3" s="26"/>
      <c r="Z3" s="26"/>
      <c r="AA3" s="26"/>
      <c r="AB3" s="31"/>
    </row>
    <row r="4">
      <c r="A4" s="26"/>
      <c r="B4" s="26"/>
      <c r="C4" s="32"/>
      <c r="D4" s="32"/>
      <c r="E4" s="32"/>
      <c r="F4" s="32"/>
      <c r="G4" s="32"/>
      <c r="H4" s="26"/>
      <c r="I4" s="32"/>
      <c r="J4" s="32"/>
      <c r="K4" s="32"/>
      <c r="L4" s="26"/>
      <c r="M4" s="26"/>
      <c r="N4" s="26"/>
      <c r="O4" s="32"/>
      <c r="P4" s="32"/>
      <c r="Q4" s="26"/>
      <c r="R4" s="32"/>
      <c r="S4" s="31"/>
      <c r="T4" s="32"/>
      <c r="U4" s="32"/>
      <c r="V4" s="32"/>
      <c r="W4" s="32"/>
      <c r="X4" s="32"/>
      <c r="Y4" s="32"/>
      <c r="Z4" s="32"/>
      <c r="AA4" s="32"/>
      <c r="AB4" s="32"/>
    </row>
    <row r="5">
      <c r="A5" s="26"/>
      <c r="B5" s="26"/>
      <c r="C5" s="32"/>
      <c r="D5" s="32"/>
      <c r="E5" s="32"/>
      <c r="F5" s="32"/>
      <c r="G5" s="32"/>
      <c r="H5" s="26"/>
      <c r="I5" s="32"/>
      <c r="J5" s="32"/>
      <c r="K5" s="32"/>
      <c r="L5" s="26"/>
      <c r="M5" s="26"/>
      <c r="N5" s="26"/>
      <c r="O5" s="32"/>
      <c r="P5" s="32"/>
      <c r="Q5" s="26"/>
      <c r="R5" s="32"/>
      <c r="S5" s="31"/>
      <c r="T5" s="32"/>
      <c r="U5" s="32"/>
      <c r="V5" s="32"/>
      <c r="W5" s="32"/>
      <c r="X5" s="32"/>
      <c r="Y5" s="32"/>
      <c r="Z5" s="32"/>
      <c r="AA5" s="32"/>
      <c r="AB5" s="32"/>
    </row>
    <row r="6">
      <c r="A6" s="26"/>
      <c r="B6" s="26"/>
      <c r="C6" s="32"/>
      <c r="D6" s="32"/>
      <c r="E6" s="32"/>
      <c r="F6" s="32"/>
      <c r="G6" s="32"/>
      <c r="H6" s="26"/>
      <c r="I6" s="32"/>
      <c r="J6" s="32"/>
      <c r="K6" s="32"/>
      <c r="L6" s="26"/>
      <c r="M6" s="26"/>
      <c r="N6" s="26"/>
      <c r="O6" s="32"/>
      <c r="P6" s="32"/>
      <c r="Q6" s="26"/>
      <c r="R6" s="32"/>
      <c r="S6" s="31"/>
      <c r="T6" s="32"/>
      <c r="U6" s="32"/>
      <c r="V6" s="32"/>
      <c r="W6" s="32"/>
      <c r="X6" s="32"/>
      <c r="Y6" s="32"/>
      <c r="Z6" s="32"/>
      <c r="AA6" s="32"/>
      <c r="AB6" s="32"/>
    </row>
    <row r="7">
      <c r="A7" s="26"/>
      <c r="B7" s="26"/>
      <c r="C7" s="32"/>
      <c r="D7" s="32"/>
      <c r="E7" s="32"/>
      <c r="F7" s="32"/>
      <c r="G7" s="32"/>
      <c r="H7" s="26"/>
      <c r="I7" s="32"/>
      <c r="J7" s="32"/>
      <c r="K7" s="32"/>
      <c r="L7" s="26"/>
      <c r="M7" s="26"/>
      <c r="N7" s="26"/>
      <c r="O7" s="32"/>
      <c r="P7" s="32"/>
      <c r="Q7" s="26"/>
      <c r="R7" s="32"/>
      <c r="S7" s="31"/>
      <c r="T7" s="32"/>
      <c r="U7" s="32"/>
      <c r="V7" s="32"/>
      <c r="W7" s="32"/>
      <c r="X7" s="32"/>
      <c r="Y7" s="32"/>
      <c r="Z7" s="32"/>
      <c r="AA7" s="32"/>
      <c r="AB7" s="32"/>
    </row>
    <row r="8">
      <c r="A8" s="26"/>
      <c r="B8" s="26"/>
      <c r="C8" s="32"/>
      <c r="D8" s="32"/>
      <c r="E8" s="32"/>
      <c r="F8" s="32"/>
      <c r="G8" s="32"/>
      <c r="H8" s="26"/>
      <c r="I8" s="32"/>
      <c r="J8" s="32"/>
      <c r="K8" s="32"/>
      <c r="L8" s="26"/>
      <c r="M8" s="26"/>
      <c r="N8" s="26"/>
      <c r="O8" s="32"/>
      <c r="P8" s="32"/>
      <c r="Q8" s="26"/>
      <c r="R8" s="32"/>
      <c r="S8" s="31"/>
      <c r="T8" s="32"/>
      <c r="U8" s="32"/>
      <c r="V8" s="32"/>
      <c r="W8" s="32"/>
      <c r="X8" s="32"/>
      <c r="Y8" s="32"/>
      <c r="Z8" s="32"/>
      <c r="AA8" s="32"/>
      <c r="AB8" s="32"/>
    </row>
    <row r="9">
      <c r="A9" s="26"/>
      <c r="B9" s="26"/>
      <c r="C9" s="32"/>
      <c r="D9" s="32"/>
      <c r="E9" s="32"/>
      <c r="F9" s="32"/>
      <c r="G9" s="32"/>
      <c r="H9" s="26"/>
      <c r="I9" s="32"/>
      <c r="J9" s="32"/>
      <c r="K9" s="32"/>
      <c r="L9" s="26"/>
      <c r="M9" s="26"/>
      <c r="N9" s="26"/>
      <c r="O9" s="32"/>
      <c r="P9" s="32"/>
      <c r="Q9" s="26"/>
      <c r="R9" s="32"/>
      <c r="S9" s="31"/>
      <c r="T9" s="32"/>
      <c r="U9" s="32"/>
      <c r="V9" s="32"/>
      <c r="W9" s="32"/>
      <c r="X9" s="32"/>
      <c r="Y9" s="32"/>
      <c r="Z9" s="32"/>
      <c r="AA9" s="32"/>
      <c r="AB9" s="32"/>
    </row>
    <row r="10">
      <c r="A10" s="26"/>
      <c r="B10" s="26"/>
      <c r="C10" s="32"/>
      <c r="D10" s="32"/>
      <c r="E10" s="32"/>
      <c r="F10" s="32"/>
      <c r="G10" s="32"/>
      <c r="H10" s="26"/>
      <c r="I10" s="32"/>
      <c r="J10" s="32"/>
      <c r="K10" s="32"/>
      <c r="L10" s="26"/>
      <c r="M10" s="26"/>
      <c r="N10" s="26"/>
      <c r="O10" s="32"/>
      <c r="P10" s="32"/>
      <c r="Q10" s="26"/>
      <c r="R10" s="32"/>
      <c r="S10" s="31"/>
      <c r="T10" s="32"/>
      <c r="U10" s="32"/>
      <c r="V10" s="32"/>
      <c r="W10" s="32"/>
      <c r="X10" s="32"/>
      <c r="Y10" s="32"/>
      <c r="Z10" s="32"/>
      <c r="AA10" s="32"/>
      <c r="AB10" s="32"/>
    </row>
    <row r="11">
      <c r="A11" s="26"/>
      <c r="B11" s="26"/>
      <c r="C11" s="32"/>
      <c r="D11" s="32"/>
      <c r="E11" s="32"/>
      <c r="F11" s="32"/>
      <c r="G11" s="32"/>
      <c r="H11" s="26"/>
      <c r="I11" s="32"/>
      <c r="J11" s="32"/>
      <c r="K11" s="32"/>
      <c r="L11" s="26"/>
      <c r="M11" s="26"/>
      <c r="N11" s="26"/>
      <c r="O11" s="32"/>
      <c r="P11" s="32"/>
      <c r="Q11" s="26"/>
      <c r="R11" s="32"/>
      <c r="S11" s="31"/>
      <c r="T11" s="32"/>
      <c r="U11" s="32"/>
      <c r="V11" s="32"/>
      <c r="W11" s="32"/>
      <c r="X11" s="32"/>
      <c r="Y11" s="32"/>
      <c r="Z11" s="32"/>
      <c r="AA11" s="32"/>
      <c r="AB11" s="32"/>
    </row>
    <row r="12">
      <c r="A12" s="26"/>
      <c r="B12" s="26"/>
      <c r="C12" s="32"/>
      <c r="D12" s="32"/>
      <c r="E12" s="32"/>
      <c r="F12" s="32"/>
      <c r="G12" s="32"/>
      <c r="H12" s="26"/>
      <c r="I12" s="32"/>
      <c r="J12" s="32"/>
      <c r="K12" s="32"/>
      <c r="L12" s="26"/>
      <c r="M12" s="26"/>
      <c r="N12" s="26"/>
      <c r="O12" s="32"/>
      <c r="P12" s="32"/>
      <c r="Q12" s="26"/>
      <c r="R12" s="32"/>
      <c r="S12" s="31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26"/>
      <c r="B13" s="26"/>
      <c r="C13" s="32"/>
      <c r="D13" s="32"/>
      <c r="E13" s="32"/>
      <c r="F13" s="32"/>
      <c r="G13" s="32"/>
      <c r="H13" s="26"/>
      <c r="I13" s="32"/>
      <c r="J13" s="32"/>
      <c r="K13" s="32"/>
      <c r="L13" s="26"/>
      <c r="M13" s="26"/>
      <c r="N13" s="26"/>
      <c r="O13" s="32"/>
      <c r="P13" s="32"/>
      <c r="Q13" s="26"/>
      <c r="R13" s="32"/>
      <c r="S13" s="31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26"/>
      <c r="B14" s="26"/>
      <c r="C14" s="32"/>
      <c r="D14" s="32"/>
      <c r="E14" s="32"/>
      <c r="F14" s="32"/>
      <c r="G14" s="32"/>
      <c r="H14" s="26"/>
      <c r="I14" s="32"/>
      <c r="J14" s="32"/>
      <c r="K14" s="32"/>
      <c r="L14" s="26"/>
      <c r="M14" s="26"/>
      <c r="N14" s="26"/>
      <c r="O14" s="32"/>
      <c r="P14" s="32"/>
      <c r="Q14" s="26"/>
      <c r="R14" s="32"/>
      <c r="S14" s="31"/>
      <c r="T14" s="32"/>
      <c r="U14" s="32"/>
      <c r="V14" s="32"/>
      <c r="W14" s="32"/>
      <c r="X14" s="32"/>
      <c r="Y14" s="32"/>
      <c r="Z14" s="32"/>
      <c r="AA14" s="32"/>
      <c r="AB14" s="32"/>
    </row>
    <row r="15">
      <c r="A15" s="26"/>
      <c r="B15" s="26"/>
      <c r="C15" s="32"/>
      <c r="D15" s="32"/>
      <c r="E15" s="32"/>
      <c r="F15" s="32"/>
      <c r="G15" s="32"/>
      <c r="H15" s="26"/>
      <c r="I15" s="32"/>
      <c r="J15" s="32"/>
      <c r="K15" s="32"/>
      <c r="L15" s="26"/>
      <c r="M15" s="26"/>
      <c r="N15" s="26"/>
      <c r="O15" s="32"/>
      <c r="P15" s="32"/>
      <c r="Q15" s="26"/>
      <c r="R15" s="32"/>
      <c r="S15" s="31"/>
      <c r="T15" s="32"/>
      <c r="U15" s="32"/>
      <c r="V15" s="32"/>
      <c r="W15" s="32"/>
      <c r="X15" s="32"/>
      <c r="Y15" s="32"/>
      <c r="Z15" s="32"/>
      <c r="AA15" s="32"/>
      <c r="AB15" s="32"/>
    </row>
    <row r="16">
      <c r="A16" s="26"/>
      <c r="B16" s="26"/>
      <c r="C16" s="32"/>
      <c r="D16" s="32"/>
      <c r="E16" s="32"/>
      <c r="F16" s="32"/>
      <c r="G16" s="32"/>
      <c r="H16" s="26"/>
      <c r="I16" s="32"/>
      <c r="J16" s="32"/>
      <c r="K16" s="32"/>
      <c r="L16" s="26"/>
      <c r="M16" s="26"/>
      <c r="N16" s="26"/>
      <c r="O16" s="32"/>
      <c r="P16" s="32"/>
      <c r="Q16" s="26"/>
      <c r="R16" s="32"/>
      <c r="S16" s="31"/>
      <c r="T16" s="32"/>
      <c r="U16" s="32"/>
      <c r="V16" s="32"/>
      <c r="W16" s="32"/>
      <c r="X16" s="32"/>
      <c r="Y16" s="32"/>
      <c r="Z16" s="32"/>
      <c r="AA16" s="32"/>
      <c r="AB16" s="32"/>
    </row>
    <row r="17">
      <c r="A17" s="26"/>
      <c r="B17" s="26"/>
      <c r="C17" s="32"/>
      <c r="D17" s="32"/>
      <c r="E17" s="32"/>
      <c r="F17" s="32"/>
      <c r="G17" s="32"/>
      <c r="H17" s="26"/>
      <c r="I17" s="32"/>
      <c r="J17" s="32"/>
      <c r="K17" s="32"/>
      <c r="L17" s="26"/>
      <c r="M17" s="26"/>
      <c r="N17" s="26"/>
      <c r="O17" s="32"/>
      <c r="P17" s="32"/>
      <c r="Q17" s="26"/>
      <c r="R17" s="32"/>
      <c r="S17" s="31"/>
      <c r="T17" s="32"/>
      <c r="U17" s="32"/>
      <c r="V17" s="32"/>
      <c r="W17" s="32"/>
      <c r="X17" s="32"/>
      <c r="Y17" s="32"/>
      <c r="Z17" s="32"/>
      <c r="AA17" s="32"/>
      <c r="AB17" s="32"/>
    </row>
    <row r="18">
      <c r="A18" s="26"/>
      <c r="B18" s="26"/>
      <c r="C18" s="32"/>
      <c r="D18" s="32"/>
      <c r="E18" s="32"/>
      <c r="F18" s="32"/>
      <c r="G18" s="32"/>
      <c r="H18" s="26"/>
      <c r="I18" s="32"/>
      <c r="J18" s="32"/>
      <c r="K18" s="32"/>
      <c r="L18" s="26"/>
      <c r="M18" s="26"/>
      <c r="N18" s="26"/>
      <c r="O18" s="32"/>
      <c r="P18" s="32"/>
      <c r="Q18" s="26"/>
      <c r="R18" s="32"/>
      <c r="S18" s="31"/>
      <c r="T18" s="32"/>
      <c r="U18" s="32"/>
      <c r="V18" s="32"/>
      <c r="W18" s="32"/>
      <c r="X18" s="32"/>
      <c r="Y18" s="32"/>
      <c r="Z18" s="32"/>
      <c r="AA18" s="32"/>
      <c r="AB18" s="32"/>
    </row>
    <row r="19">
      <c r="A19" s="26"/>
      <c r="B19" s="26"/>
      <c r="C19" s="32"/>
      <c r="D19" s="32"/>
      <c r="E19" s="32"/>
      <c r="F19" s="32"/>
      <c r="G19" s="32"/>
      <c r="H19" s="26"/>
      <c r="I19" s="32"/>
      <c r="J19" s="32"/>
      <c r="K19" s="32"/>
      <c r="L19" s="26"/>
      <c r="M19" s="26"/>
      <c r="N19" s="26"/>
      <c r="O19" s="32"/>
      <c r="P19" s="32"/>
      <c r="Q19" s="26"/>
      <c r="R19" s="32"/>
      <c r="S19" s="31"/>
      <c r="T19" s="32"/>
      <c r="U19" s="32"/>
      <c r="V19" s="32"/>
      <c r="W19" s="32"/>
      <c r="X19" s="32"/>
      <c r="Y19" s="32"/>
      <c r="Z19" s="32"/>
      <c r="AA19" s="32"/>
      <c r="AB19" s="32"/>
    </row>
    <row r="20">
      <c r="A20" s="26"/>
      <c r="B20" s="26"/>
      <c r="C20" s="32"/>
      <c r="D20" s="32"/>
      <c r="E20" s="32"/>
      <c r="F20" s="32"/>
      <c r="G20" s="32"/>
      <c r="H20" s="26"/>
      <c r="I20" s="32"/>
      <c r="J20" s="32"/>
      <c r="K20" s="32"/>
      <c r="L20" s="26"/>
      <c r="M20" s="26"/>
      <c r="N20" s="26"/>
      <c r="O20" s="32"/>
      <c r="P20" s="32"/>
      <c r="Q20" s="26"/>
      <c r="R20" s="32"/>
      <c r="S20" s="31"/>
      <c r="T20" s="32"/>
      <c r="U20" s="32"/>
      <c r="V20" s="32"/>
      <c r="W20" s="32"/>
      <c r="X20" s="32"/>
      <c r="Y20" s="32"/>
      <c r="Z20" s="32"/>
      <c r="AA20" s="32"/>
      <c r="AB20" s="32"/>
    </row>
    <row r="21">
      <c r="A21" s="26"/>
      <c r="B21" s="26"/>
      <c r="C21" s="32"/>
      <c r="D21" s="32"/>
      <c r="E21" s="32"/>
      <c r="F21" s="32"/>
      <c r="G21" s="32"/>
      <c r="H21" s="26"/>
      <c r="I21" s="32"/>
      <c r="J21" s="32"/>
      <c r="K21" s="32"/>
      <c r="L21" s="26"/>
      <c r="M21" s="26"/>
      <c r="N21" s="26"/>
      <c r="O21" s="32"/>
      <c r="P21" s="32"/>
      <c r="Q21" s="26"/>
      <c r="R21" s="32"/>
      <c r="S21" s="31"/>
      <c r="T21" s="32"/>
      <c r="U21" s="32"/>
      <c r="V21" s="32"/>
      <c r="W21" s="32"/>
      <c r="X21" s="32"/>
      <c r="Y21" s="32"/>
      <c r="Z21" s="32"/>
      <c r="AA21" s="32"/>
      <c r="AB21" s="32"/>
    </row>
    <row r="22">
      <c r="A22" s="26"/>
      <c r="B22" s="26"/>
      <c r="C22" s="32"/>
      <c r="D22" s="32"/>
      <c r="E22" s="32"/>
      <c r="F22" s="32"/>
      <c r="G22" s="32"/>
      <c r="H22" s="26"/>
      <c r="I22" s="32"/>
      <c r="J22" s="32"/>
      <c r="K22" s="32"/>
      <c r="L22" s="26"/>
      <c r="M22" s="26"/>
      <c r="N22" s="26"/>
      <c r="O22" s="32"/>
      <c r="P22" s="32"/>
      <c r="Q22" s="26"/>
      <c r="R22" s="32"/>
      <c r="S22" s="31"/>
      <c r="T22" s="32"/>
      <c r="U22" s="32"/>
      <c r="V22" s="32"/>
      <c r="W22" s="32"/>
      <c r="X22" s="32"/>
      <c r="Y22" s="32"/>
      <c r="Z22" s="32"/>
      <c r="AA22" s="32"/>
      <c r="AB22" s="32"/>
    </row>
    <row r="23">
      <c r="A23" s="26"/>
      <c r="B23" s="26"/>
      <c r="C23" s="32"/>
      <c r="D23" s="32"/>
      <c r="E23" s="32"/>
      <c r="F23" s="32"/>
      <c r="G23" s="32"/>
      <c r="H23" s="26"/>
      <c r="I23" s="32"/>
      <c r="J23" s="32"/>
      <c r="K23" s="32"/>
      <c r="L23" s="26"/>
      <c r="M23" s="26"/>
      <c r="N23" s="26"/>
      <c r="O23" s="32"/>
      <c r="P23" s="32"/>
      <c r="Q23" s="26"/>
      <c r="R23" s="32"/>
      <c r="S23" s="31"/>
      <c r="T23" s="32"/>
      <c r="U23" s="32"/>
      <c r="V23" s="32"/>
      <c r="W23" s="32"/>
      <c r="X23" s="32"/>
      <c r="Y23" s="32"/>
      <c r="Z23" s="32"/>
      <c r="AA23" s="32"/>
      <c r="AB23" s="32"/>
    </row>
    <row r="24">
      <c r="A24" s="26"/>
      <c r="B24" s="26"/>
      <c r="C24" s="32"/>
      <c r="D24" s="32"/>
      <c r="E24" s="32"/>
      <c r="F24" s="32"/>
      <c r="G24" s="32"/>
      <c r="H24" s="26"/>
      <c r="I24" s="32"/>
      <c r="J24" s="32"/>
      <c r="K24" s="32"/>
      <c r="L24" s="26"/>
      <c r="M24" s="26"/>
      <c r="N24" s="26"/>
      <c r="O24" s="32"/>
      <c r="P24" s="32"/>
      <c r="Q24" s="26"/>
      <c r="R24" s="32"/>
      <c r="S24" s="31"/>
      <c r="T24" s="32"/>
      <c r="U24" s="32"/>
      <c r="V24" s="32"/>
      <c r="W24" s="32"/>
      <c r="X24" s="32"/>
      <c r="Y24" s="32"/>
      <c r="Z24" s="32"/>
      <c r="AA24" s="32"/>
      <c r="AB24" s="32"/>
    </row>
    <row r="25">
      <c r="A25" s="26"/>
      <c r="B25" s="26"/>
      <c r="C25" s="32"/>
      <c r="D25" s="32"/>
      <c r="E25" s="32"/>
      <c r="F25" s="32"/>
      <c r="G25" s="32"/>
      <c r="H25" s="26"/>
      <c r="I25" s="32"/>
      <c r="J25" s="32"/>
      <c r="K25" s="32"/>
      <c r="L25" s="26"/>
      <c r="M25" s="26"/>
      <c r="N25" s="26"/>
      <c r="O25" s="32"/>
      <c r="P25" s="32"/>
      <c r="Q25" s="26"/>
      <c r="R25" s="32"/>
      <c r="S25" s="31"/>
      <c r="T25" s="32"/>
      <c r="U25" s="32"/>
      <c r="V25" s="32"/>
      <c r="W25" s="32"/>
      <c r="X25" s="32"/>
      <c r="Y25" s="32"/>
      <c r="Z25" s="32"/>
      <c r="AA25" s="32"/>
      <c r="AB25" s="32"/>
    </row>
    <row r="26">
      <c r="A26" s="26"/>
      <c r="B26" s="26"/>
      <c r="C26" s="32"/>
      <c r="D26" s="32"/>
      <c r="E26" s="32"/>
      <c r="F26" s="32"/>
      <c r="G26" s="32"/>
      <c r="H26" s="26"/>
      <c r="I26" s="32"/>
      <c r="J26" s="32"/>
      <c r="K26" s="32"/>
      <c r="L26" s="26"/>
      <c r="M26" s="26"/>
      <c r="N26" s="26"/>
      <c r="O26" s="32"/>
      <c r="P26" s="32"/>
      <c r="Q26" s="26"/>
      <c r="R26" s="32"/>
      <c r="S26" s="31"/>
      <c r="T26" s="32"/>
      <c r="U26" s="32"/>
      <c r="V26" s="32"/>
      <c r="W26" s="32"/>
      <c r="X26" s="32"/>
      <c r="Y26" s="32"/>
      <c r="Z26" s="32"/>
      <c r="AA26" s="32"/>
      <c r="AB26" s="32"/>
    </row>
    <row r="27">
      <c r="A27" s="26"/>
      <c r="B27" s="26"/>
      <c r="C27" s="32"/>
      <c r="D27" s="32"/>
      <c r="E27" s="32"/>
      <c r="F27" s="32"/>
      <c r="G27" s="32"/>
      <c r="H27" s="26"/>
      <c r="I27" s="32"/>
      <c r="J27" s="32"/>
      <c r="K27" s="32"/>
      <c r="L27" s="26"/>
      <c r="M27" s="26"/>
      <c r="N27" s="26"/>
      <c r="O27" s="32"/>
      <c r="P27" s="32"/>
      <c r="Q27" s="26"/>
      <c r="R27" s="32"/>
      <c r="S27" s="31"/>
      <c r="T27" s="32"/>
      <c r="U27" s="32"/>
      <c r="V27" s="32"/>
      <c r="W27" s="32"/>
      <c r="X27" s="32"/>
      <c r="Y27" s="32"/>
      <c r="Z27" s="32"/>
      <c r="AA27" s="32"/>
      <c r="AB27" s="32"/>
    </row>
    <row r="28">
      <c r="A28" s="26"/>
      <c r="B28" s="26"/>
      <c r="C28" s="32"/>
      <c r="D28" s="32"/>
      <c r="E28" s="32"/>
      <c r="F28" s="32"/>
      <c r="G28" s="32"/>
      <c r="H28" s="26"/>
      <c r="I28" s="32"/>
      <c r="J28" s="32"/>
      <c r="K28" s="32"/>
      <c r="L28" s="26"/>
      <c r="M28" s="26"/>
      <c r="N28" s="26"/>
      <c r="O28" s="32"/>
      <c r="P28" s="32"/>
      <c r="Q28" s="26"/>
      <c r="R28" s="32"/>
      <c r="S28" s="31"/>
      <c r="T28" s="32"/>
      <c r="U28" s="32"/>
      <c r="V28" s="32"/>
      <c r="W28" s="32"/>
      <c r="X28" s="32"/>
      <c r="Y28" s="32"/>
      <c r="Z28" s="32"/>
      <c r="AA28" s="32"/>
      <c r="AB28" s="32"/>
    </row>
    <row r="29">
      <c r="A29" s="26"/>
      <c r="B29" s="26"/>
      <c r="C29" s="32"/>
      <c r="D29" s="32"/>
      <c r="E29" s="32"/>
      <c r="F29" s="32"/>
      <c r="G29" s="32"/>
      <c r="H29" s="26"/>
      <c r="I29" s="32"/>
      <c r="J29" s="32"/>
      <c r="K29" s="32"/>
      <c r="L29" s="26"/>
      <c r="M29" s="26"/>
      <c r="N29" s="26"/>
      <c r="O29" s="32"/>
      <c r="P29" s="32"/>
      <c r="Q29" s="26"/>
      <c r="R29" s="32"/>
      <c r="S29" s="31"/>
      <c r="T29" s="32"/>
      <c r="U29" s="32"/>
      <c r="V29" s="32"/>
      <c r="W29" s="32"/>
      <c r="X29" s="32"/>
      <c r="Y29" s="32"/>
      <c r="Z29" s="32"/>
      <c r="AA29" s="32"/>
      <c r="AB29" s="32"/>
    </row>
    <row r="30">
      <c r="A30" s="26"/>
      <c r="B30" s="26"/>
      <c r="C30" s="32"/>
      <c r="D30" s="32"/>
      <c r="E30" s="32"/>
      <c r="F30" s="32"/>
      <c r="G30" s="32"/>
      <c r="H30" s="26"/>
      <c r="I30" s="32"/>
      <c r="J30" s="32"/>
      <c r="K30" s="32"/>
      <c r="L30" s="26"/>
      <c r="M30" s="26"/>
      <c r="N30" s="26"/>
      <c r="O30" s="32"/>
      <c r="P30" s="32"/>
      <c r="Q30" s="26"/>
      <c r="R30" s="32"/>
      <c r="S30" s="31"/>
      <c r="T30" s="32"/>
      <c r="U30" s="32"/>
      <c r="V30" s="32"/>
      <c r="W30" s="32"/>
      <c r="X30" s="32"/>
      <c r="Y30" s="32"/>
      <c r="Z30" s="32"/>
      <c r="AA30" s="32"/>
      <c r="AB30" s="32"/>
    </row>
    <row r="31">
      <c r="A31" s="26"/>
      <c r="B31" s="26"/>
      <c r="C31" s="32"/>
      <c r="D31" s="32"/>
      <c r="E31" s="32"/>
      <c r="F31" s="32"/>
      <c r="G31" s="32"/>
      <c r="H31" s="26"/>
      <c r="I31" s="32"/>
      <c r="J31" s="32"/>
      <c r="K31" s="32"/>
      <c r="L31" s="26"/>
      <c r="M31" s="26"/>
      <c r="N31" s="26"/>
      <c r="O31" s="32"/>
      <c r="P31" s="32"/>
      <c r="Q31" s="26"/>
      <c r="R31" s="32"/>
      <c r="S31" s="31"/>
      <c r="T31" s="32"/>
      <c r="U31" s="32"/>
      <c r="V31" s="32"/>
      <c r="W31" s="32"/>
      <c r="X31" s="32"/>
      <c r="Y31" s="32"/>
      <c r="Z31" s="32"/>
      <c r="AA31" s="32"/>
      <c r="AB31" s="32"/>
    </row>
    <row r="32">
      <c r="A32" s="26"/>
      <c r="B32" s="26"/>
      <c r="C32" s="32"/>
      <c r="D32" s="32"/>
      <c r="E32" s="32"/>
      <c r="F32" s="32"/>
      <c r="G32" s="32"/>
      <c r="H32" s="26"/>
      <c r="I32" s="32"/>
      <c r="J32" s="32"/>
      <c r="K32" s="32"/>
      <c r="L32" s="26"/>
      <c r="M32" s="26"/>
      <c r="N32" s="26"/>
      <c r="O32" s="32"/>
      <c r="P32" s="32"/>
      <c r="Q32" s="26"/>
      <c r="R32" s="32"/>
      <c r="S32" s="31"/>
      <c r="T32" s="32"/>
      <c r="U32" s="32"/>
      <c r="V32" s="32"/>
      <c r="W32" s="32"/>
      <c r="X32" s="32"/>
      <c r="Y32" s="32"/>
      <c r="Z32" s="32"/>
      <c r="AA32" s="32"/>
      <c r="AB32" s="32"/>
    </row>
    <row r="33">
      <c r="A33" s="26"/>
      <c r="B33" s="26"/>
      <c r="C33" s="32"/>
      <c r="D33" s="32"/>
      <c r="E33" s="32"/>
      <c r="F33" s="32"/>
      <c r="G33" s="32"/>
      <c r="H33" s="26"/>
      <c r="I33" s="32"/>
      <c r="J33" s="32"/>
      <c r="K33" s="32"/>
      <c r="L33" s="26"/>
      <c r="M33" s="26"/>
      <c r="N33" s="26"/>
      <c r="O33" s="32"/>
      <c r="P33" s="32"/>
      <c r="Q33" s="26"/>
      <c r="R33" s="32"/>
      <c r="S33" s="31"/>
      <c r="T33" s="32"/>
      <c r="U33" s="32"/>
      <c r="V33" s="32"/>
      <c r="W33" s="32"/>
      <c r="X33" s="32"/>
      <c r="Y33" s="32"/>
      <c r="Z33" s="32"/>
      <c r="AA33" s="32"/>
      <c r="AB33" s="32"/>
    </row>
    <row r="34">
      <c r="A34" s="26"/>
      <c r="B34" s="26"/>
      <c r="C34" s="32"/>
      <c r="D34" s="32"/>
      <c r="E34" s="32"/>
      <c r="F34" s="32"/>
      <c r="G34" s="32"/>
      <c r="H34" s="26"/>
      <c r="I34" s="32"/>
      <c r="J34" s="32"/>
      <c r="K34" s="32"/>
      <c r="L34" s="26"/>
      <c r="M34" s="26"/>
      <c r="N34" s="26"/>
      <c r="O34" s="32"/>
      <c r="P34" s="32"/>
      <c r="Q34" s="26"/>
      <c r="R34" s="32"/>
      <c r="S34" s="31"/>
      <c r="T34" s="32"/>
      <c r="U34" s="32"/>
      <c r="V34" s="32"/>
      <c r="W34" s="32"/>
      <c r="X34" s="32"/>
      <c r="Y34" s="32"/>
      <c r="Z34" s="32"/>
      <c r="AA34" s="32"/>
      <c r="AB34" s="32"/>
    </row>
    <row r="35">
      <c r="A35" s="26"/>
      <c r="B35" s="26"/>
      <c r="C35" s="32"/>
      <c r="D35" s="32"/>
      <c r="E35" s="32"/>
      <c r="F35" s="32"/>
      <c r="G35" s="32"/>
      <c r="H35" s="26"/>
      <c r="I35" s="32"/>
      <c r="J35" s="32"/>
      <c r="K35" s="32"/>
      <c r="L35" s="26"/>
      <c r="M35" s="26"/>
      <c r="N35" s="26"/>
      <c r="O35" s="32"/>
      <c r="P35" s="32"/>
      <c r="Q35" s="26"/>
      <c r="R35" s="32"/>
      <c r="S35" s="31"/>
      <c r="T35" s="32"/>
      <c r="U35" s="32"/>
      <c r="V35" s="32"/>
      <c r="W35" s="32"/>
      <c r="X35" s="32"/>
      <c r="Y35" s="32"/>
      <c r="Z35" s="32"/>
      <c r="AA35" s="32"/>
      <c r="AB35" s="32"/>
    </row>
    <row r="36">
      <c r="A36" s="26"/>
      <c r="B36" s="26"/>
      <c r="C36" s="32"/>
      <c r="D36" s="32"/>
      <c r="E36" s="32"/>
      <c r="F36" s="32"/>
      <c r="G36" s="32"/>
      <c r="H36" s="26"/>
      <c r="I36" s="32"/>
      <c r="J36" s="32"/>
      <c r="K36" s="32"/>
      <c r="L36" s="26"/>
      <c r="M36" s="26"/>
      <c r="N36" s="26"/>
      <c r="O36" s="32"/>
      <c r="P36" s="32"/>
      <c r="Q36" s="26"/>
      <c r="R36" s="32"/>
      <c r="S36" s="31"/>
      <c r="T36" s="32"/>
      <c r="U36" s="32"/>
      <c r="V36" s="32"/>
      <c r="W36" s="32"/>
      <c r="X36" s="32"/>
      <c r="Y36" s="32"/>
      <c r="Z36" s="32"/>
      <c r="AA36" s="32"/>
      <c r="AB36" s="32"/>
    </row>
    <row r="37">
      <c r="A37" s="26"/>
      <c r="B37" s="26"/>
      <c r="C37" s="32"/>
      <c r="D37" s="32"/>
      <c r="E37" s="32"/>
      <c r="F37" s="32"/>
      <c r="G37" s="32"/>
      <c r="H37" s="26"/>
      <c r="I37" s="32"/>
      <c r="J37" s="32"/>
      <c r="K37" s="32"/>
      <c r="L37" s="26"/>
      <c r="M37" s="26"/>
      <c r="N37" s="26"/>
      <c r="O37" s="32"/>
      <c r="P37" s="32"/>
      <c r="Q37" s="26"/>
      <c r="R37" s="32"/>
      <c r="S37" s="31"/>
      <c r="T37" s="32"/>
      <c r="U37" s="32"/>
      <c r="V37" s="32"/>
      <c r="W37" s="32"/>
      <c r="X37" s="32"/>
      <c r="Y37" s="32"/>
      <c r="Z37" s="32"/>
      <c r="AA37" s="32"/>
      <c r="AB37" s="32"/>
    </row>
    <row r="38">
      <c r="A38" s="26"/>
      <c r="B38" s="26"/>
      <c r="C38" s="32"/>
      <c r="D38" s="32"/>
      <c r="E38" s="32"/>
      <c r="F38" s="32"/>
      <c r="G38" s="32"/>
      <c r="H38" s="26"/>
      <c r="I38" s="32"/>
      <c r="J38" s="32"/>
      <c r="K38" s="32"/>
      <c r="L38" s="26"/>
      <c r="M38" s="26"/>
      <c r="N38" s="26"/>
      <c r="O38" s="32"/>
      <c r="P38" s="32"/>
      <c r="Q38" s="26"/>
      <c r="R38" s="32"/>
      <c r="S38" s="31"/>
      <c r="T38" s="32"/>
      <c r="U38" s="32"/>
      <c r="V38" s="32"/>
      <c r="W38" s="32"/>
      <c r="X38" s="32"/>
      <c r="Y38" s="32"/>
      <c r="Z38" s="32"/>
      <c r="AA38" s="32"/>
      <c r="AB38" s="32"/>
    </row>
    <row r="39">
      <c r="A39" s="26"/>
      <c r="B39" s="26"/>
      <c r="C39" s="32"/>
      <c r="D39" s="32"/>
      <c r="E39" s="32"/>
      <c r="F39" s="32"/>
      <c r="G39" s="32"/>
      <c r="H39" s="26"/>
      <c r="I39" s="32"/>
      <c r="J39" s="32"/>
      <c r="K39" s="32"/>
      <c r="L39" s="26"/>
      <c r="M39" s="26"/>
      <c r="N39" s="26"/>
      <c r="O39" s="32"/>
      <c r="P39" s="32"/>
      <c r="Q39" s="26"/>
      <c r="R39" s="32"/>
      <c r="S39" s="31"/>
      <c r="T39" s="32"/>
      <c r="U39" s="32"/>
      <c r="V39" s="32"/>
      <c r="W39" s="32"/>
      <c r="X39" s="32"/>
      <c r="Y39" s="32"/>
      <c r="Z39" s="32"/>
      <c r="AA39" s="32"/>
      <c r="AB39" s="32"/>
    </row>
    <row r="40">
      <c r="A40" s="26"/>
      <c r="B40" s="26"/>
      <c r="C40" s="32"/>
      <c r="D40" s="32"/>
      <c r="E40" s="32"/>
      <c r="F40" s="32"/>
      <c r="G40" s="32"/>
      <c r="H40" s="26"/>
      <c r="I40" s="32"/>
      <c r="J40" s="32"/>
      <c r="K40" s="32"/>
      <c r="L40" s="26"/>
      <c r="M40" s="26"/>
      <c r="N40" s="26"/>
      <c r="O40" s="32"/>
      <c r="P40" s="32"/>
      <c r="Q40" s="26"/>
      <c r="R40" s="32"/>
      <c r="S40" s="31"/>
      <c r="T40" s="32"/>
      <c r="U40" s="32"/>
      <c r="V40" s="32"/>
      <c r="W40" s="32"/>
      <c r="X40" s="32"/>
      <c r="Y40" s="32"/>
      <c r="Z40" s="32"/>
      <c r="AA40" s="32"/>
      <c r="AB40" s="32"/>
    </row>
    <row r="41">
      <c r="A41" s="26"/>
      <c r="B41" s="26"/>
      <c r="C41" s="32"/>
      <c r="D41" s="32"/>
      <c r="E41" s="32"/>
      <c r="F41" s="32"/>
      <c r="G41" s="32"/>
      <c r="H41" s="26"/>
      <c r="I41" s="32"/>
      <c r="J41" s="32"/>
      <c r="K41" s="32"/>
      <c r="L41" s="26"/>
      <c r="M41" s="26"/>
      <c r="N41" s="26"/>
      <c r="O41" s="32"/>
      <c r="P41" s="32"/>
      <c r="Q41" s="26"/>
      <c r="R41" s="32"/>
      <c r="S41" s="31"/>
      <c r="T41" s="32"/>
      <c r="U41" s="32"/>
      <c r="V41" s="32"/>
      <c r="W41" s="32"/>
      <c r="X41" s="32"/>
      <c r="Y41" s="32"/>
      <c r="Z41" s="32"/>
      <c r="AA41" s="32"/>
      <c r="AB41" s="32"/>
    </row>
    <row r="42">
      <c r="A42" s="26"/>
      <c r="B42" s="26"/>
      <c r="C42" s="32"/>
      <c r="D42" s="32"/>
      <c r="E42" s="32"/>
      <c r="F42" s="32"/>
      <c r="G42" s="32"/>
      <c r="H42" s="26"/>
      <c r="I42" s="32"/>
      <c r="J42" s="32"/>
      <c r="K42" s="32"/>
      <c r="L42" s="26"/>
      <c r="M42" s="26"/>
      <c r="N42" s="26"/>
      <c r="O42" s="32"/>
      <c r="P42" s="32"/>
      <c r="Q42" s="26"/>
      <c r="R42" s="32"/>
      <c r="S42" s="31"/>
      <c r="T42" s="32"/>
      <c r="U42" s="32"/>
      <c r="V42" s="32"/>
      <c r="W42" s="32"/>
      <c r="X42" s="32"/>
      <c r="Y42" s="32"/>
      <c r="Z42" s="32"/>
      <c r="AA42" s="32"/>
      <c r="AB42" s="32"/>
    </row>
    <row r="43">
      <c r="A43" s="26"/>
      <c r="B43" s="26"/>
      <c r="C43" s="32"/>
      <c r="D43" s="32"/>
      <c r="E43" s="32"/>
      <c r="F43" s="32"/>
      <c r="G43" s="32"/>
      <c r="H43" s="26"/>
      <c r="I43" s="32"/>
      <c r="J43" s="32"/>
      <c r="K43" s="32"/>
      <c r="L43" s="26"/>
      <c r="M43" s="26"/>
      <c r="N43" s="26"/>
      <c r="O43" s="32"/>
      <c r="P43" s="32"/>
      <c r="Q43" s="26"/>
      <c r="R43" s="32"/>
      <c r="S43" s="31"/>
      <c r="T43" s="32"/>
      <c r="U43" s="32"/>
      <c r="V43" s="32"/>
      <c r="W43" s="32"/>
      <c r="X43" s="32"/>
      <c r="Y43" s="32"/>
      <c r="Z43" s="32"/>
      <c r="AA43" s="32"/>
      <c r="AB43" s="32"/>
    </row>
    <row r="44">
      <c r="A44" s="26"/>
      <c r="B44" s="26"/>
      <c r="C44" s="32"/>
      <c r="D44" s="32"/>
      <c r="E44" s="32"/>
      <c r="F44" s="32"/>
      <c r="G44" s="32"/>
      <c r="H44" s="26"/>
      <c r="I44" s="32"/>
      <c r="J44" s="32"/>
      <c r="K44" s="32"/>
      <c r="L44" s="26"/>
      <c r="M44" s="26"/>
      <c r="N44" s="26"/>
      <c r="O44" s="32"/>
      <c r="P44" s="32"/>
      <c r="Q44" s="26"/>
      <c r="R44" s="32"/>
      <c r="S44" s="31"/>
      <c r="T44" s="32"/>
      <c r="U44" s="32"/>
      <c r="V44" s="32"/>
      <c r="W44" s="32"/>
      <c r="X44" s="32"/>
      <c r="Y44" s="32"/>
      <c r="Z44" s="32"/>
      <c r="AA44" s="32"/>
      <c r="AB44" s="32"/>
    </row>
    <row r="45">
      <c r="A45" s="26"/>
      <c r="B45" s="26"/>
      <c r="C45" s="32"/>
      <c r="D45" s="32"/>
      <c r="E45" s="32"/>
      <c r="F45" s="32"/>
      <c r="G45" s="32"/>
      <c r="H45" s="26"/>
      <c r="I45" s="32"/>
      <c r="J45" s="32"/>
      <c r="K45" s="32"/>
      <c r="L45" s="26"/>
      <c r="M45" s="26"/>
      <c r="N45" s="26"/>
      <c r="O45" s="32"/>
      <c r="P45" s="32"/>
      <c r="Q45" s="26"/>
      <c r="R45" s="32"/>
      <c r="S45" s="31"/>
      <c r="T45" s="32"/>
      <c r="U45" s="32"/>
      <c r="V45" s="32"/>
      <c r="W45" s="32"/>
      <c r="X45" s="32"/>
      <c r="Y45" s="32"/>
      <c r="Z45" s="32"/>
      <c r="AA45" s="32"/>
      <c r="AB45" s="32"/>
    </row>
    <row r="46">
      <c r="A46" s="26"/>
      <c r="B46" s="26"/>
      <c r="C46" s="32"/>
      <c r="D46" s="32"/>
      <c r="E46" s="32"/>
      <c r="F46" s="32"/>
      <c r="G46" s="32"/>
      <c r="H46" s="26"/>
      <c r="I46" s="32"/>
      <c r="J46" s="32"/>
      <c r="K46" s="32"/>
      <c r="L46" s="26"/>
      <c r="M46" s="26"/>
      <c r="N46" s="26"/>
      <c r="O46" s="32"/>
      <c r="P46" s="32"/>
      <c r="Q46" s="26"/>
      <c r="R46" s="32"/>
      <c r="S46" s="31"/>
      <c r="T46" s="32"/>
      <c r="U46" s="32"/>
      <c r="V46" s="32"/>
      <c r="W46" s="32"/>
      <c r="X46" s="32"/>
      <c r="Y46" s="32"/>
      <c r="Z46" s="32"/>
      <c r="AA46" s="32"/>
      <c r="AB46" s="32"/>
    </row>
    <row r="47">
      <c r="A47" s="26"/>
      <c r="B47" s="26"/>
      <c r="C47" s="32"/>
      <c r="D47" s="32"/>
      <c r="E47" s="32"/>
      <c r="F47" s="32"/>
      <c r="G47" s="32"/>
      <c r="H47" s="26"/>
      <c r="I47" s="32"/>
      <c r="J47" s="32"/>
      <c r="K47" s="32"/>
      <c r="L47" s="26"/>
      <c r="M47" s="26"/>
      <c r="N47" s="26"/>
      <c r="O47" s="32"/>
      <c r="P47" s="32"/>
      <c r="Q47" s="26"/>
      <c r="R47" s="32"/>
      <c r="S47" s="31"/>
      <c r="T47" s="32"/>
      <c r="U47" s="32"/>
      <c r="V47" s="32"/>
      <c r="W47" s="32"/>
      <c r="X47" s="32"/>
      <c r="Y47" s="32"/>
      <c r="Z47" s="32"/>
      <c r="AA47" s="32"/>
      <c r="AB47" s="32"/>
    </row>
    <row r="48">
      <c r="A48" s="26"/>
      <c r="B48" s="26"/>
      <c r="C48" s="32"/>
      <c r="D48" s="32"/>
      <c r="E48" s="32"/>
      <c r="F48" s="32"/>
      <c r="G48" s="32"/>
      <c r="H48" s="26"/>
      <c r="I48" s="32"/>
      <c r="J48" s="32"/>
      <c r="K48" s="32"/>
      <c r="L48" s="26"/>
      <c r="M48" s="26"/>
      <c r="N48" s="26"/>
      <c r="O48" s="32"/>
      <c r="P48" s="32"/>
      <c r="Q48" s="26"/>
      <c r="R48" s="32"/>
      <c r="S48" s="31"/>
      <c r="T48" s="32"/>
      <c r="U48" s="32"/>
      <c r="V48" s="32"/>
      <c r="W48" s="32"/>
      <c r="X48" s="32"/>
      <c r="Y48" s="32"/>
      <c r="Z48" s="32"/>
      <c r="AA48" s="32"/>
      <c r="AB48" s="32"/>
    </row>
    <row r="49">
      <c r="A49" s="26"/>
      <c r="B49" s="26"/>
      <c r="C49" s="32"/>
      <c r="D49" s="32"/>
      <c r="E49" s="32"/>
      <c r="F49" s="32"/>
      <c r="G49" s="32"/>
      <c r="H49" s="26"/>
      <c r="I49" s="32"/>
      <c r="J49" s="32"/>
      <c r="K49" s="32"/>
      <c r="L49" s="26"/>
      <c r="M49" s="26"/>
      <c r="N49" s="26"/>
      <c r="O49" s="32"/>
      <c r="P49" s="32"/>
      <c r="Q49" s="26"/>
      <c r="R49" s="32"/>
      <c r="S49" s="31"/>
      <c r="T49" s="32"/>
      <c r="U49" s="32"/>
      <c r="V49" s="32"/>
      <c r="W49" s="32"/>
      <c r="X49" s="32"/>
      <c r="Y49" s="32"/>
      <c r="Z49" s="32"/>
      <c r="AA49" s="32"/>
      <c r="AB49" s="32"/>
    </row>
    <row r="50">
      <c r="A50" s="26"/>
      <c r="B50" s="26"/>
      <c r="C50" s="32"/>
      <c r="D50" s="32"/>
      <c r="E50" s="32"/>
      <c r="F50" s="32"/>
      <c r="G50" s="32"/>
      <c r="H50" s="26"/>
      <c r="I50" s="32"/>
      <c r="J50" s="32"/>
      <c r="K50" s="32"/>
      <c r="L50" s="26"/>
      <c r="M50" s="26"/>
      <c r="N50" s="26"/>
      <c r="O50" s="32"/>
      <c r="P50" s="32"/>
      <c r="Q50" s="26"/>
      <c r="R50" s="32"/>
      <c r="S50" s="31"/>
      <c r="T50" s="32"/>
      <c r="U50" s="32"/>
      <c r="V50" s="32"/>
      <c r="W50" s="32"/>
      <c r="X50" s="32"/>
      <c r="Y50" s="32"/>
      <c r="Z50" s="32"/>
      <c r="AA50" s="32"/>
      <c r="AB50" s="32"/>
    </row>
    <row r="51">
      <c r="A51" s="26"/>
      <c r="B51" s="26"/>
      <c r="C51" s="32"/>
      <c r="D51" s="32"/>
      <c r="E51" s="32"/>
      <c r="F51" s="32"/>
      <c r="G51" s="32"/>
      <c r="H51" s="26"/>
      <c r="I51" s="32"/>
      <c r="J51" s="32"/>
      <c r="K51" s="32"/>
      <c r="L51" s="26"/>
      <c r="M51" s="26"/>
      <c r="N51" s="26"/>
      <c r="O51" s="32"/>
      <c r="P51" s="32"/>
      <c r="Q51" s="26"/>
      <c r="R51" s="32"/>
      <c r="S51" s="31"/>
      <c r="T51" s="32"/>
      <c r="U51" s="32"/>
      <c r="V51" s="32"/>
      <c r="W51" s="32"/>
      <c r="X51" s="32"/>
      <c r="Y51" s="32"/>
      <c r="Z51" s="32"/>
      <c r="AA51" s="32"/>
      <c r="AB51" s="32"/>
    </row>
    <row r="52">
      <c r="A52" s="26"/>
      <c r="B52" s="26"/>
      <c r="C52" s="32"/>
      <c r="D52" s="32"/>
      <c r="E52" s="32"/>
      <c r="F52" s="32"/>
      <c r="G52" s="32"/>
      <c r="H52" s="26"/>
      <c r="I52" s="32"/>
      <c r="J52" s="32"/>
      <c r="K52" s="32"/>
      <c r="L52" s="26"/>
      <c r="M52" s="26"/>
      <c r="N52" s="26"/>
      <c r="O52" s="32"/>
      <c r="P52" s="32"/>
      <c r="Q52" s="26"/>
      <c r="R52" s="32"/>
      <c r="S52" s="31"/>
      <c r="T52" s="32"/>
      <c r="U52" s="32"/>
      <c r="V52" s="32"/>
      <c r="W52" s="32"/>
      <c r="X52" s="32"/>
      <c r="Y52" s="32"/>
      <c r="Z52" s="32"/>
      <c r="AA52" s="32"/>
      <c r="AB52" s="32"/>
    </row>
    <row r="53">
      <c r="A53" s="26"/>
      <c r="B53" s="26"/>
      <c r="C53" s="32"/>
      <c r="D53" s="32"/>
      <c r="E53" s="32"/>
      <c r="F53" s="32"/>
      <c r="G53" s="32"/>
      <c r="H53" s="26"/>
      <c r="I53" s="32"/>
      <c r="J53" s="32"/>
      <c r="K53" s="32"/>
      <c r="L53" s="26"/>
      <c r="M53" s="26"/>
      <c r="N53" s="26"/>
      <c r="O53" s="32"/>
      <c r="P53" s="32"/>
      <c r="Q53" s="26"/>
      <c r="R53" s="32"/>
      <c r="S53" s="31"/>
      <c r="T53" s="32"/>
      <c r="U53" s="32"/>
      <c r="V53" s="32"/>
      <c r="W53" s="32"/>
      <c r="X53" s="32"/>
      <c r="Y53" s="32"/>
      <c r="Z53" s="32"/>
      <c r="AA53" s="32"/>
      <c r="AB53" s="32"/>
    </row>
    <row r="54">
      <c r="A54" s="26"/>
      <c r="B54" s="26"/>
      <c r="C54" s="32"/>
      <c r="D54" s="32"/>
      <c r="E54" s="32"/>
      <c r="F54" s="32"/>
      <c r="G54" s="32"/>
      <c r="H54" s="26"/>
      <c r="I54" s="32"/>
      <c r="J54" s="32"/>
      <c r="K54" s="32"/>
      <c r="L54" s="26"/>
      <c r="M54" s="26"/>
      <c r="N54" s="26"/>
      <c r="O54" s="32"/>
      <c r="P54" s="32"/>
      <c r="Q54" s="26"/>
      <c r="R54" s="32"/>
      <c r="S54" s="31"/>
      <c r="T54" s="32"/>
      <c r="U54" s="32"/>
      <c r="V54" s="32"/>
      <c r="W54" s="32"/>
      <c r="X54" s="32"/>
      <c r="Y54" s="32"/>
      <c r="Z54" s="32"/>
      <c r="AA54" s="32"/>
      <c r="AB54" s="32"/>
    </row>
    <row r="55">
      <c r="A55" s="26"/>
      <c r="B55" s="26"/>
      <c r="C55" s="32"/>
      <c r="D55" s="32"/>
      <c r="E55" s="32"/>
      <c r="F55" s="32"/>
      <c r="G55" s="32"/>
      <c r="H55" s="26"/>
      <c r="I55" s="32"/>
      <c r="J55" s="32"/>
      <c r="K55" s="32"/>
      <c r="L55" s="26"/>
      <c r="M55" s="26"/>
      <c r="N55" s="26"/>
      <c r="O55" s="32"/>
      <c r="P55" s="32"/>
      <c r="Q55" s="26"/>
      <c r="R55" s="32"/>
      <c r="S55" s="31"/>
      <c r="T55" s="32"/>
      <c r="U55" s="32"/>
      <c r="V55" s="32"/>
      <c r="W55" s="32"/>
      <c r="X55" s="32"/>
      <c r="Y55" s="32"/>
      <c r="Z55" s="32"/>
      <c r="AA55" s="32"/>
      <c r="AB55" s="32"/>
    </row>
    <row r="56">
      <c r="A56" s="26"/>
      <c r="B56" s="26"/>
      <c r="C56" s="32"/>
      <c r="D56" s="32"/>
      <c r="E56" s="32"/>
      <c r="F56" s="32"/>
      <c r="G56" s="32"/>
      <c r="H56" s="26"/>
      <c r="I56" s="32"/>
      <c r="J56" s="32"/>
      <c r="K56" s="32"/>
      <c r="L56" s="26"/>
      <c r="M56" s="26"/>
      <c r="N56" s="26"/>
      <c r="O56" s="32"/>
      <c r="P56" s="32"/>
      <c r="Q56" s="26"/>
      <c r="R56" s="32"/>
      <c r="S56" s="31"/>
      <c r="T56" s="32"/>
      <c r="U56" s="32"/>
      <c r="V56" s="32"/>
      <c r="W56" s="32"/>
      <c r="X56" s="32"/>
      <c r="Y56" s="32"/>
      <c r="Z56" s="32"/>
      <c r="AA56" s="32"/>
      <c r="AB56" s="32"/>
    </row>
    <row r="57">
      <c r="A57" s="26"/>
      <c r="B57" s="26"/>
      <c r="C57" s="32"/>
      <c r="D57" s="32"/>
      <c r="E57" s="32"/>
      <c r="F57" s="32"/>
      <c r="G57" s="32"/>
      <c r="H57" s="26"/>
      <c r="I57" s="32"/>
      <c r="J57" s="32"/>
      <c r="K57" s="32"/>
      <c r="L57" s="26"/>
      <c r="M57" s="26"/>
      <c r="N57" s="26"/>
      <c r="O57" s="32"/>
      <c r="P57" s="32"/>
      <c r="Q57" s="26"/>
      <c r="R57" s="32"/>
      <c r="S57" s="31"/>
      <c r="T57" s="32"/>
      <c r="U57" s="32"/>
      <c r="V57" s="32"/>
      <c r="W57" s="32"/>
      <c r="X57" s="32"/>
      <c r="Y57" s="32"/>
      <c r="Z57" s="32"/>
      <c r="AA57" s="32"/>
      <c r="AB57" s="32"/>
    </row>
    <row r="58">
      <c r="A58" s="26"/>
      <c r="B58" s="26"/>
      <c r="C58" s="32"/>
      <c r="D58" s="32"/>
      <c r="E58" s="32"/>
      <c r="F58" s="32"/>
      <c r="G58" s="32"/>
      <c r="H58" s="26"/>
      <c r="I58" s="32"/>
      <c r="J58" s="32"/>
      <c r="K58" s="32"/>
      <c r="L58" s="26"/>
      <c r="M58" s="26"/>
      <c r="N58" s="26"/>
      <c r="O58" s="32"/>
      <c r="P58" s="32"/>
      <c r="Q58" s="26"/>
      <c r="R58" s="32"/>
      <c r="S58" s="31"/>
      <c r="T58" s="32"/>
      <c r="U58" s="32"/>
      <c r="V58" s="32"/>
      <c r="W58" s="32"/>
      <c r="X58" s="32"/>
      <c r="Y58" s="32"/>
      <c r="Z58" s="32"/>
      <c r="AA58" s="32"/>
      <c r="AB58" s="32"/>
    </row>
    <row r="59">
      <c r="A59" s="26"/>
      <c r="B59" s="26"/>
      <c r="C59" s="32"/>
      <c r="D59" s="32"/>
      <c r="E59" s="32"/>
      <c r="F59" s="32"/>
      <c r="G59" s="32"/>
      <c r="H59" s="26"/>
      <c r="I59" s="32"/>
      <c r="J59" s="32"/>
      <c r="K59" s="32"/>
      <c r="L59" s="26"/>
      <c r="M59" s="26"/>
      <c r="N59" s="26"/>
      <c r="O59" s="32"/>
      <c r="P59" s="32"/>
      <c r="Q59" s="26"/>
      <c r="R59" s="32"/>
      <c r="S59" s="31"/>
      <c r="T59" s="32"/>
      <c r="U59" s="32"/>
      <c r="V59" s="32"/>
      <c r="W59" s="32"/>
      <c r="X59" s="32"/>
      <c r="Y59" s="32"/>
      <c r="Z59" s="32"/>
      <c r="AA59" s="32"/>
      <c r="AB59" s="32"/>
    </row>
    <row r="60">
      <c r="A60" s="26"/>
      <c r="B60" s="26"/>
      <c r="C60" s="32"/>
      <c r="D60" s="32"/>
      <c r="E60" s="32"/>
      <c r="F60" s="32"/>
      <c r="G60" s="32"/>
      <c r="H60" s="26"/>
      <c r="I60" s="32"/>
      <c r="J60" s="32"/>
      <c r="K60" s="32"/>
      <c r="L60" s="26"/>
      <c r="M60" s="26"/>
      <c r="N60" s="26"/>
      <c r="O60" s="32"/>
      <c r="P60" s="32"/>
      <c r="Q60" s="26"/>
      <c r="R60" s="32"/>
      <c r="S60" s="31"/>
      <c r="T60" s="32"/>
      <c r="U60" s="32"/>
      <c r="V60" s="32"/>
      <c r="W60" s="32"/>
      <c r="X60" s="32"/>
      <c r="Y60" s="32"/>
      <c r="Z60" s="32"/>
      <c r="AA60" s="32"/>
      <c r="AB60" s="32"/>
    </row>
    <row r="61">
      <c r="A61" s="26"/>
      <c r="B61" s="26"/>
      <c r="C61" s="32"/>
      <c r="D61" s="32"/>
      <c r="E61" s="32"/>
      <c r="F61" s="32"/>
      <c r="G61" s="32"/>
      <c r="H61" s="26"/>
      <c r="I61" s="32"/>
      <c r="J61" s="32"/>
      <c r="K61" s="32"/>
      <c r="L61" s="26"/>
      <c r="M61" s="26"/>
      <c r="N61" s="26"/>
      <c r="O61" s="32"/>
      <c r="P61" s="32"/>
      <c r="Q61" s="26"/>
      <c r="R61" s="32"/>
      <c r="S61" s="31"/>
      <c r="T61" s="32"/>
      <c r="U61" s="32"/>
      <c r="V61" s="32"/>
      <c r="W61" s="32"/>
      <c r="X61" s="32"/>
      <c r="Y61" s="32"/>
      <c r="Z61" s="32"/>
      <c r="AA61" s="32"/>
      <c r="AB61" s="32"/>
    </row>
    <row r="62">
      <c r="A62" s="26"/>
      <c r="B62" s="26"/>
      <c r="C62" s="32"/>
      <c r="D62" s="32"/>
      <c r="E62" s="32"/>
      <c r="F62" s="32"/>
      <c r="G62" s="32"/>
      <c r="H62" s="26"/>
      <c r="I62" s="32"/>
      <c r="J62" s="32"/>
      <c r="K62" s="32"/>
      <c r="L62" s="26"/>
      <c r="M62" s="26"/>
      <c r="N62" s="26"/>
      <c r="O62" s="32"/>
      <c r="P62" s="32"/>
      <c r="Q62" s="26"/>
      <c r="R62" s="32"/>
      <c r="S62" s="31"/>
      <c r="T62" s="32"/>
      <c r="U62" s="32"/>
      <c r="V62" s="32"/>
      <c r="W62" s="32"/>
      <c r="X62" s="32"/>
      <c r="Y62" s="32"/>
      <c r="Z62" s="32"/>
      <c r="AA62" s="32"/>
      <c r="AB62" s="32"/>
    </row>
    <row r="63">
      <c r="A63" s="26"/>
      <c r="B63" s="26"/>
      <c r="C63" s="32"/>
      <c r="D63" s="32"/>
      <c r="E63" s="32"/>
      <c r="F63" s="32"/>
      <c r="G63" s="32"/>
      <c r="H63" s="26"/>
      <c r="I63" s="32"/>
      <c r="J63" s="32"/>
      <c r="K63" s="32"/>
      <c r="L63" s="26"/>
      <c r="M63" s="26"/>
      <c r="N63" s="26"/>
      <c r="O63" s="32"/>
      <c r="P63" s="32"/>
      <c r="Q63" s="26"/>
      <c r="R63" s="32"/>
      <c r="S63" s="31"/>
      <c r="T63" s="32"/>
      <c r="U63" s="32"/>
      <c r="V63" s="32"/>
      <c r="W63" s="32"/>
      <c r="X63" s="32"/>
      <c r="Y63" s="32"/>
      <c r="Z63" s="32"/>
      <c r="AA63" s="32"/>
      <c r="AB63" s="32"/>
    </row>
    <row r="64">
      <c r="A64" s="26"/>
      <c r="B64" s="26"/>
      <c r="C64" s="32"/>
      <c r="D64" s="32"/>
      <c r="E64" s="32"/>
      <c r="F64" s="32"/>
      <c r="G64" s="32"/>
      <c r="H64" s="26"/>
      <c r="I64" s="32"/>
      <c r="J64" s="32"/>
      <c r="K64" s="32"/>
      <c r="L64" s="26"/>
      <c r="M64" s="26"/>
      <c r="N64" s="26"/>
      <c r="O64" s="32"/>
      <c r="P64" s="32"/>
      <c r="Q64" s="26"/>
      <c r="R64" s="32"/>
      <c r="S64" s="31"/>
      <c r="T64" s="32"/>
      <c r="U64" s="32"/>
      <c r="V64" s="32"/>
      <c r="W64" s="32"/>
      <c r="X64" s="32"/>
      <c r="Y64" s="32"/>
      <c r="Z64" s="32"/>
      <c r="AA64" s="32"/>
      <c r="AB64" s="32"/>
    </row>
    <row r="65">
      <c r="A65" s="26"/>
      <c r="B65" s="26"/>
      <c r="C65" s="32"/>
      <c r="D65" s="32"/>
      <c r="E65" s="32"/>
      <c r="F65" s="32"/>
      <c r="G65" s="32"/>
      <c r="H65" s="26"/>
      <c r="I65" s="32"/>
      <c r="J65" s="32"/>
      <c r="K65" s="32"/>
      <c r="L65" s="26"/>
      <c r="M65" s="26"/>
      <c r="N65" s="26"/>
      <c r="O65" s="32"/>
      <c r="P65" s="32"/>
      <c r="Q65" s="26"/>
      <c r="R65" s="32"/>
      <c r="S65" s="31"/>
      <c r="T65" s="32"/>
      <c r="U65" s="32"/>
      <c r="V65" s="32"/>
      <c r="W65" s="32"/>
      <c r="X65" s="32"/>
      <c r="Y65" s="32"/>
      <c r="Z65" s="32"/>
      <c r="AA65" s="32"/>
      <c r="AB65" s="32"/>
    </row>
    <row r="66">
      <c r="A66" s="26"/>
      <c r="B66" s="26"/>
      <c r="C66" s="32"/>
      <c r="D66" s="32"/>
      <c r="E66" s="32"/>
      <c r="F66" s="32"/>
      <c r="G66" s="32"/>
      <c r="H66" s="26"/>
      <c r="I66" s="32"/>
      <c r="J66" s="32"/>
      <c r="K66" s="32"/>
      <c r="L66" s="26"/>
      <c r="M66" s="26"/>
      <c r="N66" s="26"/>
      <c r="O66" s="32"/>
      <c r="P66" s="32"/>
      <c r="Q66" s="26"/>
      <c r="R66" s="32"/>
      <c r="S66" s="31"/>
      <c r="T66" s="32"/>
      <c r="U66" s="32"/>
      <c r="V66" s="32"/>
      <c r="W66" s="32"/>
      <c r="X66" s="32"/>
      <c r="Y66" s="32"/>
      <c r="Z66" s="32"/>
      <c r="AA66" s="32"/>
      <c r="AB66" s="32"/>
    </row>
    <row r="67">
      <c r="A67" s="26"/>
      <c r="B67" s="26"/>
      <c r="C67" s="32"/>
      <c r="D67" s="32"/>
      <c r="E67" s="32"/>
      <c r="F67" s="32"/>
      <c r="G67" s="32"/>
      <c r="H67" s="26"/>
      <c r="I67" s="32"/>
      <c r="J67" s="32"/>
      <c r="K67" s="32"/>
      <c r="L67" s="26"/>
      <c r="M67" s="26"/>
      <c r="N67" s="26"/>
      <c r="O67" s="32"/>
      <c r="P67" s="32"/>
      <c r="Q67" s="26"/>
      <c r="R67" s="32"/>
      <c r="S67" s="31"/>
      <c r="T67" s="32"/>
      <c r="U67" s="32"/>
      <c r="V67" s="32"/>
      <c r="W67" s="32"/>
      <c r="X67" s="32"/>
      <c r="Y67" s="32"/>
      <c r="Z67" s="32"/>
      <c r="AA67" s="32"/>
      <c r="AB67" s="32"/>
    </row>
    <row r="68">
      <c r="A68" s="26"/>
      <c r="B68" s="26"/>
      <c r="C68" s="32"/>
      <c r="D68" s="32"/>
      <c r="E68" s="32"/>
      <c r="F68" s="32"/>
      <c r="G68" s="32"/>
      <c r="H68" s="26"/>
      <c r="I68" s="32"/>
      <c r="J68" s="32"/>
      <c r="K68" s="32"/>
      <c r="L68" s="26"/>
      <c r="M68" s="26"/>
      <c r="N68" s="26"/>
      <c r="O68" s="32"/>
      <c r="P68" s="32"/>
      <c r="Q68" s="26"/>
      <c r="R68" s="32"/>
      <c r="S68" s="31"/>
      <c r="T68" s="32"/>
      <c r="U68" s="32"/>
      <c r="V68" s="32"/>
      <c r="W68" s="32"/>
      <c r="X68" s="32"/>
      <c r="Y68" s="32"/>
      <c r="Z68" s="32"/>
      <c r="AA68" s="32"/>
      <c r="AB68" s="32"/>
    </row>
    <row r="69">
      <c r="A69" s="26"/>
      <c r="B69" s="26"/>
      <c r="C69" s="32"/>
      <c r="D69" s="32"/>
      <c r="E69" s="32"/>
      <c r="F69" s="32"/>
      <c r="G69" s="32"/>
      <c r="H69" s="26"/>
      <c r="I69" s="32"/>
      <c r="J69" s="32"/>
      <c r="K69" s="32"/>
      <c r="L69" s="26"/>
      <c r="M69" s="26"/>
      <c r="N69" s="26"/>
      <c r="O69" s="32"/>
      <c r="P69" s="32"/>
      <c r="Q69" s="26"/>
      <c r="R69" s="32"/>
      <c r="S69" s="31"/>
      <c r="T69" s="32"/>
      <c r="U69" s="32"/>
      <c r="V69" s="32"/>
      <c r="W69" s="32"/>
      <c r="X69" s="32"/>
      <c r="Y69" s="32"/>
      <c r="Z69" s="32"/>
      <c r="AA69" s="32"/>
      <c r="AB69" s="32"/>
    </row>
    <row r="70">
      <c r="A70" s="26"/>
      <c r="B70" s="26"/>
      <c r="C70" s="32"/>
      <c r="D70" s="32"/>
      <c r="E70" s="32"/>
      <c r="F70" s="32"/>
      <c r="G70" s="32"/>
      <c r="H70" s="26"/>
      <c r="I70" s="32"/>
      <c r="J70" s="32"/>
      <c r="K70" s="32"/>
      <c r="L70" s="26"/>
      <c r="M70" s="26"/>
      <c r="N70" s="26"/>
      <c r="O70" s="32"/>
      <c r="P70" s="32"/>
      <c r="Q70" s="26"/>
      <c r="R70" s="32"/>
      <c r="S70" s="31"/>
      <c r="T70" s="32"/>
      <c r="U70" s="32"/>
      <c r="V70" s="32"/>
      <c r="W70" s="32"/>
      <c r="X70" s="32"/>
      <c r="Y70" s="32"/>
      <c r="Z70" s="32"/>
      <c r="AA70" s="32"/>
      <c r="AB70" s="32"/>
    </row>
    <row r="71">
      <c r="A71" s="26"/>
      <c r="B71" s="26"/>
      <c r="C71" s="32"/>
      <c r="D71" s="32"/>
      <c r="E71" s="32"/>
      <c r="F71" s="32"/>
      <c r="G71" s="32"/>
      <c r="H71" s="26"/>
      <c r="I71" s="32"/>
      <c r="J71" s="32"/>
      <c r="K71" s="32"/>
      <c r="L71" s="26"/>
      <c r="M71" s="26"/>
      <c r="N71" s="26"/>
      <c r="O71" s="32"/>
      <c r="P71" s="32"/>
      <c r="Q71" s="26"/>
      <c r="R71" s="32"/>
      <c r="S71" s="31"/>
      <c r="T71" s="32"/>
      <c r="U71" s="32"/>
      <c r="V71" s="32"/>
      <c r="W71" s="32"/>
      <c r="X71" s="32"/>
      <c r="Y71" s="32"/>
      <c r="Z71" s="32"/>
      <c r="AA71" s="32"/>
      <c r="AB71" s="32"/>
    </row>
    <row r="72">
      <c r="A72" s="26"/>
      <c r="B72" s="26"/>
      <c r="C72" s="32"/>
      <c r="D72" s="32"/>
      <c r="E72" s="32"/>
      <c r="F72" s="32"/>
      <c r="G72" s="32"/>
      <c r="H72" s="26"/>
      <c r="I72" s="32"/>
      <c r="J72" s="32"/>
      <c r="K72" s="32"/>
      <c r="L72" s="26"/>
      <c r="M72" s="26"/>
      <c r="N72" s="26"/>
      <c r="O72" s="32"/>
      <c r="P72" s="32"/>
      <c r="Q72" s="26"/>
      <c r="R72" s="32"/>
      <c r="S72" s="31"/>
      <c r="T72" s="32"/>
      <c r="U72" s="32"/>
      <c r="V72" s="32"/>
      <c r="W72" s="32"/>
      <c r="X72" s="32"/>
      <c r="Y72" s="32"/>
      <c r="Z72" s="32"/>
      <c r="AA72" s="32"/>
      <c r="AB72" s="32"/>
    </row>
    <row r="73">
      <c r="A73" s="26"/>
      <c r="B73" s="26"/>
      <c r="C73" s="32"/>
      <c r="D73" s="32"/>
      <c r="E73" s="32"/>
      <c r="F73" s="32"/>
      <c r="G73" s="32"/>
      <c r="H73" s="26"/>
      <c r="I73" s="32"/>
      <c r="J73" s="32"/>
      <c r="K73" s="32"/>
      <c r="L73" s="26"/>
      <c r="M73" s="26"/>
      <c r="N73" s="26"/>
      <c r="O73" s="32"/>
      <c r="P73" s="32"/>
      <c r="Q73" s="26"/>
      <c r="R73" s="32"/>
      <c r="S73" s="31"/>
      <c r="T73" s="32"/>
      <c r="U73" s="32"/>
      <c r="V73" s="32"/>
      <c r="W73" s="32"/>
      <c r="X73" s="32"/>
      <c r="Y73" s="32"/>
      <c r="Z73" s="32"/>
      <c r="AA73" s="32"/>
      <c r="AB73" s="32"/>
    </row>
    <row r="74">
      <c r="A74" s="26"/>
      <c r="B74" s="26"/>
      <c r="C74" s="32"/>
      <c r="D74" s="32"/>
      <c r="E74" s="32"/>
      <c r="F74" s="32"/>
      <c r="G74" s="32"/>
      <c r="H74" s="26"/>
      <c r="I74" s="32"/>
      <c r="J74" s="32"/>
      <c r="K74" s="32"/>
      <c r="L74" s="26"/>
      <c r="M74" s="26"/>
      <c r="N74" s="26"/>
      <c r="O74" s="32"/>
      <c r="P74" s="32"/>
      <c r="Q74" s="26"/>
      <c r="R74" s="32"/>
      <c r="S74" s="31"/>
      <c r="T74" s="32"/>
      <c r="U74" s="32"/>
      <c r="V74" s="32"/>
      <c r="W74" s="32"/>
      <c r="X74" s="32"/>
      <c r="Y74" s="32"/>
      <c r="Z74" s="32"/>
      <c r="AA74" s="32"/>
      <c r="AB74" s="32"/>
    </row>
    <row r="75">
      <c r="A75" s="26"/>
      <c r="B75" s="26"/>
      <c r="C75" s="32"/>
      <c r="D75" s="32"/>
      <c r="E75" s="32"/>
      <c r="F75" s="32"/>
      <c r="G75" s="32"/>
      <c r="H75" s="26"/>
      <c r="I75" s="32"/>
      <c r="J75" s="32"/>
      <c r="K75" s="32"/>
      <c r="L75" s="26"/>
      <c r="M75" s="26"/>
      <c r="N75" s="26"/>
      <c r="O75" s="32"/>
      <c r="P75" s="32"/>
      <c r="Q75" s="26"/>
      <c r="R75" s="32"/>
      <c r="S75" s="31"/>
      <c r="T75" s="32"/>
      <c r="U75" s="32"/>
      <c r="V75" s="32"/>
      <c r="W75" s="32"/>
      <c r="X75" s="32"/>
      <c r="Y75" s="32"/>
      <c r="Z75" s="32"/>
      <c r="AA75" s="32"/>
      <c r="AB75" s="32"/>
    </row>
    <row r="76">
      <c r="A76" s="26"/>
      <c r="B76" s="26"/>
      <c r="C76" s="32"/>
      <c r="D76" s="32"/>
      <c r="E76" s="32"/>
      <c r="F76" s="32"/>
      <c r="G76" s="32"/>
      <c r="H76" s="26"/>
      <c r="I76" s="32"/>
      <c r="J76" s="32"/>
      <c r="K76" s="32"/>
      <c r="L76" s="26"/>
      <c r="M76" s="26"/>
      <c r="N76" s="26"/>
      <c r="O76" s="32"/>
      <c r="P76" s="32"/>
      <c r="Q76" s="26"/>
      <c r="R76" s="32"/>
      <c r="S76" s="31"/>
      <c r="T76" s="32"/>
      <c r="U76" s="32"/>
      <c r="V76" s="32"/>
      <c r="W76" s="32"/>
      <c r="X76" s="32"/>
      <c r="Y76" s="32"/>
      <c r="Z76" s="32"/>
      <c r="AA76" s="32"/>
      <c r="AB76" s="32"/>
    </row>
    <row r="77">
      <c r="A77" s="26"/>
      <c r="B77" s="26"/>
      <c r="C77" s="32"/>
      <c r="D77" s="32"/>
      <c r="E77" s="32"/>
      <c r="F77" s="32"/>
      <c r="G77" s="32"/>
      <c r="H77" s="26"/>
      <c r="I77" s="32"/>
      <c r="J77" s="32"/>
      <c r="K77" s="32"/>
      <c r="L77" s="26"/>
      <c r="M77" s="26"/>
      <c r="N77" s="26"/>
      <c r="O77" s="32"/>
      <c r="P77" s="32"/>
      <c r="Q77" s="26"/>
      <c r="R77" s="32"/>
      <c r="S77" s="31"/>
      <c r="T77" s="32"/>
      <c r="U77" s="32"/>
      <c r="V77" s="32"/>
      <c r="W77" s="32"/>
      <c r="X77" s="32"/>
      <c r="Y77" s="32"/>
      <c r="Z77" s="32"/>
      <c r="AA77" s="32"/>
      <c r="AB77" s="32"/>
    </row>
    <row r="78">
      <c r="A78" s="26"/>
      <c r="B78" s="26"/>
      <c r="C78" s="32"/>
      <c r="D78" s="32"/>
      <c r="E78" s="32"/>
      <c r="F78" s="32"/>
      <c r="G78" s="32"/>
      <c r="H78" s="26"/>
      <c r="I78" s="32"/>
      <c r="J78" s="32"/>
      <c r="K78" s="32"/>
      <c r="L78" s="26"/>
      <c r="M78" s="26"/>
      <c r="N78" s="26"/>
      <c r="O78" s="32"/>
      <c r="P78" s="32"/>
      <c r="Q78" s="26"/>
      <c r="R78" s="32"/>
      <c r="S78" s="31"/>
      <c r="T78" s="32"/>
      <c r="U78" s="32"/>
      <c r="V78" s="32"/>
      <c r="W78" s="32"/>
      <c r="X78" s="32"/>
      <c r="Y78" s="32"/>
      <c r="Z78" s="32"/>
      <c r="AA78" s="32"/>
      <c r="AB78" s="32"/>
    </row>
    <row r="79">
      <c r="A79" s="26"/>
      <c r="B79" s="26"/>
      <c r="C79" s="32"/>
      <c r="D79" s="32"/>
      <c r="E79" s="32"/>
      <c r="F79" s="32"/>
      <c r="G79" s="32"/>
      <c r="H79" s="26"/>
      <c r="I79" s="32"/>
      <c r="J79" s="32"/>
      <c r="K79" s="32"/>
      <c r="L79" s="26"/>
      <c r="M79" s="26"/>
      <c r="N79" s="26"/>
      <c r="O79" s="32"/>
      <c r="P79" s="32"/>
      <c r="Q79" s="26"/>
      <c r="R79" s="32"/>
      <c r="S79" s="31"/>
      <c r="T79" s="32"/>
      <c r="U79" s="32"/>
      <c r="V79" s="32"/>
      <c r="W79" s="32"/>
      <c r="X79" s="32"/>
      <c r="Y79" s="32"/>
      <c r="Z79" s="32"/>
      <c r="AA79" s="32"/>
      <c r="AB79" s="32"/>
    </row>
    <row r="80">
      <c r="A80" s="26"/>
      <c r="B80" s="26"/>
      <c r="C80" s="32"/>
      <c r="D80" s="32"/>
      <c r="E80" s="32"/>
      <c r="F80" s="32"/>
      <c r="G80" s="32"/>
      <c r="H80" s="26"/>
      <c r="I80" s="32"/>
      <c r="J80" s="32"/>
      <c r="K80" s="32"/>
      <c r="L80" s="26"/>
      <c r="M80" s="26"/>
      <c r="N80" s="26"/>
      <c r="O80" s="32"/>
      <c r="P80" s="32"/>
      <c r="Q80" s="26"/>
      <c r="R80" s="32"/>
      <c r="S80" s="31"/>
      <c r="T80" s="32"/>
      <c r="U80" s="32"/>
      <c r="V80" s="32"/>
      <c r="W80" s="32"/>
      <c r="X80" s="32"/>
      <c r="Y80" s="32"/>
      <c r="Z80" s="32"/>
      <c r="AA80" s="32"/>
      <c r="AB80" s="32"/>
    </row>
    <row r="81">
      <c r="A81" s="26"/>
      <c r="B81" s="26"/>
      <c r="C81" s="32"/>
      <c r="D81" s="32"/>
      <c r="E81" s="32"/>
      <c r="F81" s="32"/>
      <c r="G81" s="32"/>
      <c r="H81" s="26"/>
      <c r="I81" s="32"/>
      <c r="J81" s="32"/>
      <c r="K81" s="32"/>
      <c r="L81" s="26"/>
      <c r="M81" s="26"/>
      <c r="N81" s="26"/>
      <c r="O81" s="32"/>
      <c r="P81" s="32"/>
      <c r="Q81" s="26"/>
      <c r="R81" s="32"/>
      <c r="S81" s="31"/>
      <c r="T81" s="32"/>
      <c r="U81" s="32"/>
      <c r="V81" s="32"/>
      <c r="W81" s="32"/>
      <c r="X81" s="32"/>
      <c r="Y81" s="32"/>
      <c r="Z81" s="32"/>
      <c r="AA81" s="32"/>
      <c r="AB81" s="32"/>
    </row>
    <row r="82">
      <c r="A82" s="26"/>
      <c r="B82" s="26"/>
      <c r="C82" s="32"/>
      <c r="D82" s="32"/>
      <c r="E82" s="32"/>
      <c r="F82" s="32"/>
      <c r="G82" s="32"/>
      <c r="H82" s="26"/>
      <c r="I82" s="32"/>
      <c r="J82" s="32"/>
      <c r="K82" s="32"/>
      <c r="L82" s="26"/>
      <c r="M82" s="26"/>
      <c r="N82" s="26"/>
      <c r="O82" s="32"/>
      <c r="P82" s="32"/>
      <c r="Q82" s="26"/>
      <c r="R82" s="32"/>
      <c r="S82" s="31"/>
      <c r="T82" s="32"/>
      <c r="U82" s="32"/>
      <c r="V82" s="32"/>
      <c r="W82" s="32"/>
      <c r="X82" s="32"/>
      <c r="Y82" s="32"/>
      <c r="Z82" s="32"/>
      <c r="AA82" s="32"/>
      <c r="AB82" s="32"/>
    </row>
    <row r="83">
      <c r="A83" s="26"/>
      <c r="B83" s="26"/>
      <c r="C83" s="32"/>
      <c r="D83" s="32"/>
      <c r="E83" s="32"/>
      <c r="F83" s="32"/>
      <c r="G83" s="32"/>
      <c r="H83" s="26"/>
      <c r="I83" s="32"/>
      <c r="J83" s="32"/>
      <c r="K83" s="32"/>
      <c r="L83" s="26"/>
      <c r="M83" s="26"/>
      <c r="N83" s="26"/>
      <c r="O83" s="32"/>
      <c r="P83" s="32"/>
      <c r="Q83" s="26"/>
      <c r="R83" s="32"/>
      <c r="S83" s="31"/>
      <c r="T83" s="32"/>
      <c r="U83" s="32"/>
      <c r="V83" s="32"/>
      <c r="W83" s="32"/>
      <c r="X83" s="32"/>
      <c r="Y83" s="32"/>
      <c r="Z83" s="32"/>
      <c r="AA83" s="32"/>
      <c r="AB83" s="32"/>
    </row>
    <row r="84">
      <c r="A84" s="26"/>
      <c r="B84" s="26"/>
      <c r="C84" s="32"/>
      <c r="D84" s="32"/>
      <c r="E84" s="32"/>
      <c r="F84" s="32"/>
      <c r="G84" s="32"/>
      <c r="H84" s="26"/>
      <c r="I84" s="32"/>
      <c r="J84" s="32"/>
      <c r="K84" s="32"/>
      <c r="L84" s="26"/>
      <c r="M84" s="26"/>
      <c r="N84" s="26"/>
      <c r="O84" s="32"/>
      <c r="P84" s="32"/>
      <c r="Q84" s="26"/>
      <c r="R84" s="32"/>
      <c r="S84" s="31"/>
      <c r="T84" s="32"/>
      <c r="U84" s="32"/>
      <c r="V84" s="32"/>
      <c r="W84" s="32"/>
      <c r="X84" s="32"/>
      <c r="Y84" s="32"/>
      <c r="Z84" s="32"/>
      <c r="AA84" s="32"/>
      <c r="AB84" s="32"/>
    </row>
    <row r="85">
      <c r="A85" s="26"/>
      <c r="B85" s="26"/>
      <c r="C85" s="32"/>
      <c r="D85" s="32"/>
      <c r="E85" s="32"/>
      <c r="F85" s="32"/>
      <c r="G85" s="32"/>
      <c r="H85" s="26"/>
      <c r="I85" s="32"/>
      <c r="J85" s="32"/>
      <c r="K85" s="32"/>
      <c r="L85" s="26"/>
      <c r="M85" s="26"/>
      <c r="N85" s="26"/>
      <c r="O85" s="32"/>
      <c r="P85" s="32"/>
      <c r="Q85" s="26"/>
      <c r="R85" s="32"/>
      <c r="S85" s="31"/>
      <c r="T85" s="32"/>
      <c r="U85" s="32"/>
      <c r="V85" s="32"/>
      <c r="W85" s="32"/>
      <c r="X85" s="32"/>
      <c r="Y85" s="32"/>
      <c r="Z85" s="32"/>
      <c r="AA85" s="32"/>
      <c r="AB85" s="32"/>
    </row>
    <row r="86">
      <c r="A86" s="26"/>
      <c r="B86" s="26"/>
      <c r="C86" s="32"/>
      <c r="D86" s="32"/>
      <c r="E86" s="32"/>
      <c r="F86" s="32"/>
      <c r="G86" s="32"/>
      <c r="H86" s="26"/>
      <c r="I86" s="32"/>
      <c r="J86" s="32"/>
      <c r="K86" s="32"/>
      <c r="L86" s="26"/>
      <c r="M86" s="26"/>
      <c r="N86" s="26"/>
      <c r="O86" s="32"/>
      <c r="P86" s="32"/>
      <c r="Q86" s="26"/>
      <c r="R86" s="32"/>
      <c r="S86" s="31"/>
      <c r="T86" s="32"/>
      <c r="U86" s="32"/>
      <c r="V86" s="32"/>
      <c r="W86" s="32"/>
      <c r="X86" s="32"/>
      <c r="Y86" s="32"/>
      <c r="Z86" s="32"/>
      <c r="AA86" s="32"/>
      <c r="AB86" s="32"/>
    </row>
    <row r="87">
      <c r="A87" s="26"/>
      <c r="B87" s="26"/>
      <c r="C87" s="32"/>
      <c r="D87" s="32"/>
      <c r="E87" s="32"/>
      <c r="F87" s="32"/>
      <c r="G87" s="32"/>
      <c r="H87" s="26"/>
      <c r="I87" s="32"/>
      <c r="J87" s="32"/>
      <c r="K87" s="32"/>
      <c r="L87" s="26"/>
      <c r="M87" s="26"/>
      <c r="N87" s="26"/>
      <c r="O87" s="32"/>
      <c r="P87" s="32"/>
      <c r="Q87" s="26"/>
      <c r="R87" s="32"/>
      <c r="S87" s="31"/>
      <c r="T87" s="32"/>
      <c r="U87" s="32"/>
      <c r="V87" s="32"/>
      <c r="W87" s="32"/>
      <c r="X87" s="32"/>
      <c r="Y87" s="32"/>
      <c r="Z87" s="32"/>
      <c r="AA87" s="32"/>
      <c r="AB87" s="32"/>
    </row>
    <row r="88">
      <c r="A88" s="26"/>
      <c r="B88" s="26"/>
      <c r="C88" s="32"/>
      <c r="D88" s="32"/>
      <c r="E88" s="32"/>
      <c r="F88" s="32"/>
      <c r="G88" s="32"/>
      <c r="H88" s="26"/>
      <c r="I88" s="32"/>
      <c r="J88" s="32"/>
      <c r="K88" s="32"/>
      <c r="L88" s="26"/>
      <c r="M88" s="26"/>
      <c r="N88" s="26"/>
      <c r="O88" s="32"/>
      <c r="P88" s="32"/>
      <c r="Q88" s="26"/>
      <c r="R88" s="32"/>
      <c r="S88" s="31"/>
      <c r="T88" s="32"/>
      <c r="U88" s="32"/>
      <c r="V88" s="32"/>
      <c r="W88" s="32"/>
      <c r="X88" s="32"/>
      <c r="Y88" s="32"/>
      <c r="Z88" s="32"/>
      <c r="AA88" s="32"/>
      <c r="AB88" s="32"/>
    </row>
    <row r="89">
      <c r="A89" s="26"/>
      <c r="B89" s="26"/>
      <c r="C89" s="32"/>
      <c r="D89" s="32"/>
      <c r="E89" s="32"/>
      <c r="F89" s="32"/>
      <c r="G89" s="32"/>
      <c r="H89" s="26"/>
      <c r="I89" s="32"/>
      <c r="J89" s="32"/>
      <c r="K89" s="32"/>
      <c r="L89" s="26"/>
      <c r="M89" s="26"/>
      <c r="N89" s="26"/>
      <c r="O89" s="32"/>
      <c r="P89" s="32"/>
      <c r="Q89" s="26"/>
      <c r="R89" s="32"/>
      <c r="S89" s="31"/>
      <c r="T89" s="32"/>
      <c r="U89" s="32"/>
      <c r="V89" s="32"/>
      <c r="W89" s="32"/>
      <c r="X89" s="32"/>
      <c r="Y89" s="32"/>
      <c r="Z89" s="32"/>
      <c r="AA89" s="32"/>
      <c r="AB89" s="32"/>
    </row>
    <row r="90">
      <c r="A90" s="26"/>
      <c r="B90" s="26"/>
      <c r="C90" s="32"/>
      <c r="D90" s="32"/>
      <c r="E90" s="32"/>
      <c r="F90" s="32"/>
      <c r="G90" s="32"/>
      <c r="H90" s="26"/>
      <c r="I90" s="32"/>
      <c r="J90" s="32"/>
      <c r="K90" s="32"/>
      <c r="L90" s="26"/>
      <c r="M90" s="26"/>
      <c r="N90" s="26"/>
      <c r="O90" s="32"/>
      <c r="P90" s="32"/>
      <c r="Q90" s="26"/>
      <c r="R90" s="32"/>
      <c r="S90" s="31"/>
      <c r="T90" s="32"/>
      <c r="U90" s="32"/>
      <c r="V90" s="32"/>
      <c r="W90" s="32"/>
      <c r="X90" s="32"/>
      <c r="Y90" s="32"/>
      <c r="Z90" s="32"/>
      <c r="AA90" s="32"/>
      <c r="AB90" s="32"/>
    </row>
    <row r="91">
      <c r="A91" s="26"/>
      <c r="B91" s="26"/>
      <c r="C91" s="32"/>
      <c r="D91" s="32"/>
      <c r="E91" s="32"/>
      <c r="F91" s="32"/>
      <c r="G91" s="32"/>
      <c r="H91" s="26"/>
      <c r="I91" s="32"/>
      <c r="J91" s="32"/>
      <c r="K91" s="32"/>
      <c r="L91" s="26"/>
      <c r="M91" s="26"/>
      <c r="N91" s="26"/>
      <c r="O91" s="32"/>
      <c r="P91" s="32"/>
      <c r="Q91" s="26"/>
      <c r="R91" s="32"/>
      <c r="S91" s="31"/>
      <c r="T91" s="32"/>
      <c r="U91" s="32"/>
      <c r="V91" s="32"/>
      <c r="W91" s="32"/>
      <c r="X91" s="32"/>
      <c r="Y91" s="32"/>
      <c r="Z91" s="32"/>
      <c r="AA91" s="32"/>
      <c r="AB91" s="32"/>
    </row>
    <row r="92">
      <c r="A92" s="26"/>
      <c r="B92" s="26"/>
      <c r="C92" s="32"/>
      <c r="D92" s="32"/>
      <c r="E92" s="32"/>
      <c r="F92" s="32"/>
      <c r="G92" s="32"/>
      <c r="H92" s="26"/>
      <c r="I92" s="32"/>
      <c r="J92" s="32"/>
      <c r="K92" s="32"/>
      <c r="L92" s="26"/>
      <c r="M92" s="26"/>
      <c r="N92" s="26"/>
      <c r="O92" s="32"/>
      <c r="P92" s="32"/>
      <c r="Q92" s="26"/>
      <c r="R92" s="32"/>
      <c r="S92" s="31"/>
      <c r="T92" s="32"/>
      <c r="U92" s="32"/>
      <c r="V92" s="32"/>
      <c r="W92" s="32"/>
      <c r="X92" s="32"/>
      <c r="Y92" s="32"/>
      <c r="Z92" s="32"/>
      <c r="AA92" s="32"/>
      <c r="AB92" s="32"/>
    </row>
    <row r="93">
      <c r="A93" s="26"/>
      <c r="B93" s="26"/>
      <c r="C93" s="32"/>
      <c r="D93" s="32"/>
      <c r="E93" s="32"/>
      <c r="F93" s="32"/>
      <c r="G93" s="32"/>
      <c r="H93" s="26"/>
      <c r="I93" s="32"/>
      <c r="J93" s="32"/>
      <c r="K93" s="32"/>
      <c r="L93" s="26"/>
      <c r="M93" s="26"/>
      <c r="N93" s="26"/>
      <c r="O93" s="32"/>
      <c r="P93" s="32"/>
      <c r="Q93" s="26"/>
      <c r="R93" s="32"/>
      <c r="S93" s="31"/>
      <c r="T93" s="32"/>
      <c r="U93" s="32"/>
      <c r="V93" s="32"/>
      <c r="W93" s="32"/>
      <c r="X93" s="32"/>
      <c r="Y93" s="32"/>
      <c r="Z93" s="32"/>
      <c r="AA93" s="32"/>
      <c r="AB93" s="32"/>
    </row>
    <row r="94">
      <c r="A94" s="26"/>
      <c r="B94" s="26"/>
      <c r="C94" s="32"/>
      <c r="D94" s="32"/>
      <c r="E94" s="32"/>
      <c r="F94" s="32"/>
      <c r="G94" s="32"/>
      <c r="H94" s="26"/>
      <c r="I94" s="32"/>
      <c r="J94" s="32"/>
      <c r="K94" s="32"/>
      <c r="L94" s="26"/>
      <c r="M94" s="26"/>
      <c r="N94" s="26"/>
      <c r="O94" s="32"/>
      <c r="P94" s="32"/>
      <c r="Q94" s="26"/>
      <c r="R94" s="32"/>
      <c r="S94" s="31"/>
      <c r="T94" s="32"/>
      <c r="U94" s="32"/>
      <c r="V94" s="32"/>
      <c r="W94" s="32"/>
      <c r="X94" s="32"/>
      <c r="Y94" s="32"/>
      <c r="Z94" s="32"/>
      <c r="AA94" s="32"/>
      <c r="AB94" s="32"/>
    </row>
    <row r="95">
      <c r="A95" s="26"/>
      <c r="B95" s="26"/>
      <c r="C95" s="32"/>
      <c r="D95" s="32"/>
      <c r="E95" s="32"/>
      <c r="F95" s="32"/>
      <c r="G95" s="32"/>
      <c r="H95" s="26"/>
      <c r="I95" s="32"/>
      <c r="J95" s="32"/>
      <c r="K95" s="32"/>
      <c r="L95" s="26"/>
      <c r="M95" s="26"/>
      <c r="N95" s="26"/>
      <c r="O95" s="32"/>
      <c r="P95" s="32"/>
      <c r="Q95" s="26"/>
      <c r="R95" s="32"/>
      <c r="S95" s="31"/>
      <c r="T95" s="32"/>
      <c r="U95" s="32"/>
      <c r="V95" s="32"/>
      <c r="W95" s="32"/>
      <c r="X95" s="32"/>
      <c r="Y95" s="32"/>
      <c r="Z95" s="32"/>
      <c r="AA95" s="32"/>
      <c r="AB95" s="32"/>
    </row>
    <row r="96">
      <c r="A96" s="26"/>
      <c r="B96" s="26"/>
      <c r="C96" s="32"/>
      <c r="D96" s="32"/>
      <c r="E96" s="32"/>
      <c r="F96" s="32"/>
      <c r="G96" s="32"/>
      <c r="H96" s="26"/>
      <c r="I96" s="32"/>
      <c r="J96" s="32"/>
      <c r="K96" s="32"/>
      <c r="L96" s="26"/>
      <c r="M96" s="26"/>
      <c r="N96" s="26"/>
      <c r="O96" s="32"/>
      <c r="P96" s="32"/>
      <c r="Q96" s="26"/>
      <c r="R96" s="32"/>
      <c r="S96" s="31"/>
      <c r="T96" s="32"/>
      <c r="U96" s="32"/>
      <c r="V96" s="32"/>
      <c r="W96" s="32"/>
      <c r="X96" s="32"/>
      <c r="Y96" s="32"/>
      <c r="Z96" s="32"/>
      <c r="AA96" s="32"/>
      <c r="AB96" s="32"/>
    </row>
    <row r="97">
      <c r="A97" s="26"/>
      <c r="B97" s="26"/>
      <c r="C97" s="32"/>
      <c r="D97" s="32"/>
      <c r="E97" s="32"/>
      <c r="F97" s="32"/>
      <c r="G97" s="32"/>
      <c r="H97" s="26"/>
      <c r="I97" s="32"/>
      <c r="J97" s="32"/>
      <c r="K97" s="32"/>
      <c r="L97" s="26"/>
      <c r="M97" s="26"/>
      <c r="N97" s="26"/>
      <c r="O97" s="32"/>
      <c r="P97" s="32"/>
      <c r="Q97" s="26"/>
      <c r="R97" s="32"/>
      <c r="S97" s="31"/>
      <c r="T97" s="32"/>
      <c r="U97" s="32"/>
      <c r="V97" s="32"/>
      <c r="W97" s="32"/>
      <c r="X97" s="32"/>
      <c r="Y97" s="32"/>
      <c r="Z97" s="32"/>
      <c r="AA97" s="32"/>
      <c r="AB97" s="32"/>
    </row>
    <row r="98">
      <c r="A98" s="26"/>
      <c r="B98" s="26"/>
      <c r="C98" s="32"/>
      <c r="D98" s="32"/>
      <c r="E98" s="32"/>
      <c r="F98" s="32"/>
      <c r="G98" s="32"/>
      <c r="H98" s="26"/>
      <c r="I98" s="32"/>
      <c r="J98" s="32"/>
      <c r="K98" s="32"/>
      <c r="L98" s="26"/>
      <c r="M98" s="26"/>
      <c r="N98" s="26"/>
      <c r="O98" s="32"/>
      <c r="P98" s="32"/>
      <c r="Q98" s="26"/>
      <c r="R98" s="32"/>
      <c r="S98" s="31"/>
      <c r="T98" s="32"/>
      <c r="U98" s="32"/>
      <c r="V98" s="32"/>
      <c r="W98" s="32"/>
      <c r="X98" s="32"/>
      <c r="Y98" s="32"/>
      <c r="Z98" s="32"/>
      <c r="AA98" s="32"/>
      <c r="AB98" s="32"/>
    </row>
    <row r="99">
      <c r="A99" s="26"/>
      <c r="B99" s="26"/>
      <c r="C99" s="32"/>
      <c r="D99" s="32"/>
      <c r="E99" s="32"/>
      <c r="F99" s="32"/>
      <c r="G99" s="32"/>
      <c r="H99" s="26"/>
      <c r="I99" s="32"/>
      <c r="J99" s="32"/>
      <c r="K99" s="32"/>
      <c r="L99" s="26"/>
      <c r="M99" s="26"/>
      <c r="N99" s="26"/>
      <c r="O99" s="32"/>
      <c r="P99" s="32"/>
      <c r="Q99" s="26"/>
      <c r="R99" s="32"/>
      <c r="S99" s="31"/>
      <c r="T99" s="32"/>
      <c r="U99" s="32"/>
      <c r="V99" s="32"/>
      <c r="W99" s="32"/>
      <c r="X99" s="32"/>
      <c r="Y99" s="32"/>
      <c r="Z99" s="32"/>
      <c r="AA99" s="32"/>
      <c r="AB99" s="32"/>
    </row>
    <row r="100">
      <c r="A100" s="26"/>
      <c r="B100" s="26"/>
      <c r="C100" s="32"/>
      <c r="D100" s="32"/>
      <c r="E100" s="32"/>
      <c r="F100" s="32"/>
      <c r="G100" s="32"/>
      <c r="H100" s="26"/>
      <c r="I100" s="32"/>
      <c r="J100" s="32"/>
      <c r="K100" s="32"/>
      <c r="L100" s="26"/>
      <c r="M100" s="26"/>
      <c r="N100" s="26"/>
      <c r="O100" s="32"/>
      <c r="P100" s="32"/>
      <c r="Q100" s="26"/>
      <c r="R100" s="32"/>
      <c r="S100" s="31"/>
      <c r="T100" s="32"/>
      <c r="U100" s="32"/>
      <c r="V100" s="32"/>
      <c r="W100" s="32"/>
      <c r="X100" s="32"/>
      <c r="Y100" s="32"/>
      <c r="Z100" s="32"/>
      <c r="AA100" s="32"/>
      <c r="AB100" s="32"/>
    </row>
    <row r="101">
      <c r="A101" s="26"/>
      <c r="B101" s="26"/>
      <c r="C101" s="32"/>
      <c r="D101" s="32"/>
      <c r="E101" s="32"/>
      <c r="F101" s="32"/>
      <c r="G101" s="32"/>
      <c r="H101" s="26"/>
      <c r="I101" s="32"/>
      <c r="J101" s="32"/>
      <c r="K101" s="32"/>
      <c r="L101" s="26"/>
      <c r="M101" s="26"/>
      <c r="N101" s="26"/>
      <c r="O101" s="32"/>
      <c r="P101" s="32"/>
      <c r="Q101" s="26"/>
      <c r="R101" s="32"/>
      <c r="S101" s="31"/>
      <c r="T101" s="32"/>
      <c r="U101" s="32"/>
      <c r="V101" s="32"/>
      <c r="W101" s="32"/>
      <c r="X101" s="32"/>
      <c r="Y101" s="32"/>
      <c r="Z101" s="32"/>
      <c r="AA101" s="32"/>
      <c r="AB101" s="32"/>
    </row>
    <row r="102">
      <c r="A102" s="26"/>
      <c r="B102" s="26"/>
      <c r="C102" s="32"/>
      <c r="D102" s="32"/>
      <c r="E102" s="32"/>
      <c r="F102" s="32"/>
      <c r="G102" s="32"/>
      <c r="H102" s="26"/>
      <c r="I102" s="32"/>
      <c r="J102" s="32"/>
      <c r="K102" s="32"/>
      <c r="L102" s="26"/>
      <c r="M102" s="26"/>
      <c r="N102" s="26"/>
      <c r="O102" s="32"/>
      <c r="P102" s="32"/>
      <c r="Q102" s="26"/>
      <c r="R102" s="32"/>
      <c r="S102" s="31"/>
      <c r="T102" s="32"/>
      <c r="U102" s="32"/>
      <c r="V102" s="32"/>
      <c r="W102" s="32"/>
      <c r="X102" s="32"/>
      <c r="Y102" s="32"/>
      <c r="Z102" s="32"/>
      <c r="AA102" s="32"/>
      <c r="AB102" s="32"/>
    </row>
    <row r="103">
      <c r="A103" s="26"/>
      <c r="B103" s="26"/>
      <c r="C103" s="32"/>
      <c r="D103" s="32"/>
      <c r="E103" s="32"/>
      <c r="F103" s="32"/>
      <c r="G103" s="32"/>
      <c r="H103" s="26"/>
      <c r="I103" s="32"/>
      <c r="J103" s="32"/>
      <c r="K103" s="32"/>
      <c r="L103" s="26"/>
      <c r="M103" s="26"/>
      <c r="N103" s="26"/>
      <c r="O103" s="32"/>
      <c r="P103" s="32"/>
      <c r="Q103" s="26"/>
      <c r="R103" s="32"/>
      <c r="S103" s="31"/>
      <c r="T103" s="32"/>
      <c r="U103" s="32"/>
      <c r="V103" s="32"/>
      <c r="W103" s="32"/>
      <c r="X103" s="32"/>
      <c r="Y103" s="32"/>
      <c r="Z103" s="32"/>
      <c r="AA103" s="32"/>
      <c r="AB103" s="32"/>
    </row>
    <row r="104">
      <c r="A104" s="26"/>
      <c r="B104" s="26"/>
      <c r="C104" s="32"/>
      <c r="D104" s="32"/>
      <c r="E104" s="32"/>
      <c r="F104" s="32"/>
      <c r="G104" s="32"/>
      <c r="H104" s="26"/>
      <c r="I104" s="32"/>
      <c r="J104" s="32"/>
      <c r="K104" s="32"/>
      <c r="L104" s="26"/>
      <c r="M104" s="26"/>
      <c r="N104" s="26"/>
      <c r="O104" s="32"/>
      <c r="P104" s="32"/>
      <c r="Q104" s="26"/>
      <c r="R104" s="32"/>
      <c r="S104" s="31"/>
      <c r="T104" s="32"/>
      <c r="U104" s="32"/>
      <c r="V104" s="32"/>
      <c r="W104" s="32"/>
      <c r="X104" s="32"/>
      <c r="Y104" s="32"/>
      <c r="Z104" s="32"/>
      <c r="AA104" s="32"/>
      <c r="AB104" s="32"/>
    </row>
    <row r="105">
      <c r="A105" s="26"/>
      <c r="B105" s="26"/>
      <c r="C105" s="32"/>
      <c r="D105" s="32"/>
      <c r="E105" s="32"/>
      <c r="F105" s="32"/>
      <c r="G105" s="32"/>
      <c r="H105" s="26"/>
      <c r="I105" s="32"/>
      <c r="J105" s="32"/>
      <c r="K105" s="32"/>
      <c r="L105" s="26"/>
      <c r="M105" s="26"/>
      <c r="N105" s="26"/>
      <c r="O105" s="32"/>
      <c r="P105" s="32"/>
      <c r="Q105" s="26"/>
      <c r="R105" s="32"/>
      <c r="S105" s="31"/>
      <c r="T105" s="32"/>
      <c r="U105" s="32"/>
      <c r="V105" s="32"/>
      <c r="W105" s="32"/>
      <c r="X105" s="32"/>
      <c r="Y105" s="32"/>
      <c r="Z105" s="32"/>
      <c r="AA105" s="32"/>
      <c r="AB105" s="32"/>
    </row>
    <row r="106">
      <c r="A106" s="26"/>
      <c r="B106" s="26"/>
      <c r="C106" s="32"/>
      <c r="D106" s="32"/>
      <c r="E106" s="32"/>
      <c r="F106" s="32"/>
      <c r="G106" s="32"/>
      <c r="H106" s="26"/>
      <c r="I106" s="32"/>
      <c r="J106" s="32"/>
      <c r="K106" s="32"/>
      <c r="L106" s="26"/>
      <c r="M106" s="26"/>
      <c r="N106" s="26"/>
      <c r="O106" s="32"/>
      <c r="P106" s="32"/>
      <c r="Q106" s="26"/>
      <c r="R106" s="32"/>
      <c r="S106" s="31"/>
      <c r="T106" s="32"/>
      <c r="U106" s="32"/>
      <c r="V106" s="32"/>
      <c r="W106" s="32"/>
      <c r="X106" s="32"/>
      <c r="Y106" s="32"/>
      <c r="Z106" s="32"/>
      <c r="AA106" s="32"/>
      <c r="AB106" s="32"/>
    </row>
    <row r="107">
      <c r="A107" s="26"/>
      <c r="B107" s="26"/>
      <c r="C107" s="32"/>
      <c r="D107" s="32"/>
      <c r="E107" s="32"/>
      <c r="F107" s="32"/>
      <c r="G107" s="32"/>
      <c r="H107" s="26"/>
      <c r="I107" s="32"/>
      <c r="J107" s="32"/>
      <c r="K107" s="32"/>
      <c r="L107" s="26"/>
      <c r="M107" s="26"/>
      <c r="N107" s="26"/>
      <c r="O107" s="32"/>
      <c r="P107" s="32"/>
      <c r="Q107" s="26"/>
      <c r="R107" s="32"/>
      <c r="S107" s="31"/>
      <c r="T107" s="32"/>
      <c r="U107" s="32"/>
      <c r="V107" s="32"/>
      <c r="W107" s="32"/>
      <c r="X107" s="32"/>
      <c r="Y107" s="32"/>
      <c r="Z107" s="32"/>
      <c r="AA107" s="32"/>
      <c r="AB107" s="32"/>
    </row>
    <row r="108">
      <c r="A108" s="26"/>
      <c r="B108" s="26"/>
      <c r="C108" s="32"/>
      <c r="D108" s="32"/>
      <c r="E108" s="32"/>
      <c r="F108" s="32"/>
      <c r="G108" s="32"/>
      <c r="H108" s="26"/>
      <c r="I108" s="32"/>
      <c r="J108" s="32"/>
      <c r="K108" s="32"/>
      <c r="L108" s="26"/>
      <c r="M108" s="26"/>
      <c r="N108" s="26"/>
      <c r="O108" s="32"/>
      <c r="P108" s="32"/>
      <c r="Q108" s="26"/>
      <c r="R108" s="32"/>
      <c r="S108" s="31"/>
      <c r="T108" s="32"/>
      <c r="U108" s="32"/>
      <c r="V108" s="32"/>
      <c r="W108" s="32"/>
      <c r="X108" s="32"/>
      <c r="Y108" s="32"/>
      <c r="Z108" s="32"/>
      <c r="AA108" s="32"/>
      <c r="AB108" s="32"/>
    </row>
    <row r="109">
      <c r="A109" s="26"/>
      <c r="B109" s="26"/>
      <c r="C109" s="32"/>
      <c r="D109" s="32"/>
      <c r="E109" s="32"/>
      <c r="F109" s="32"/>
      <c r="G109" s="32"/>
      <c r="H109" s="26"/>
      <c r="I109" s="32"/>
      <c r="J109" s="32"/>
      <c r="K109" s="32"/>
      <c r="L109" s="26"/>
      <c r="M109" s="26"/>
      <c r="N109" s="26"/>
      <c r="O109" s="32"/>
      <c r="P109" s="32"/>
      <c r="Q109" s="26"/>
      <c r="R109" s="32"/>
      <c r="S109" s="31"/>
      <c r="T109" s="32"/>
      <c r="U109" s="32"/>
      <c r="V109" s="32"/>
      <c r="W109" s="32"/>
      <c r="X109" s="32"/>
      <c r="Y109" s="32"/>
      <c r="Z109" s="32"/>
      <c r="AA109" s="32"/>
      <c r="AB109" s="32"/>
    </row>
    <row r="110">
      <c r="A110" s="26"/>
      <c r="B110" s="26"/>
      <c r="C110" s="32"/>
      <c r="D110" s="32"/>
      <c r="E110" s="32"/>
      <c r="F110" s="32"/>
      <c r="G110" s="32"/>
      <c r="H110" s="26"/>
      <c r="I110" s="32"/>
      <c r="J110" s="32"/>
      <c r="K110" s="32"/>
      <c r="L110" s="26"/>
      <c r="M110" s="26"/>
      <c r="N110" s="26"/>
      <c r="O110" s="32"/>
      <c r="P110" s="32"/>
      <c r="Q110" s="26"/>
      <c r="R110" s="32"/>
      <c r="S110" s="31"/>
      <c r="T110" s="32"/>
      <c r="U110" s="32"/>
      <c r="V110" s="32"/>
      <c r="W110" s="32"/>
      <c r="X110" s="32"/>
      <c r="Y110" s="32"/>
      <c r="Z110" s="32"/>
      <c r="AA110" s="32"/>
      <c r="AB110" s="32"/>
    </row>
    <row r="111">
      <c r="A111" s="26"/>
      <c r="B111" s="26"/>
      <c r="C111" s="32"/>
      <c r="D111" s="32"/>
      <c r="E111" s="32"/>
      <c r="F111" s="32"/>
      <c r="G111" s="32"/>
      <c r="H111" s="26"/>
      <c r="I111" s="32"/>
      <c r="J111" s="32"/>
      <c r="K111" s="32"/>
      <c r="L111" s="26"/>
      <c r="M111" s="26"/>
      <c r="N111" s="26"/>
      <c r="O111" s="32"/>
      <c r="P111" s="32"/>
      <c r="Q111" s="26"/>
      <c r="R111" s="32"/>
      <c r="S111" s="31"/>
      <c r="T111" s="32"/>
      <c r="U111" s="32"/>
      <c r="V111" s="32"/>
      <c r="W111" s="32"/>
      <c r="X111" s="32"/>
      <c r="Y111" s="32"/>
      <c r="Z111" s="32"/>
      <c r="AA111" s="32"/>
      <c r="AB111" s="32"/>
    </row>
    <row r="112">
      <c r="A112" s="26"/>
      <c r="B112" s="26"/>
      <c r="C112" s="32"/>
      <c r="D112" s="32"/>
      <c r="E112" s="32"/>
      <c r="F112" s="32"/>
      <c r="G112" s="32"/>
      <c r="H112" s="26"/>
      <c r="I112" s="32"/>
      <c r="J112" s="32"/>
      <c r="K112" s="32"/>
      <c r="L112" s="26"/>
      <c r="M112" s="26"/>
      <c r="N112" s="26"/>
      <c r="O112" s="32"/>
      <c r="P112" s="32"/>
      <c r="Q112" s="26"/>
      <c r="R112" s="32"/>
      <c r="S112" s="31"/>
      <c r="T112" s="32"/>
      <c r="U112" s="32"/>
      <c r="V112" s="32"/>
      <c r="W112" s="32"/>
      <c r="X112" s="32"/>
      <c r="Y112" s="32"/>
      <c r="Z112" s="32"/>
      <c r="AA112" s="32"/>
      <c r="AB112" s="32"/>
    </row>
    <row r="113">
      <c r="A113" s="26"/>
      <c r="B113" s="26"/>
      <c r="C113" s="32"/>
      <c r="D113" s="32"/>
      <c r="E113" s="32"/>
      <c r="F113" s="32"/>
      <c r="G113" s="32"/>
      <c r="H113" s="26"/>
      <c r="I113" s="32"/>
      <c r="J113" s="32"/>
      <c r="K113" s="32"/>
      <c r="L113" s="26"/>
      <c r="M113" s="26"/>
      <c r="N113" s="26"/>
      <c r="O113" s="32"/>
      <c r="P113" s="32"/>
      <c r="Q113" s="26"/>
      <c r="R113" s="32"/>
      <c r="S113" s="31"/>
      <c r="T113" s="32"/>
      <c r="U113" s="32"/>
      <c r="V113" s="32"/>
      <c r="W113" s="32"/>
      <c r="X113" s="32"/>
      <c r="Y113" s="32"/>
      <c r="Z113" s="32"/>
      <c r="AA113" s="32"/>
      <c r="AB113" s="32"/>
    </row>
    <row r="114">
      <c r="A114" s="26"/>
      <c r="B114" s="26"/>
      <c r="C114" s="32"/>
      <c r="D114" s="32"/>
      <c r="E114" s="32"/>
      <c r="F114" s="32"/>
      <c r="G114" s="32"/>
      <c r="H114" s="26"/>
      <c r="I114" s="32"/>
      <c r="J114" s="32"/>
      <c r="K114" s="32"/>
      <c r="L114" s="26"/>
      <c r="M114" s="26"/>
      <c r="N114" s="26"/>
      <c r="O114" s="32"/>
      <c r="P114" s="32"/>
      <c r="Q114" s="26"/>
      <c r="R114" s="32"/>
      <c r="S114" s="31"/>
      <c r="T114" s="32"/>
      <c r="U114" s="32"/>
      <c r="V114" s="32"/>
      <c r="W114" s="32"/>
      <c r="X114" s="32"/>
      <c r="Y114" s="32"/>
      <c r="Z114" s="32"/>
      <c r="AA114" s="32"/>
      <c r="AB114" s="32"/>
    </row>
    <row r="115">
      <c r="A115" s="26"/>
      <c r="B115" s="26"/>
      <c r="C115" s="32"/>
      <c r="D115" s="32"/>
      <c r="E115" s="32"/>
      <c r="F115" s="32"/>
      <c r="G115" s="32"/>
      <c r="H115" s="26"/>
      <c r="I115" s="32"/>
      <c r="J115" s="32"/>
      <c r="K115" s="32"/>
      <c r="L115" s="26"/>
      <c r="M115" s="26"/>
      <c r="N115" s="26"/>
      <c r="O115" s="32"/>
      <c r="P115" s="32"/>
      <c r="Q115" s="26"/>
      <c r="R115" s="32"/>
      <c r="S115" s="31"/>
      <c r="T115" s="32"/>
      <c r="U115" s="32"/>
      <c r="V115" s="32"/>
      <c r="W115" s="32"/>
      <c r="X115" s="32"/>
      <c r="Y115" s="32"/>
      <c r="Z115" s="32"/>
      <c r="AA115" s="32"/>
      <c r="AB115" s="32"/>
    </row>
    <row r="116">
      <c r="A116" s="26"/>
      <c r="B116" s="26"/>
      <c r="C116" s="32"/>
      <c r="D116" s="32"/>
      <c r="E116" s="32"/>
      <c r="F116" s="32"/>
      <c r="G116" s="32"/>
      <c r="H116" s="26"/>
      <c r="I116" s="32"/>
      <c r="J116" s="32"/>
      <c r="K116" s="32"/>
      <c r="L116" s="26"/>
      <c r="M116" s="26"/>
      <c r="N116" s="26"/>
      <c r="O116" s="32"/>
      <c r="P116" s="32"/>
      <c r="Q116" s="26"/>
      <c r="R116" s="32"/>
      <c r="S116" s="31"/>
      <c r="T116" s="32"/>
      <c r="U116" s="32"/>
      <c r="V116" s="32"/>
      <c r="W116" s="32"/>
      <c r="X116" s="32"/>
      <c r="Y116" s="32"/>
      <c r="Z116" s="32"/>
      <c r="AA116" s="32"/>
      <c r="AB116" s="32"/>
    </row>
    <row r="117">
      <c r="A117" s="26"/>
      <c r="B117" s="26"/>
      <c r="C117" s="32"/>
      <c r="D117" s="32"/>
      <c r="E117" s="32"/>
      <c r="F117" s="32"/>
      <c r="G117" s="32"/>
      <c r="H117" s="26"/>
      <c r="I117" s="32"/>
      <c r="J117" s="32"/>
      <c r="K117" s="32"/>
      <c r="L117" s="26"/>
      <c r="M117" s="26"/>
      <c r="N117" s="26"/>
      <c r="O117" s="32"/>
      <c r="P117" s="32"/>
      <c r="Q117" s="26"/>
      <c r="R117" s="32"/>
      <c r="S117" s="31"/>
      <c r="T117" s="32"/>
      <c r="U117" s="32"/>
      <c r="V117" s="32"/>
      <c r="W117" s="32"/>
      <c r="X117" s="32"/>
      <c r="Y117" s="32"/>
      <c r="Z117" s="32"/>
      <c r="AA117" s="32"/>
      <c r="AB117" s="32"/>
    </row>
    <row r="118">
      <c r="A118" s="26"/>
      <c r="B118" s="26"/>
      <c r="C118" s="32"/>
      <c r="D118" s="32"/>
      <c r="E118" s="32"/>
      <c r="F118" s="32"/>
      <c r="G118" s="32"/>
      <c r="H118" s="26"/>
      <c r="I118" s="32"/>
      <c r="J118" s="32"/>
      <c r="K118" s="32"/>
      <c r="L118" s="26"/>
      <c r="M118" s="26"/>
      <c r="N118" s="26"/>
      <c r="O118" s="32"/>
      <c r="P118" s="32"/>
      <c r="Q118" s="26"/>
      <c r="R118" s="32"/>
      <c r="S118" s="31"/>
      <c r="T118" s="32"/>
      <c r="U118" s="32"/>
      <c r="V118" s="32"/>
      <c r="W118" s="32"/>
      <c r="X118" s="32"/>
      <c r="Y118" s="32"/>
      <c r="Z118" s="32"/>
      <c r="AA118" s="32"/>
      <c r="AB118" s="32"/>
    </row>
    <row r="119">
      <c r="A119" s="26"/>
      <c r="B119" s="26"/>
      <c r="C119" s="32"/>
      <c r="D119" s="32"/>
      <c r="E119" s="32"/>
      <c r="F119" s="32"/>
      <c r="G119" s="32"/>
      <c r="H119" s="26"/>
      <c r="I119" s="32"/>
      <c r="J119" s="32"/>
      <c r="K119" s="32"/>
      <c r="L119" s="26"/>
      <c r="M119" s="26"/>
      <c r="N119" s="26"/>
      <c r="O119" s="32"/>
      <c r="P119" s="32"/>
      <c r="Q119" s="26"/>
      <c r="R119" s="32"/>
      <c r="S119" s="31"/>
      <c r="T119" s="32"/>
      <c r="U119" s="32"/>
      <c r="V119" s="32"/>
      <c r="W119" s="32"/>
      <c r="X119" s="32"/>
      <c r="Y119" s="32"/>
      <c r="Z119" s="32"/>
      <c r="AA119" s="32"/>
      <c r="AB119" s="32"/>
    </row>
    <row r="120">
      <c r="A120" s="26"/>
      <c r="B120" s="26"/>
      <c r="C120" s="32"/>
      <c r="D120" s="32"/>
      <c r="E120" s="32"/>
      <c r="F120" s="32"/>
      <c r="G120" s="32"/>
      <c r="H120" s="26"/>
      <c r="I120" s="32"/>
      <c r="J120" s="32"/>
      <c r="K120" s="32"/>
      <c r="L120" s="26"/>
      <c r="M120" s="26"/>
      <c r="N120" s="26"/>
      <c r="O120" s="32"/>
      <c r="P120" s="32"/>
      <c r="Q120" s="26"/>
      <c r="R120" s="32"/>
      <c r="S120" s="31"/>
      <c r="T120" s="32"/>
      <c r="U120" s="32"/>
      <c r="V120" s="32"/>
      <c r="W120" s="32"/>
      <c r="X120" s="32"/>
      <c r="Y120" s="32"/>
      <c r="Z120" s="32"/>
      <c r="AA120" s="32"/>
      <c r="AB120" s="32"/>
    </row>
    <row r="121">
      <c r="A121" s="26"/>
      <c r="B121" s="26"/>
      <c r="C121" s="32"/>
      <c r="D121" s="32"/>
      <c r="E121" s="32"/>
      <c r="F121" s="32"/>
      <c r="G121" s="32"/>
      <c r="H121" s="26"/>
      <c r="I121" s="32"/>
      <c r="J121" s="32"/>
      <c r="K121" s="32"/>
      <c r="L121" s="26"/>
      <c r="M121" s="26"/>
      <c r="N121" s="26"/>
      <c r="O121" s="32"/>
      <c r="P121" s="32"/>
      <c r="Q121" s="26"/>
      <c r="R121" s="32"/>
      <c r="S121" s="31"/>
      <c r="T121" s="32"/>
      <c r="U121" s="32"/>
      <c r="V121" s="32"/>
      <c r="W121" s="32"/>
      <c r="X121" s="32"/>
      <c r="Y121" s="32"/>
      <c r="Z121" s="32"/>
      <c r="AA121" s="32"/>
      <c r="AB121" s="32"/>
    </row>
    <row r="122">
      <c r="A122" s="26"/>
      <c r="B122" s="26"/>
      <c r="C122" s="32"/>
      <c r="D122" s="32"/>
      <c r="E122" s="32"/>
      <c r="F122" s="32"/>
      <c r="G122" s="32"/>
      <c r="H122" s="26"/>
      <c r="I122" s="32"/>
      <c r="J122" s="32"/>
      <c r="K122" s="32"/>
      <c r="L122" s="26"/>
      <c r="M122" s="26"/>
      <c r="N122" s="26"/>
      <c r="O122" s="32"/>
      <c r="P122" s="32"/>
      <c r="Q122" s="26"/>
      <c r="R122" s="32"/>
      <c r="S122" s="31"/>
      <c r="T122" s="32"/>
      <c r="U122" s="32"/>
      <c r="V122" s="32"/>
      <c r="W122" s="32"/>
      <c r="X122" s="32"/>
      <c r="Y122" s="32"/>
      <c r="Z122" s="32"/>
      <c r="AA122" s="32"/>
      <c r="AB122" s="32"/>
    </row>
    <row r="123">
      <c r="A123" s="26"/>
      <c r="B123" s="26"/>
      <c r="C123" s="32"/>
      <c r="D123" s="32"/>
      <c r="E123" s="32"/>
      <c r="F123" s="32"/>
      <c r="G123" s="32"/>
      <c r="H123" s="26"/>
      <c r="I123" s="32"/>
      <c r="J123" s="32"/>
      <c r="K123" s="32"/>
      <c r="L123" s="26"/>
      <c r="M123" s="26"/>
      <c r="N123" s="26"/>
      <c r="O123" s="32"/>
      <c r="P123" s="32"/>
      <c r="Q123" s="26"/>
      <c r="R123" s="32"/>
      <c r="S123" s="31"/>
      <c r="T123" s="32"/>
      <c r="U123" s="32"/>
      <c r="V123" s="32"/>
      <c r="W123" s="32"/>
      <c r="X123" s="32"/>
      <c r="Y123" s="32"/>
      <c r="Z123" s="32"/>
      <c r="AA123" s="32"/>
      <c r="AB123" s="32"/>
    </row>
    <row r="124">
      <c r="A124" s="26"/>
      <c r="B124" s="26"/>
      <c r="C124" s="32"/>
      <c r="D124" s="32"/>
      <c r="E124" s="32"/>
      <c r="F124" s="32"/>
      <c r="G124" s="32"/>
      <c r="H124" s="26"/>
      <c r="I124" s="32"/>
      <c r="J124" s="32"/>
      <c r="K124" s="32"/>
      <c r="L124" s="26"/>
      <c r="M124" s="26"/>
      <c r="N124" s="26"/>
      <c r="O124" s="32"/>
      <c r="P124" s="32"/>
      <c r="Q124" s="26"/>
      <c r="R124" s="32"/>
      <c r="S124" s="31"/>
      <c r="T124" s="32"/>
      <c r="U124" s="32"/>
      <c r="V124" s="32"/>
      <c r="W124" s="32"/>
      <c r="X124" s="32"/>
      <c r="Y124" s="32"/>
      <c r="Z124" s="32"/>
      <c r="AA124" s="32"/>
      <c r="AB124" s="32"/>
    </row>
    <row r="125">
      <c r="A125" s="26"/>
      <c r="B125" s="26"/>
      <c r="C125" s="32"/>
      <c r="D125" s="32"/>
      <c r="E125" s="32"/>
      <c r="F125" s="32"/>
      <c r="G125" s="32"/>
      <c r="H125" s="26"/>
      <c r="I125" s="32"/>
      <c r="J125" s="32"/>
      <c r="K125" s="32"/>
      <c r="L125" s="26"/>
      <c r="M125" s="26"/>
      <c r="N125" s="26"/>
      <c r="O125" s="32"/>
      <c r="P125" s="32"/>
      <c r="Q125" s="26"/>
      <c r="R125" s="32"/>
      <c r="S125" s="31"/>
      <c r="T125" s="32"/>
      <c r="U125" s="32"/>
      <c r="V125" s="32"/>
      <c r="W125" s="32"/>
      <c r="X125" s="32"/>
      <c r="Y125" s="32"/>
      <c r="Z125" s="32"/>
      <c r="AA125" s="32"/>
      <c r="AB125" s="32"/>
    </row>
    <row r="126">
      <c r="A126" s="26"/>
      <c r="B126" s="26"/>
      <c r="C126" s="32"/>
      <c r="D126" s="32"/>
      <c r="E126" s="32"/>
      <c r="F126" s="32"/>
      <c r="G126" s="32"/>
      <c r="H126" s="26"/>
      <c r="I126" s="32"/>
      <c r="J126" s="32"/>
      <c r="K126" s="32"/>
      <c r="L126" s="26"/>
      <c r="M126" s="26"/>
      <c r="N126" s="26"/>
      <c r="O126" s="32"/>
      <c r="P126" s="32"/>
      <c r="Q126" s="26"/>
      <c r="R126" s="32"/>
      <c r="S126" s="31"/>
      <c r="T126" s="32"/>
      <c r="U126" s="32"/>
      <c r="V126" s="32"/>
      <c r="W126" s="32"/>
      <c r="X126" s="32"/>
      <c r="Y126" s="32"/>
      <c r="Z126" s="32"/>
      <c r="AA126" s="32"/>
      <c r="AB126" s="32"/>
    </row>
    <row r="127">
      <c r="A127" s="26"/>
      <c r="B127" s="26"/>
      <c r="C127" s="32"/>
      <c r="D127" s="32"/>
      <c r="E127" s="32"/>
      <c r="F127" s="32"/>
      <c r="G127" s="32"/>
      <c r="H127" s="26"/>
      <c r="I127" s="32"/>
      <c r="J127" s="32"/>
      <c r="K127" s="32"/>
      <c r="L127" s="26"/>
      <c r="M127" s="26"/>
      <c r="N127" s="26"/>
      <c r="O127" s="32"/>
      <c r="P127" s="32"/>
      <c r="Q127" s="26"/>
      <c r="R127" s="32"/>
      <c r="S127" s="31"/>
      <c r="T127" s="32"/>
      <c r="U127" s="32"/>
      <c r="V127" s="32"/>
      <c r="W127" s="32"/>
      <c r="X127" s="32"/>
      <c r="Y127" s="32"/>
      <c r="Z127" s="32"/>
      <c r="AA127" s="32"/>
      <c r="AB127" s="32"/>
    </row>
    <row r="128">
      <c r="A128" s="26"/>
      <c r="B128" s="26"/>
      <c r="C128" s="32"/>
      <c r="D128" s="32"/>
      <c r="E128" s="32"/>
      <c r="F128" s="32"/>
      <c r="G128" s="32"/>
      <c r="H128" s="26"/>
      <c r="I128" s="32"/>
      <c r="J128" s="32"/>
      <c r="K128" s="32"/>
      <c r="L128" s="26"/>
      <c r="M128" s="26"/>
      <c r="N128" s="26"/>
      <c r="O128" s="32"/>
      <c r="P128" s="32"/>
      <c r="Q128" s="26"/>
      <c r="R128" s="32"/>
      <c r="S128" s="31"/>
      <c r="T128" s="32"/>
      <c r="U128" s="32"/>
      <c r="V128" s="32"/>
      <c r="W128" s="32"/>
      <c r="X128" s="32"/>
      <c r="Y128" s="32"/>
      <c r="Z128" s="32"/>
      <c r="AA128" s="32"/>
      <c r="AB128" s="32"/>
    </row>
    <row r="129">
      <c r="A129" s="26"/>
      <c r="B129" s="26"/>
      <c r="C129" s="32"/>
      <c r="D129" s="32"/>
      <c r="E129" s="32"/>
      <c r="F129" s="32"/>
      <c r="G129" s="32"/>
      <c r="H129" s="26"/>
      <c r="I129" s="32"/>
      <c r="J129" s="32"/>
      <c r="K129" s="32"/>
      <c r="L129" s="26"/>
      <c r="M129" s="26"/>
      <c r="N129" s="26"/>
      <c r="O129" s="32"/>
      <c r="P129" s="32"/>
      <c r="Q129" s="26"/>
      <c r="R129" s="32"/>
      <c r="S129" s="31"/>
      <c r="T129" s="32"/>
      <c r="U129" s="32"/>
      <c r="V129" s="32"/>
      <c r="W129" s="32"/>
      <c r="X129" s="32"/>
      <c r="Y129" s="32"/>
      <c r="Z129" s="32"/>
      <c r="AA129" s="32"/>
      <c r="AB129" s="32"/>
    </row>
    <row r="130">
      <c r="A130" s="26"/>
      <c r="B130" s="26"/>
      <c r="C130" s="32"/>
      <c r="D130" s="32"/>
      <c r="E130" s="32"/>
      <c r="F130" s="32"/>
      <c r="G130" s="32"/>
      <c r="H130" s="26"/>
      <c r="I130" s="32"/>
      <c r="J130" s="32"/>
      <c r="K130" s="32"/>
      <c r="L130" s="26"/>
      <c r="M130" s="26"/>
      <c r="N130" s="26"/>
      <c r="O130" s="32"/>
      <c r="P130" s="32"/>
      <c r="Q130" s="26"/>
      <c r="R130" s="32"/>
      <c r="S130" s="31"/>
      <c r="T130" s="32"/>
      <c r="U130" s="32"/>
      <c r="V130" s="32"/>
      <c r="W130" s="32"/>
      <c r="X130" s="32"/>
      <c r="Y130" s="32"/>
      <c r="Z130" s="32"/>
      <c r="AA130" s="32"/>
      <c r="AB130" s="32"/>
    </row>
    <row r="131">
      <c r="A131" s="26"/>
      <c r="B131" s="26"/>
      <c r="C131" s="32"/>
      <c r="D131" s="32"/>
      <c r="E131" s="32"/>
      <c r="F131" s="32"/>
      <c r="G131" s="32"/>
      <c r="H131" s="26"/>
      <c r="I131" s="32"/>
      <c r="J131" s="32"/>
      <c r="K131" s="32"/>
      <c r="L131" s="26"/>
      <c r="M131" s="26"/>
      <c r="N131" s="26"/>
      <c r="O131" s="32"/>
      <c r="P131" s="32"/>
      <c r="Q131" s="26"/>
      <c r="R131" s="32"/>
      <c r="S131" s="31"/>
      <c r="T131" s="32"/>
      <c r="U131" s="32"/>
      <c r="V131" s="32"/>
      <c r="W131" s="32"/>
      <c r="X131" s="32"/>
      <c r="Y131" s="32"/>
      <c r="Z131" s="32"/>
      <c r="AA131" s="32"/>
      <c r="AB131" s="32"/>
    </row>
    <row r="132">
      <c r="A132" s="26"/>
      <c r="B132" s="26"/>
      <c r="C132" s="32"/>
      <c r="D132" s="32"/>
      <c r="E132" s="32"/>
      <c r="F132" s="32"/>
      <c r="G132" s="32"/>
      <c r="H132" s="26"/>
      <c r="I132" s="32"/>
      <c r="J132" s="32"/>
      <c r="K132" s="32"/>
      <c r="L132" s="26"/>
      <c r="M132" s="26"/>
      <c r="N132" s="26"/>
      <c r="O132" s="32"/>
      <c r="P132" s="32"/>
      <c r="Q132" s="26"/>
      <c r="R132" s="32"/>
      <c r="S132" s="31"/>
      <c r="T132" s="32"/>
      <c r="U132" s="32"/>
      <c r="V132" s="32"/>
      <c r="W132" s="32"/>
      <c r="X132" s="32"/>
      <c r="Y132" s="32"/>
      <c r="Z132" s="32"/>
      <c r="AA132" s="32"/>
      <c r="AB132" s="32"/>
    </row>
    <row r="133">
      <c r="A133" s="26"/>
      <c r="B133" s="26"/>
      <c r="C133" s="32"/>
      <c r="D133" s="32"/>
      <c r="E133" s="32"/>
      <c r="F133" s="32"/>
      <c r="G133" s="32"/>
      <c r="H133" s="26"/>
      <c r="I133" s="32"/>
      <c r="J133" s="32"/>
      <c r="K133" s="32"/>
      <c r="L133" s="26"/>
      <c r="M133" s="26"/>
      <c r="N133" s="26"/>
      <c r="O133" s="32"/>
      <c r="P133" s="32"/>
      <c r="Q133" s="26"/>
      <c r="R133" s="32"/>
      <c r="S133" s="31"/>
      <c r="T133" s="32"/>
      <c r="U133" s="32"/>
      <c r="V133" s="32"/>
      <c r="W133" s="32"/>
      <c r="X133" s="32"/>
      <c r="Y133" s="32"/>
      <c r="Z133" s="32"/>
      <c r="AA133" s="32"/>
      <c r="AB133" s="32"/>
    </row>
    <row r="134">
      <c r="A134" s="26"/>
      <c r="B134" s="26"/>
      <c r="C134" s="32"/>
      <c r="D134" s="32"/>
      <c r="E134" s="32"/>
      <c r="F134" s="32"/>
      <c r="G134" s="32"/>
      <c r="H134" s="26"/>
      <c r="I134" s="32"/>
      <c r="J134" s="32"/>
      <c r="K134" s="32"/>
      <c r="L134" s="26"/>
      <c r="M134" s="26"/>
      <c r="N134" s="26"/>
      <c r="O134" s="32"/>
      <c r="P134" s="32"/>
      <c r="Q134" s="26"/>
      <c r="R134" s="32"/>
      <c r="S134" s="31"/>
      <c r="T134" s="32"/>
      <c r="U134" s="32"/>
      <c r="V134" s="32"/>
      <c r="W134" s="32"/>
      <c r="X134" s="32"/>
      <c r="Y134" s="32"/>
      <c r="Z134" s="32"/>
      <c r="AA134" s="32"/>
      <c r="AB134" s="32"/>
    </row>
    <row r="135">
      <c r="A135" s="26"/>
      <c r="B135" s="26"/>
      <c r="C135" s="32"/>
      <c r="D135" s="32"/>
      <c r="E135" s="32"/>
      <c r="F135" s="32"/>
      <c r="G135" s="32"/>
      <c r="H135" s="26"/>
      <c r="I135" s="32"/>
      <c r="J135" s="32"/>
      <c r="K135" s="32"/>
      <c r="L135" s="26"/>
      <c r="M135" s="26"/>
      <c r="N135" s="26"/>
      <c r="O135" s="32"/>
      <c r="P135" s="32"/>
      <c r="Q135" s="26"/>
      <c r="R135" s="32"/>
      <c r="S135" s="31"/>
      <c r="T135" s="32"/>
      <c r="U135" s="32"/>
      <c r="V135" s="32"/>
      <c r="W135" s="32"/>
      <c r="X135" s="32"/>
      <c r="Y135" s="32"/>
      <c r="Z135" s="32"/>
      <c r="AA135" s="32"/>
      <c r="AB135" s="32"/>
    </row>
    <row r="136">
      <c r="A136" s="26"/>
      <c r="B136" s="26"/>
      <c r="C136" s="32"/>
      <c r="D136" s="32"/>
      <c r="E136" s="32"/>
      <c r="F136" s="32"/>
      <c r="G136" s="32"/>
      <c r="H136" s="26"/>
      <c r="I136" s="32"/>
      <c r="J136" s="32"/>
      <c r="K136" s="32"/>
      <c r="L136" s="26"/>
      <c r="M136" s="26"/>
      <c r="N136" s="26"/>
      <c r="O136" s="32"/>
      <c r="P136" s="32"/>
      <c r="Q136" s="26"/>
      <c r="R136" s="32"/>
      <c r="S136" s="31"/>
      <c r="T136" s="32"/>
      <c r="U136" s="32"/>
      <c r="V136" s="32"/>
      <c r="W136" s="32"/>
      <c r="X136" s="32"/>
      <c r="Y136" s="32"/>
      <c r="Z136" s="32"/>
      <c r="AA136" s="32"/>
      <c r="AB136" s="32"/>
    </row>
    <row r="137">
      <c r="A137" s="26"/>
      <c r="B137" s="26"/>
      <c r="C137" s="32"/>
      <c r="D137" s="32"/>
      <c r="E137" s="32"/>
      <c r="F137" s="32"/>
      <c r="G137" s="32"/>
      <c r="H137" s="26"/>
      <c r="I137" s="32"/>
      <c r="J137" s="32"/>
      <c r="K137" s="32"/>
      <c r="L137" s="26"/>
      <c r="M137" s="26"/>
      <c r="N137" s="26"/>
      <c r="O137" s="32"/>
      <c r="P137" s="32"/>
      <c r="Q137" s="26"/>
      <c r="R137" s="32"/>
      <c r="S137" s="31"/>
      <c r="T137" s="32"/>
      <c r="U137" s="32"/>
      <c r="V137" s="32"/>
      <c r="W137" s="32"/>
      <c r="X137" s="32"/>
      <c r="Y137" s="32"/>
      <c r="Z137" s="32"/>
      <c r="AA137" s="32"/>
      <c r="AB137" s="32"/>
    </row>
    <row r="138">
      <c r="A138" s="26"/>
      <c r="B138" s="26"/>
      <c r="C138" s="32"/>
      <c r="D138" s="32"/>
      <c r="E138" s="32"/>
      <c r="F138" s="32"/>
      <c r="G138" s="32"/>
      <c r="H138" s="26"/>
      <c r="I138" s="32"/>
      <c r="J138" s="32"/>
      <c r="K138" s="32"/>
      <c r="L138" s="26"/>
      <c r="M138" s="26"/>
      <c r="N138" s="26"/>
      <c r="O138" s="32"/>
      <c r="P138" s="32"/>
      <c r="Q138" s="26"/>
      <c r="R138" s="32"/>
      <c r="S138" s="31"/>
      <c r="T138" s="32"/>
      <c r="U138" s="32"/>
      <c r="V138" s="32"/>
      <c r="W138" s="32"/>
      <c r="X138" s="32"/>
      <c r="Y138" s="32"/>
      <c r="Z138" s="32"/>
      <c r="AA138" s="32"/>
      <c r="AB138" s="32"/>
    </row>
    <row r="139">
      <c r="A139" s="26"/>
      <c r="B139" s="26"/>
      <c r="C139" s="32"/>
      <c r="D139" s="32"/>
      <c r="E139" s="32"/>
      <c r="F139" s="32"/>
      <c r="G139" s="32"/>
      <c r="H139" s="26"/>
      <c r="I139" s="32"/>
      <c r="J139" s="32"/>
      <c r="K139" s="32"/>
      <c r="L139" s="26"/>
      <c r="M139" s="26"/>
      <c r="N139" s="26"/>
      <c r="O139" s="32"/>
      <c r="P139" s="32"/>
      <c r="Q139" s="26"/>
      <c r="R139" s="32"/>
      <c r="S139" s="31"/>
      <c r="T139" s="32"/>
      <c r="U139" s="32"/>
      <c r="V139" s="32"/>
      <c r="W139" s="32"/>
      <c r="X139" s="32"/>
      <c r="Y139" s="32"/>
      <c r="Z139" s="32"/>
      <c r="AA139" s="32"/>
      <c r="AB139" s="32"/>
    </row>
    <row r="140">
      <c r="A140" s="26"/>
      <c r="B140" s="26"/>
      <c r="C140" s="32"/>
      <c r="D140" s="32"/>
      <c r="E140" s="32"/>
      <c r="F140" s="32"/>
      <c r="G140" s="32"/>
      <c r="H140" s="26"/>
      <c r="I140" s="32"/>
      <c r="J140" s="32"/>
      <c r="K140" s="32"/>
      <c r="L140" s="26"/>
      <c r="M140" s="26"/>
      <c r="N140" s="26"/>
      <c r="O140" s="32"/>
      <c r="P140" s="32"/>
      <c r="Q140" s="26"/>
      <c r="R140" s="32"/>
      <c r="S140" s="31"/>
      <c r="T140" s="32"/>
      <c r="U140" s="32"/>
      <c r="V140" s="32"/>
      <c r="W140" s="32"/>
      <c r="X140" s="32"/>
      <c r="Y140" s="32"/>
      <c r="Z140" s="32"/>
      <c r="AA140" s="32"/>
      <c r="AB140" s="32"/>
    </row>
    <row r="141">
      <c r="A141" s="26"/>
      <c r="B141" s="26"/>
      <c r="C141" s="32"/>
      <c r="D141" s="32"/>
      <c r="E141" s="32"/>
      <c r="F141" s="32"/>
      <c r="G141" s="32"/>
      <c r="H141" s="26"/>
      <c r="I141" s="32"/>
      <c r="J141" s="32"/>
      <c r="K141" s="32"/>
      <c r="L141" s="26"/>
      <c r="M141" s="26"/>
      <c r="N141" s="26"/>
      <c r="O141" s="32"/>
      <c r="P141" s="32"/>
      <c r="Q141" s="26"/>
      <c r="R141" s="32"/>
      <c r="S141" s="31"/>
      <c r="T141" s="32"/>
      <c r="U141" s="32"/>
      <c r="V141" s="32"/>
      <c r="W141" s="32"/>
      <c r="X141" s="32"/>
      <c r="Y141" s="32"/>
      <c r="Z141" s="32"/>
      <c r="AA141" s="32"/>
      <c r="AB141" s="32"/>
    </row>
    <row r="142">
      <c r="A142" s="26"/>
      <c r="B142" s="26"/>
      <c r="C142" s="32"/>
      <c r="D142" s="32"/>
      <c r="E142" s="32"/>
      <c r="F142" s="32"/>
      <c r="G142" s="32"/>
      <c r="H142" s="26"/>
      <c r="I142" s="32"/>
      <c r="J142" s="32"/>
      <c r="K142" s="32"/>
      <c r="L142" s="26"/>
      <c r="M142" s="26"/>
      <c r="N142" s="26"/>
      <c r="O142" s="32"/>
      <c r="P142" s="32"/>
      <c r="Q142" s="26"/>
      <c r="R142" s="32"/>
      <c r="S142" s="31"/>
      <c r="T142" s="32"/>
      <c r="U142" s="32"/>
      <c r="V142" s="32"/>
      <c r="W142" s="32"/>
      <c r="X142" s="32"/>
      <c r="Y142" s="32"/>
      <c r="Z142" s="32"/>
      <c r="AA142" s="32"/>
      <c r="AB142" s="32"/>
    </row>
    <row r="143">
      <c r="A143" s="26"/>
      <c r="B143" s="26"/>
      <c r="C143" s="32"/>
      <c r="D143" s="32"/>
      <c r="E143" s="32"/>
      <c r="F143" s="32"/>
      <c r="G143" s="32"/>
      <c r="H143" s="26"/>
      <c r="I143" s="32"/>
      <c r="J143" s="32"/>
      <c r="K143" s="32"/>
      <c r="L143" s="26"/>
      <c r="M143" s="26"/>
      <c r="N143" s="26"/>
      <c r="O143" s="32"/>
      <c r="P143" s="32"/>
      <c r="Q143" s="26"/>
      <c r="R143" s="32"/>
      <c r="S143" s="31"/>
      <c r="T143" s="32"/>
      <c r="U143" s="32"/>
      <c r="V143" s="32"/>
      <c r="W143" s="32"/>
      <c r="X143" s="32"/>
      <c r="Y143" s="32"/>
      <c r="Z143" s="32"/>
      <c r="AA143" s="32"/>
      <c r="AB143" s="32"/>
    </row>
    <row r="144">
      <c r="A144" s="26"/>
      <c r="B144" s="26"/>
      <c r="C144" s="32"/>
      <c r="D144" s="32"/>
      <c r="E144" s="32"/>
      <c r="F144" s="32"/>
      <c r="G144" s="32"/>
      <c r="H144" s="26"/>
      <c r="I144" s="32"/>
      <c r="J144" s="32"/>
      <c r="K144" s="32"/>
      <c r="L144" s="26"/>
      <c r="M144" s="26"/>
      <c r="N144" s="26"/>
      <c r="O144" s="32"/>
      <c r="P144" s="32"/>
      <c r="Q144" s="26"/>
      <c r="R144" s="32"/>
      <c r="S144" s="31"/>
      <c r="T144" s="32"/>
      <c r="U144" s="32"/>
      <c r="V144" s="32"/>
      <c r="W144" s="32"/>
      <c r="X144" s="32"/>
      <c r="Y144" s="32"/>
      <c r="Z144" s="32"/>
      <c r="AA144" s="32"/>
      <c r="AB144" s="32"/>
    </row>
    <row r="145">
      <c r="A145" s="26"/>
      <c r="B145" s="26"/>
      <c r="C145" s="32"/>
      <c r="D145" s="32"/>
      <c r="E145" s="32"/>
      <c r="F145" s="32"/>
      <c r="G145" s="32"/>
      <c r="H145" s="26"/>
      <c r="I145" s="32"/>
      <c r="J145" s="32"/>
      <c r="K145" s="32"/>
      <c r="L145" s="26"/>
      <c r="M145" s="26"/>
      <c r="N145" s="26"/>
      <c r="O145" s="32"/>
      <c r="P145" s="32"/>
      <c r="Q145" s="26"/>
      <c r="R145" s="32"/>
      <c r="S145" s="31"/>
      <c r="T145" s="32"/>
      <c r="U145" s="32"/>
      <c r="V145" s="32"/>
      <c r="W145" s="32"/>
      <c r="X145" s="32"/>
      <c r="Y145" s="32"/>
      <c r="Z145" s="32"/>
      <c r="AA145" s="32"/>
      <c r="AB145" s="32"/>
    </row>
    <row r="146">
      <c r="A146" s="26"/>
      <c r="B146" s="26"/>
      <c r="C146" s="32"/>
      <c r="D146" s="32"/>
      <c r="E146" s="32"/>
      <c r="F146" s="32"/>
      <c r="G146" s="32"/>
      <c r="H146" s="26"/>
      <c r="I146" s="32"/>
      <c r="J146" s="32"/>
      <c r="K146" s="32"/>
      <c r="L146" s="26"/>
      <c r="M146" s="26"/>
      <c r="N146" s="26"/>
      <c r="O146" s="32"/>
      <c r="P146" s="32"/>
      <c r="Q146" s="26"/>
      <c r="R146" s="32"/>
      <c r="S146" s="31"/>
      <c r="T146" s="32"/>
      <c r="U146" s="32"/>
      <c r="V146" s="32"/>
      <c r="W146" s="32"/>
      <c r="X146" s="32"/>
      <c r="Y146" s="32"/>
      <c r="Z146" s="32"/>
      <c r="AA146" s="32"/>
      <c r="AB146" s="32"/>
    </row>
    <row r="147">
      <c r="A147" s="26"/>
      <c r="B147" s="26"/>
      <c r="C147" s="32"/>
      <c r="D147" s="32"/>
      <c r="E147" s="32"/>
      <c r="F147" s="32"/>
      <c r="G147" s="32"/>
      <c r="H147" s="26"/>
      <c r="I147" s="32"/>
      <c r="J147" s="32"/>
      <c r="K147" s="32"/>
      <c r="L147" s="26"/>
      <c r="M147" s="26"/>
      <c r="N147" s="26"/>
      <c r="O147" s="32"/>
      <c r="P147" s="32"/>
      <c r="Q147" s="26"/>
      <c r="R147" s="32"/>
      <c r="S147" s="31"/>
      <c r="T147" s="32"/>
      <c r="U147" s="32"/>
      <c r="V147" s="32"/>
      <c r="W147" s="32"/>
      <c r="X147" s="32"/>
      <c r="Y147" s="32"/>
      <c r="Z147" s="32"/>
      <c r="AA147" s="32"/>
      <c r="AB147" s="32"/>
    </row>
    <row r="148">
      <c r="A148" s="26"/>
      <c r="B148" s="26"/>
      <c r="C148" s="32"/>
      <c r="D148" s="32"/>
      <c r="E148" s="32"/>
      <c r="F148" s="32"/>
      <c r="G148" s="32"/>
      <c r="H148" s="26"/>
      <c r="I148" s="32"/>
      <c r="J148" s="32"/>
      <c r="K148" s="32"/>
      <c r="L148" s="26"/>
      <c r="M148" s="26"/>
      <c r="N148" s="26"/>
      <c r="O148" s="32"/>
      <c r="P148" s="32"/>
      <c r="Q148" s="26"/>
      <c r="R148" s="32"/>
      <c r="S148" s="31"/>
      <c r="T148" s="32"/>
      <c r="U148" s="32"/>
      <c r="V148" s="32"/>
      <c r="W148" s="32"/>
      <c r="X148" s="32"/>
      <c r="Y148" s="32"/>
      <c r="Z148" s="32"/>
      <c r="AA148" s="32"/>
      <c r="AB148" s="32"/>
    </row>
    <row r="149">
      <c r="A149" s="26"/>
      <c r="B149" s="26"/>
      <c r="C149" s="32"/>
      <c r="D149" s="32"/>
      <c r="E149" s="32"/>
      <c r="F149" s="32"/>
      <c r="G149" s="32"/>
      <c r="H149" s="26"/>
      <c r="I149" s="32"/>
      <c r="J149" s="32"/>
      <c r="K149" s="32"/>
      <c r="L149" s="26"/>
      <c r="M149" s="26"/>
      <c r="N149" s="26"/>
      <c r="O149" s="32"/>
      <c r="P149" s="32"/>
      <c r="Q149" s="26"/>
      <c r="R149" s="32"/>
      <c r="S149" s="31"/>
      <c r="T149" s="32"/>
      <c r="U149" s="32"/>
      <c r="V149" s="32"/>
      <c r="W149" s="32"/>
      <c r="X149" s="32"/>
      <c r="Y149" s="32"/>
      <c r="Z149" s="32"/>
      <c r="AA149" s="32"/>
      <c r="AB149" s="32"/>
    </row>
    <row r="150">
      <c r="A150" s="26"/>
      <c r="B150" s="26"/>
      <c r="C150" s="32"/>
      <c r="D150" s="32"/>
      <c r="E150" s="32"/>
      <c r="F150" s="32"/>
      <c r="G150" s="32"/>
      <c r="H150" s="26"/>
      <c r="I150" s="32"/>
      <c r="J150" s="32"/>
      <c r="K150" s="32"/>
      <c r="L150" s="26"/>
      <c r="M150" s="26"/>
      <c r="N150" s="26"/>
      <c r="O150" s="32"/>
      <c r="P150" s="32"/>
      <c r="Q150" s="26"/>
      <c r="R150" s="32"/>
      <c r="S150" s="31"/>
      <c r="T150" s="32"/>
      <c r="U150" s="32"/>
      <c r="V150" s="32"/>
      <c r="W150" s="32"/>
      <c r="X150" s="32"/>
      <c r="Y150" s="32"/>
      <c r="Z150" s="32"/>
      <c r="AA150" s="32"/>
      <c r="AB150" s="32"/>
    </row>
    <row r="151">
      <c r="A151" s="26"/>
      <c r="B151" s="26"/>
      <c r="C151" s="32"/>
      <c r="D151" s="32"/>
      <c r="E151" s="32"/>
      <c r="F151" s="32"/>
      <c r="G151" s="32"/>
      <c r="H151" s="26"/>
      <c r="I151" s="32"/>
      <c r="J151" s="32"/>
      <c r="K151" s="32"/>
      <c r="L151" s="26"/>
      <c r="M151" s="26"/>
      <c r="N151" s="26"/>
      <c r="O151" s="32"/>
      <c r="P151" s="32"/>
      <c r="Q151" s="26"/>
      <c r="R151" s="32"/>
      <c r="S151" s="31"/>
      <c r="T151" s="32"/>
      <c r="U151" s="32"/>
      <c r="V151" s="32"/>
      <c r="W151" s="32"/>
      <c r="X151" s="32"/>
      <c r="Y151" s="32"/>
      <c r="Z151" s="32"/>
      <c r="AA151" s="32"/>
      <c r="AB151" s="32"/>
    </row>
    <row r="152">
      <c r="A152" s="26"/>
      <c r="B152" s="26"/>
      <c r="C152" s="32"/>
      <c r="D152" s="32"/>
      <c r="E152" s="32"/>
      <c r="F152" s="32"/>
      <c r="G152" s="32"/>
      <c r="H152" s="26"/>
      <c r="I152" s="32"/>
      <c r="J152" s="32"/>
      <c r="K152" s="32"/>
      <c r="L152" s="26"/>
      <c r="M152" s="26"/>
      <c r="N152" s="26"/>
      <c r="O152" s="32"/>
      <c r="P152" s="32"/>
      <c r="Q152" s="26"/>
      <c r="R152" s="32"/>
      <c r="S152" s="31"/>
      <c r="T152" s="32"/>
      <c r="U152" s="32"/>
      <c r="V152" s="32"/>
      <c r="W152" s="32"/>
      <c r="X152" s="32"/>
      <c r="Y152" s="32"/>
      <c r="Z152" s="32"/>
      <c r="AA152" s="32"/>
      <c r="AB152" s="32"/>
    </row>
    <row r="153">
      <c r="A153" s="26"/>
      <c r="B153" s="26"/>
      <c r="C153" s="32"/>
      <c r="D153" s="32"/>
      <c r="E153" s="32"/>
      <c r="F153" s="32"/>
      <c r="G153" s="32"/>
      <c r="H153" s="26"/>
      <c r="I153" s="32"/>
      <c r="J153" s="32"/>
      <c r="K153" s="32"/>
      <c r="L153" s="26"/>
      <c r="M153" s="26"/>
      <c r="N153" s="26"/>
      <c r="O153" s="32"/>
      <c r="P153" s="32"/>
      <c r="Q153" s="26"/>
      <c r="R153" s="32"/>
      <c r="S153" s="31"/>
      <c r="T153" s="32"/>
      <c r="U153" s="32"/>
      <c r="V153" s="32"/>
      <c r="W153" s="32"/>
      <c r="X153" s="32"/>
      <c r="Y153" s="32"/>
      <c r="Z153" s="32"/>
      <c r="AA153" s="32"/>
      <c r="AB153" s="32"/>
    </row>
    <row r="154">
      <c r="A154" s="26"/>
      <c r="B154" s="26"/>
      <c r="C154" s="32"/>
      <c r="D154" s="32"/>
      <c r="E154" s="32"/>
      <c r="F154" s="32"/>
      <c r="G154" s="32"/>
      <c r="H154" s="26"/>
      <c r="I154" s="32"/>
      <c r="J154" s="32"/>
      <c r="K154" s="32"/>
      <c r="L154" s="26"/>
      <c r="M154" s="26"/>
      <c r="N154" s="26"/>
      <c r="O154" s="32"/>
      <c r="P154" s="32"/>
      <c r="Q154" s="26"/>
      <c r="R154" s="32"/>
      <c r="S154" s="31"/>
      <c r="T154" s="32"/>
      <c r="U154" s="32"/>
      <c r="V154" s="32"/>
      <c r="W154" s="32"/>
      <c r="X154" s="32"/>
      <c r="Y154" s="32"/>
      <c r="Z154" s="32"/>
      <c r="AA154" s="32"/>
      <c r="AB154" s="32"/>
    </row>
    <row r="155">
      <c r="A155" s="26"/>
      <c r="B155" s="26"/>
      <c r="C155" s="32"/>
      <c r="D155" s="32"/>
      <c r="E155" s="32"/>
      <c r="F155" s="32"/>
      <c r="G155" s="32"/>
      <c r="H155" s="26"/>
      <c r="I155" s="32"/>
      <c r="J155" s="32"/>
      <c r="K155" s="32"/>
      <c r="L155" s="26"/>
      <c r="M155" s="26"/>
      <c r="N155" s="26"/>
      <c r="O155" s="32"/>
      <c r="P155" s="32"/>
      <c r="Q155" s="26"/>
      <c r="R155" s="32"/>
      <c r="S155" s="31"/>
      <c r="T155" s="32"/>
      <c r="U155" s="32"/>
      <c r="V155" s="32"/>
      <c r="W155" s="32"/>
      <c r="X155" s="32"/>
      <c r="Y155" s="32"/>
      <c r="Z155" s="32"/>
      <c r="AA155" s="32"/>
      <c r="AB155" s="32"/>
    </row>
    <row r="156">
      <c r="A156" s="26"/>
      <c r="B156" s="26"/>
      <c r="C156" s="32"/>
      <c r="D156" s="32"/>
      <c r="E156" s="32"/>
      <c r="F156" s="32"/>
      <c r="G156" s="32"/>
      <c r="H156" s="26"/>
      <c r="I156" s="32"/>
      <c r="J156" s="32"/>
      <c r="K156" s="32"/>
      <c r="L156" s="26"/>
      <c r="M156" s="26"/>
      <c r="N156" s="26"/>
      <c r="O156" s="32"/>
      <c r="P156" s="32"/>
      <c r="Q156" s="26"/>
      <c r="R156" s="32"/>
      <c r="S156" s="31"/>
      <c r="T156" s="32"/>
      <c r="U156" s="32"/>
      <c r="V156" s="32"/>
      <c r="W156" s="32"/>
      <c r="X156" s="32"/>
      <c r="Y156" s="32"/>
      <c r="Z156" s="32"/>
      <c r="AA156" s="32"/>
      <c r="AB156" s="32"/>
    </row>
    <row r="157">
      <c r="A157" s="26"/>
      <c r="B157" s="26"/>
      <c r="C157" s="32"/>
      <c r="D157" s="32"/>
      <c r="E157" s="32"/>
      <c r="F157" s="32"/>
      <c r="G157" s="32"/>
      <c r="H157" s="26"/>
      <c r="I157" s="32"/>
      <c r="J157" s="32"/>
      <c r="K157" s="32"/>
      <c r="L157" s="26"/>
      <c r="M157" s="26"/>
      <c r="N157" s="26"/>
      <c r="O157" s="32"/>
      <c r="P157" s="32"/>
      <c r="Q157" s="26"/>
      <c r="R157" s="32"/>
      <c r="S157" s="31"/>
      <c r="T157" s="32"/>
      <c r="U157" s="32"/>
      <c r="V157" s="32"/>
      <c r="W157" s="32"/>
      <c r="X157" s="32"/>
      <c r="Y157" s="32"/>
      <c r="Z157" s="32"/>
      <c r="AA157" s="32"/>
      <c r="AB157" s="32"/>
    </row>
    <row r="158">
      <c r="A158" s="26"/>
      <c r="B158" s="26"/>
      <c r="C158" s="32"/>
      <c r="D158" s="32"/>
      <c r="E158" s="32"/>
      <c r="F158" s="32"/>
      <c r="G158" s="32"/>
      <c r="H158" s="26"/>
      <c r="I158" s="32"/>
      <c r="J158" s="32"/>
      <c r="K158" s="32"/>
      <c r="L158" s="26"/>
      <c r="M158" s="26"/>
      <c r="N158" s="26"/>
      <c r="O158" s="32"/>
      <c r="P158" s="32"/>
      <c r="Q158" s="26"/>
      <c r="R158" s="32"/>
      <c r="S158" s="31"/>
      <c r="T158" s="32"/>
      <c r="U158" s="32"/>
      <c r="V158" s="32"/>
      <c r="W158" s="32"/>
      <c r="X158" s="32"/>
      <c r="Y158" s="32"/>
      <c r="Z158" s="32"/>
      <c r="AA158" s="32"/>
      <c r="AB158" s="32"/>
    </row>
    <row r="159">
      <c r="A159" s="26"/>
      <c r="B159" s="26"/>
      <c r="C159" s="32"/>
      <c r="D159" s="32"/>
      <c r="E159" s="32"/>
      <c r="F159" s="32"/>
      <c r="G159" s="32"/>
      <c r="H159" s="26"/>
      <c r="I159" s="32"/>
      <c r="J159" s="32"/>
      <c r="K159" s="32"/>
      <c r="L159" s="26"/>
      <c r="M159" s="26"/>
      <c r="N159" s="26"/>
      <c r="O159" s="32"/>
      <c r="P159" s="32"/>
      <c r="Q159" s="26"/>
      <c r="R159" s="32"/>
      <c r="S159" s="31"/>
      <c r="T159" s="32"/>
      <c r="U159" s="32"/>
      <c r="V159" s="32"/>
      <c r="W159" s="32"/>
      <c r="X159" s="32"/>
      <c r="Y159" s="32"/>
      <c r="Z159" s="32"/>
      <c r="AA159" s="32"/>
      <c r="AB159" s="32"/>
    </row>
    <row r="160">
      <c r="A160" s="26"/>
      <c r="B160" s="26"/>
      <c r="C160" s="32"/>
      <c r="D160" s="32"/>
      <c r="E160" s="32"/>
      <c r="F160" s="32"/>
      <c r="G160" s="32"/>
      <c r="H160" s="26"/>
      <c r="I160" s="32"/>
      <c r="J160" s="32"/>
      <c r="K160" s="32"/>
      <c r="L160" s="26"/>
      <c r="M160" s="26"/>
      <c r="N160" s="26"/>
      <c r="O160" s="32"/>
      <c r="P160" s="32"/>
      <c r="Q160" s="26"/>
      <c r="R160" s="32"/>
      <c r="S160" s="31"/>
      <c r="T160" s="32"/>
      <c r="U160" s="32"/>
      <c r="V160" s="32"/>
      <c r="W160" s="32"/>
      <c r="X160" s="32"/>
      <c r="Y160" s="32"/>
      <c r="Z160" s="32"/>
      <c r="AA160" s="32"/>
      <c r="AB160" s="32"/>
    </row>
    <row r="161">
      <c r="A161" s="26"/>
      <c r="B161" s="26"/>
      <c r="C161" s="32"/>
      <c r="D161" s="32"/>
      <c r="E161" s="32"/>
      <c r="F161" s="32"/>
      <c r="G161" s="32"/>
      <c r="H161" s="26"/>
      <c r="I161" s="32"/>
      <c r="J161" s="32"/>
      <c r="K161" s="32"/>
      <c r="L161" s="26"/>
      <c r="M161" s="26"/>
      <c r="N161" s="26"/>
      <c r="O161" s="32"/>
      <c r="P161" s="32"/>
      <c r="Q161" s="26"/>
      <c r="R161" s="32"/>
      <c r="S161" s="31"/>
      <c r="T161" s="32"/>
      <c r="U161" s="32"/>
      <c r="V161" s="32"/>
      <c r="W161" s="32"/>
      <c r="X161" s="32"/>
      <c r="Y161" s="32"/>
      <c r="Z161" s="32"/>
      <c r="AA161" s="32"/>
      <c r="AB161" s="32"/>
    </row>
    <row r="162">
      <c r="A162" s="26"/>
      <c r="B162" s="26"/>
      <c r="C162" s="32"/>
      <c r="D162" s="32"/>
      <c r="E162" s="32"/>
      <c r="F162" s="32"/>
      <c r="G162" s="32"/>
      <c r="H162" s="26"/>
      <c r="I162" s="32"/>
      <c r="J162" s="32"/>
      <c r="K162" s="32"/>
      <c r="L162" s="26"/>
      <c r="M162" s="26"/>
      <c r="N162" s="26"/>
      <c r="O162" s="32"/>
      <c r="P162" s="32"/>
      <c r="Q162" s="26"/>
      <c r="R162" s="32"/>
      <c r="S162" s="31"/>
      <c r="T162" s="32"/>
      <c r="U162" s="32"/>
      <c r="V162" s="32"/>
      <c r="W162" s="32"/>
      <c r="X162" s="32"/>
      <c r="Y162" s="32"/>
      <c r="Z162" s="32"/>
      <c r="AA162" s="32"/>
      <c r="AB162" s="32"/>
    </row>
    <row r="163">
      <c r="A163" s="26"/>
      <c r="B163" s="26"/>
      <c r="C163" s="32"/>
      <c r="D163" s="32"/>
      <c r="E163" s="32"/>
      <c r="F163" s="32"/>
      <c r="G163" s="32"/>
      <c r="H163" s="26"/>
      <c r="I163" s="32"/>
      <c r="J163" s="32"/>
      <c r="K163" s="32"/>
      <c r="L163" s="26"/>
      <c r="M163" s="26"/>
      <c r="N163" s="26"/>
      <c r="O163" s="32"/>
      <c r="P163" s="32"/>
      <c r="Q163" s="26"/>
      <c r="R163" s="32"/>
      <c r="S163" s="31"/>
      <c r="T163" s="32"/>
      <c r="U163" s="32"/>
      <c r="V163" s="32"/>
      <c r="W163" s="32"/>
      <c r="X163" s="32"/>
      <c r="Y163" s="32"/>
      <c r="Z163" s="32"/>
      <c r="AA163" s="32"/>
      <c r="AB163" s="32"/>
    </row>
    <row r="164">
      <c r="A164" s="26"/>
      <c r="B164" s="26"/>
      <c r="C164" s="32"/>
      <c r="D164" s="32"/>
      <c r="E164" s="32"/>
      <c r="F164" s="32"/>
      <c r="G164" s="32"/>
      <c r="H164" s="26"/>
      <c r="I164" s="32"/>
      <c r="J164" s="32"/>
      <c r="K164" s="32"/>
      <c r="L164" s="26"/>
      <c r="M164" s="26"/>
      <c r="N164" s="26"/>
      <c r="O164" s="32"/>
      <c r="P164" s="32"/>
      <c r="Q164" s="26"/>
      <c r="R164" s="32"/>
      <c r="S164" s="31"/>
      <c r="T164" s="32"/>
      <c r="U164" s="32"/>
      <c r="V164" s="32"/>
      <c r="W164" s="32"/>
      <c r="X164" s="32"/>
      <c r="Y164" s="32"/>
      <c r="Z164" s="32"/>
      <c r="AA164" s="32"/>
      <c r="AB164" s="32"/>
    </row>
    <row r="165">
      <c r="A165" s="26"/>
      <c r="B165" s="26"/>
      <c r="C165" s="32"/>
      <c r="D165" s="32"/>
      <c r="E165" s="32"/>
      <c r="F165" s="32"/>
      <c r="G165" s="32"/>
      <c r="H165" s="26"/>
      <c r="I165" s="32"/>
      <c r="J165" s="32"/>
      <c r="K165" s="32"/>
      <c r="L165" s="26"/>
      <c r="M165" s="26"/>
      <c r="N165" s="26"/>
      <c r="O165" s="32"/>
      <c r="P165" s="32"/>
      <c r="Q165" s="26"/>
      <c r="R165" s="32"/>
      <c r="S165" s="31"/>
      <c r="T165" s="32"/>
      <c r="U165" s="32"/>
      <c r="V165" s="32"/>
      <c r="W165" s="32"/>
      <c r="X165" s="32"/>
      <c r="Y165" s="32"/>
      <c r="Z165" s="32"/>
      <c r="AA165" s="32"/>
      <c r="AB165" s="32"/>
    </row>
    <row r="166">
      <c r="A166" s="26"/>
      <c r="B166" s="26"/>
      <c r="C166" s="32"/>
      <c r="D166" s="32"/>
      <c r="E166" s="32"/>
      <c r="F166" s="32"/>
      <c r="G166" s="32"/>
      <c r="H166" s="26"/>
      <c r="I166" s="32"/>
      <c r="J166" s="32"/>
      <c r="K166" s="32"/>
      <c r="L166" s="26"/>
      <c r="M166" s="26"/>
      <c r="N166" s="26"/>
      <c r="O166" s="32"/>
      <c r="P166" s="32"/>
      <c r="Q166" s="26"/>
      <c r="R166" s="32"/>
      <c r="S166" s="31"/>
      <c r="T166" s="32"/>
      <c r="U166" s="32"/>
      <c r="V166" s="32"/>
      <c r="W166" s="32"/>
      <c r="X166" s="32"/>
      <c r="Y166" s="32"/>
      <c r="Z166" s="32"/>
      <c r="AA166" s="32"/>
      <c r="AB166" s="32"/>
    </row>
    <row r="167">
      <c r="A167" s="26"/>
      <c r="B167" s="26"/>
      <c r="C167" s="32"/>
      <c r="D167" s="32"/>
      <c r="E167" s="32"/>
      <c r="F167" s="32"/>
      <c r="G167" s="32"/>
      <c r="H167" s="26"/>
      <c r="I167" s="32"/>
      <c r="J167" s="32"/>
      <c r="K167" s="32"/>
      <c r="L167" s="26"/>
      <c r="M167" s="26"/>
      <c r="N167" s="26"/>
      <c r="O167" s="32"/>
      <c r="P167" s="32"/>
      <c r="Q167" s="26"/>
      <c r="R167" s="32"/>
      <c r="S167" s="31"/>
      <c r="T167" s="32"/>
      <c r="U167" s="32"/>
      <c r="V167" s="32"/>
      <c r="W167" s="32"/>
      <c r="X167" s="32"/>
      <c r="Y167" s="32"/>
      <c r="Z167" s="32"/>
      <c r="AA167" s="32"/>
      <c r="AB167" s="32"/>
    </row>
    <row r="168">
      <c r="A168" s="26"/>
      <c r="B168" s="26"/>
      <c r="C168" s="32"/>
      <c r="D168" s="32"/>
      <c r="E168" s="32"/>
      <c r="F168" s="32"/>
      <c r="G168" s="32"/>
      <c r="H168" s="26"/>
      <c r="I168" s="32"/>
      <c r="J168" s="32"/>
      <c r="K168" s="32"/>
      <c r="L168" s="26"/>
      <c r="M168" s="26"/>
      <c r="N168" s="26"/>
      <c r="O168" s="32"/>
      <c r="P168" s="32"/>
      <c r="Q168" s="26"/>
      <c r="R168" s="32"/>
      <c r="S168" s="31"/>
      <c r="T168" s="32"/>
      <c r="U168" s="32"/>
      <c r="V168" s="32"/>
      <c r="W168" s="32"/>
      <c r="X168" s="32"/>
      <c r="Y168" s="32"/>
      <c r="Z168" s="32"/>
      <c r="AA168" s="32"/>
      <c r="AB168" s="32"/>
    </row>
    <row r="169">
      <c r="A169" s="26"/>
      <c r="B169" s="26"/>
      <c r="C169" s="32"/>
      <c r="D169" s="32"/>
      <c r="E169" s="32"/>
      <c r="F169" s="32"/>
      <c r="G169" s="32"/>
      <c r="H169" s="26"/>
      <c r="I169" s="32"/>
      <c r="J169" s="32"/>
      <c r="K169" s="32"/>
      <c r="L169" s="26"/>
      <c r="M169" s="26"/>
      <c r="N169" s="26"/>
      <c r="O169" s="32"/>
      <c r="P169" s="32"/>
      <c r="Q169" s="26"/>
      <c r="R169" s="32"/>
      <c r="S169" s="31"/>
      <c r="T169" s="32"/>
      <c r="U169" s="32"/>
      <c r="V169" s="32"/>
      <c r="W169" s="32"/>
      <c r="X169" s="32"/>
      <c r="Y169" s="32"/>
      <c r="Z169" s="32"/>
      <c r="AA169" s="32"/>
      <c r="AB169" s="32"/>
    </row>
    <row r="170">
      <c r="A170" s="26"/>
      <c r="B170" s="26"/>
      <c r="C170" s="32"/>
      <c r="D170" s="32"/>
      <c r="E170" s="32"/>
      <c r="F170" s="32"/>
      <c r="G170" s="32"/>
      <c r="H170" s="26"/>
      <c r="I170" s="32"/>
      <c r="J170" s="32"/>
      <c r="K170" s="32"/>
      <c r="L170" s="26"/>
      <c r="M170" s="26"/>
      <c r="N170" s="26"/>
      <c r="O170" s="32"/>
      <c r="P170" s="32"/>
      <c r="Q170" s="26"/>
      <c r="R170" s="32"/>
      <c r="S170" s="31"/>
      <c r="T170" s="32"/>
      <c r="U170" s="32"/>
      <c r="V170" s="32"/>
      <c r="W170" s="32"/>
      <c r="X170" s="32"/>
      <c r="Y170" s="32"/>
      <c r="Z170" s="32"/>
      <c r="AA170" s="32"/>
      <c r="AB170" s="32"/>
    </row>
    <row r="171">
      <c r="A171" s="26"/>
      <c r="B171" s="26"/>
      <c r="C171" s="32"/>
      <c r="D171" s="32"/>
      <c r="E171" s="32"/>
      <c r="F171" s="32"/>
      <c r="G171" s="32"/>
      <c r="H171" s="26"/>
      <c r="I171" s="32"/>
      <c r="J171" s="32"/>
      <c r="K171" s="32"/>
      <c r="L171" s="26"/>
      <c r="M171" s="26"/>
      <c r="N171" s="26"/>
      <c r="O171" s="32"/>
      <c r="P171" s="32"/>
      <c r="Q171" s="26"/>
      <c r="R171" s="32"/>
      <c r="S171" s="31"/>
      <c r="T171" s="32"/>
      <c r="U171" s="32"/>
      <c r="V171" s="32"/>
      <c r="W171" s="32"/>
      <c r="X171" s="32"/>
      <c r="Y171" s="32"/>
      <c r="Z171" s="32"/>
      <c r="AA171" s="32"/>
      <c r="AB171" s="32"/>
    </row>
    <row r="172">
      <c r="A172" s="26"/>
      <c r="B172" s="26"/>
      <c r="C172" s="32"/>
      <c r="D172" s="32"/>
      <c r="E172" s="32"/>
      <c r="F172" s="32"/>
      <c r="G172" s="32"/>
      <c r="H172" s="26"/>
      <c r="I172" s="32"/>
      <c r="J172" s="32"/>
      <c r="K172" s="32"/>
      <c r="L172" s="26"/>
      <c r="M172" s="26"/>
      <c r="N172" s="26"/>
      <c r="O172" s="32"/>
      <c r="P172" s="32"/>
      <c r="Q172" s="26"/>
      <c r="R172" s="32"/>
      <c r="S172" s="31"/>
      <c r="T172" s="32"/>
      <c r="U172" s="32"/>
      <c r="V172" s="32"/>
      <c r="W172" s="32"/>
      <c r="X172" s="32"/>
      <c r="Y172" s="32"/>
      <c r="Z172" s="32"/>
      <c r="AA172" s="32"/>
      <c r="AB172" s="32"/>
    </row>
    <row r="173">
      <c r="A173" s="26"/>
      <c r="B173" s="26"/>
      <c r="C173" s="32"/>
      <c r="D173" s="32"/>
      <c r="E173" s="32"/>
      <c r="F173" s="32"/>
      <c r="G173" s="32"/>
      <c r="H173" s="26"/>
      <c r="I173" s="32"/>
      <c r="J173" s="32"/>
      <c r="K173" s="32"/>
      <c r="L173" s="26"/>
      <c r="M173" s="26"/>
      <c r="N173" s="26"/>
      <c r="O173" s="32"/>
      <c r="P173" s="32"/>
      <c r="Q173" s="26"/>
      <c r="R173" s="32"/>
      <c r="S173" s="31"/>
      <c r="T173" s="32"/>
      <c r="U173" s="32"/>
      <c r="V173" s="32"/>
      <c r="W173" s="32"/>
      <c r="X173" s="32"/>
      <c r="Y173" s="32"/>
      <c r="Z173" s="32"/>
      <c r="AA173" s="32"/>
      <c r="AB173" s="32"/>
    </row>
    <row r="174">
      <c r="A174" s="26"/>
      <c r="B174" s="26"/>
      <c r="C174" s="32"/>
      <c r="D174" s="32"/>
      <c r="E174" s="32"/>
      <c r="F174" s="32"/>
      <c r="G174" s="32"/>
      <c r="H174" s="26"/>
      <c r="I174" s="32"/>
      <c r="J174" s="32"/>
      <c r="K174" s="32"/>
      <c r="L174" s="26"/>
      <c r="M174" s="26"/>
      <c r="N174" s="26"/>
      <c r="O174" s="32"/>
      <c r="P174" s="32"/>
      <c r="Q174" s="26"/>
      <c r="R174" s="32"/>
      <c r="S174" s="31"/>
      <c r="T174" s="32"/>
      <c r="U174" s="32"/>
      <c r="V174" s="32"/>
      <c r="W174" s="32"/>
      <c r="X174" s="32"/>
      <c r="Y174" s="32"/>
      <c r="Z174" s="32"/>
      <c r="AA174" s="32"/>
      <c r="AB174" s="32"/>
    </row>
    <row r="175">
      <c r="A175" s="26"/>
      <c r="B175" s="26"/>
      <c r="C175" s="32"/>
      <c r="D175" s="32"/>
      <c r="E175" s="32"/>
      <c r="F175" s="32"/>
      <c r="G175" s="32"/>
      <c r="H175" s="26"/>
      <c r="I175" s="32"/>
      <c r="J175" s="32"/>
      <c r="K175" s="32"/>
      <c r="L175" s="26"/>
      <c r="M175" s="26"/>
      <c r="N175" s="26"/>
      <c r="O175" s="32"/>
      <c r="P175" s="32"/>
      <c r="Q175" s="26"/>
      <c r="R175" s="32"/>
      <c r="S175" s="31"/>
      <c r="T175" s="32"/>
      <c r="U175" s="32"/>
      <c r="V175" s="32"/>
      <c r="W175" s="32"/>
      <c r="X175" s="32"/>
      <c r="Y175" s="32"/>
      <c r="Z175" s="32"/>
      <c r="AA175" s="32"/>
      <c r="AB175" s="32"/>
    </row>
    <row r="176">
      <c r="A176" s="26"/>
      <c r="B176" s="26"/>
      <c r="C176" s="32"/>
      <c r="D176" s="32"/>
      <c r="E176" s="32"/>
      <c r="F176" s="32"/>
      <c r="G176" s="32"/>
      <c r="H176" s="26"/>
      <c r="I176" s="32"/>
      <c r="J176" s="32"/>
      <c r="K176" s="32"/>
      <c r="L176" s="26"/>
      <c r="M176" s="26"/>
      <c r="N176" s="26"/>
      <c r="O176" s="32"/>
      <c r="P176" s="32"/>
      <c r="Q176" s="26"/>
      <c r="R176" s="32"/>
      <c r="S176" s="31"/>
      <c r="T176" s="32"/>
      <c r="U176" s="32"/>
      <c r="V176" s="32"/>
      <c r="W176" s="32"/>
      <c r="X176" s="32"/>
      <c r="Y176" s="32"/>
      <c r="Z176" s="32"/>
      <c r="AA176" s="32"/>
      <c r="AB176" s="32"/>
    </row>
    <row r="177">
      <c r="A177" s="26"/>
      <c r="B177" s="26"/>
      <c r="C177" s="32"/>
      <c r="D177" s="32"/>
      <c r="E177" s="32"/>
      <c r="F177" s="32"/>
      <c r="G177" s="32"/>
      <c r="H177" s="26"/>
      <c r="I177" s="32"/>
      <c r="J177" s="32"/>
      <c r="K177" s="32"/>
      <c r="L177" s="26"/>
      <c r="M177" s="26"/>
      <c r="N177" s="26"/>
      <c r="O177" s="32"/>
      <c r="P177" s="32"/>
      <c r="Q177" s="26"/>
      <c r="R177" s="32"/>
      <c r="S177" s="31"/>
      <c r="T177" s="32"/>
      <c r="U177" s="32"/>
      <c r="V177" s="32"/>
      <c r="W177" s="32"/>
      <c r="X177" s="32"/>
      <c r="Y177" s="32"/>
      <c r="Z177" s="32"/>
      <c r="AA177" s="32"/>
      <c r="AB177" s="32"/>
    </row>
    <row r="178">
      <c r="A178" s="26"/>
      <c r="B178" s="26"/>
      <c r="C178" s="32"/>
      <c r="D178" s="32"/>
      <c r="E178" s="32"/>
      <c r="F178" s="32"/>
      <c r="G178" s="32"/>
      <c r="H178" s="26"/>
      <c r="I178" s="32"/>
      <c r="J178" s="32"/>
      <c r="K178" s="32"/>
      <c r="L178" s="26"/>
      <c r="M178" s="26"/>
      <c r="N178" s="26"/>
      <c r="O178" s="32"/>
      <c r="P178" s="32"/>
      <c r="Q178" s="26"/>
      <c r="R178" s="32"/>
      <c r="S178" s="31"/>
      <c r="T178" s="32"/>
      <c r="U178" s="32"/>
      <c r="V178" s="32"/>
      <c r="W178" s="32"/>
      <c r="X178" s="32"/>
      <c r="Y178" s="32"/>
      <c r="Z178" s="32"/>
      <c r="AA178" s="32"/>
      <c r="AB178" s="32"/>
    </row>
    <row r="179">
      <c r="A179" s="26"/>
      <c r="B179" s="26"/>
      <c r="C179" s="32"/>
      <c r="D179" s="32"/>
      <c r="E179" s="32"/>
      <c r="F179" s="32"/>
      <c r="G179" s="32"/>
      <c r="H179" s="26"/>
      <c r="I179" s="32"/>
      <c r="J179" s="32"/>
      <c r="K179" s="32"/>
      <c r="L179" s="26"/>
      <c r="M179" s="26"/>
      <c r="N179" s="26"/>
      <c r="O179" s="32"/>
      <c r="P179" s="32"/>
      <c r="Q179" s="26"/>
      <c r="R179" s="32"/>
      <c r="S179" s="31"/>
      <c r="T179" s="32"/>
      <c r="U179" s="32"/>
      <c r="V179" s="32"/>
      <c r="W179" s="32"/>
      <c r="X179" s="32"/>
      <c r="Y179" s="32"/>
      <c r="Z179" s="32"/>
      <c r="AA179" s="32"/>
      <c r="AB179" s="32"/>
    </row>
    <row r="180">
      <c r="A180" s="26"/>
      <c r="B180" s="26"/>
      <c r="C180" s="32"/>
      <c r="D180" s="32"/>
      <c r="E180" s="32"/>
      <c r="F180" s="32"/>
      <c r="G180" s="32"/>
      <c r="H180" s="26"/>
      <c r="I180" s="32"/>
      <c r="J180" s="32"/>
      <c r="K180" s="32"/>
      <c r="L180" s="26"/>
      <c r="M180" s="26"/>
      <c r="N180" s="26"/>
      <c r="O180" s="32"/>
      <c r="P180" s="32"/>
      <c r="Q180" s="26"/>
      <c r="R180" s="32"/>
      <c r="S180" s="31"/>
      <c r="T180" s="32"/>
      <c r="U180" s="32"/>
      <c r="V180" s="32"/>
      <c r="W180" s="32"/>
      <c r="X180" s="32"/>
      <c r="Y180" s="32"/>
      <c r="Z180" s="32"/>
      <c r="AA180" s="32"/>
      <c r="AB180" s="32"/>
    </row>
    <row r="181">
      <c r="A181" s="26"/>
      <c r="B181" s="26"/>
      <c r="C181" s="32"/>
      <c r="D181" s="32"/>
      <c r="E181" s="32"/>
      <c r="F181" s="32"/>
      <c r="G181" s="32"/>
      <c r="H181" s="26"/>
      <c r="I181" s="32"/>
      <c r="J181" s="32"/>
      <c r="K181" s="32"/>
      <c r="L181" s="26"/>
      <c r="M181" s="26"/>
      <c r="N181" s="26"/>
      <c r="O181" s="32"/>
      <c r="P181" s="32"/>
      <c r="Q181" s="26"/>
      <c r="R181" s="32"/>
      <c r="S181" s="31"/>
      <c r="T181" s="32"/>
      <c r="U181" s="32"/>
      <c r="V181" s="32"/>
      <c r="W181" s="32"/>
      <c r="X181" s="32"/>
      <c r="Y181" s="32"/>
      <c r="Z181" s="32"/>
      <c r="AA181" s="32"/>
      <c r="AB181" s="32"/>
    </row>
    <row r="182">
      <c r="A182" s="26"/>
      <c r="B182" s="26"/>
      <c r="C182" s="32"/>
      <c r="D182" s="32"/>
      <c r="E182" s="32"/>
      <c r="F182" s="32"/>
      <c r="G182" s="32"/>
      <c r="H182" s="26"/>
      <c r="I182" s="32"/>
      <c r="J182" s="32"/>
      <c r="K182" s="32"/>
      <c r="L182" s="26"/>
      <c r="M182" s="26"/>
      <c r="N182" s="26"/>
      <c r="O182" s="32"/>
      <c r="P182" s="32"/>
      <c r="Q182" s="26"/>
      <c r="R182" s="32"/>
      <c r="S182" s="31"/>
      <c r="T182" s="32"/>
      <c r="U182" s="32"/>
      <c r="V182" s="32"/>
      <c r="W182" s="32"/>
      <c r="X182" s="32"/>
      <c r="Y182" s="32"/>
      <c r="Z182" s="32"/>
      <c r="AA182" s="32"/>
      <c r="AB182" s="32"/>
    </row>
    <row r="183">
      <c r="A183" s="26"/>
      <c r="B183" s="26"/>
      <c r="C183" s="32"/>
      <c r="D183" s="32"/>
      <c r="E183" s="32"/>
      <c r="F183" s="32"/>
      <c r="G183" s="32"/>
      <c r="H183" s="26"/>
      <c r="I183" s="32"/>
      <c r="J183" s="32"/>
      <c r="K183" s="32"/>
      <c r="L183" s="26"/>
      <c r="M183" s="26"/>
      <c r="N183" s="26"/>
      <c r="O183" s="32"/>
      <c r="P183" s="32"/>
      <c r="Q183" s="26"/>
      <c r="R183" s="32"/>
      <c r="S183" s="31"/>
      <c r="T183" s="32"/>
      <c r="U183" s="32"/>
      <c r="V183" s="32"/>
      <c r="W183" s="32"/>
      <c r="X183" s="32"/>
      <c r="Y183" s="32"/>
      <c r="Z183" s="32"/>
      <c r="AA183" s="32"/>
      <c r="AB183" s="32"/>
    </row>
    <row r="184">
      <c r="A184" s="26"/>
      <c r="B184" s="26"/>
      <c r="C184" s="32"/>
      <c r="D184" s="32"/>
      <c r="E184" s="32"/>
      <c r="F184" s="32"/>
      <c r="G184" s="32"/>
      <c r="H184" s="26"/>
      <c r="I184" s="32"/>
      <c r="J184" s="32"/>
      <c r="K184" s="32"/>
      <c r="L184" s="26"/>
      <c r="M184" s="26"/>
      <c r="N184" s="26"/>
      <c r="O184" s="32"/>
      <c r="P184" s="32"/>
      <c r="Q184" s="26"/>
      <c r="R184" s="32"/>
      <c r="S184" s="31"/>
      <c r="T184" s="32"/>
      <c r="U184" s="32"/>
      <c r="V184" s="32"/>
      <c r="W184" s="32"/>
      <c r="X184" s="32"/>
      <c r="Y184" s="32"/>
      <c r="Z184" s="32"/>
      <c r="AA184" s="32"/>
      <c r="AB184" s="32"/>
    </row>
    <row r="185">
      <c r="A185" s="26"/>
      <c r="B185" s="26"/>
      <c r="C185" s="32"/>
      <c r="D185" s="32"/>
      <c r="E185" s="32"/>
      <c r="F185" s="32"/>
      <c r="G185" s="32"/>
      <c r="H185" s="26"/>
      <c r="I185" s="32"/>
      <c r="J185" s="32"/>
      <c r="K185" s="32"/>
      <c r="L185" s="26"/>
      <c r="M185" s="26"/>
      <c r="N185" s="26"/>
      <c r="O185" s="32"/>
      <c r="P185" s="32"/>
      <c r="Q185" s="26"/>
      <c r="R185" s="32"/>
      <c r="S185" s="31"/>
      <c r="T185" s="32"/>
      <c r="U185" s="32"/>
      <c r="V185" s="32"/>
      <c r="W185" s="32"/>
      <c r="X185" s="32"/>
      <c r="Y185" s="32"/>
      <c r="Z185" s="32"/>
      <c r="AA185" s="32"/>
      <c r="AB185" s="32"/>
    </row>
    <row r="186">
      <c r="A186" s="26"/>
      <c r="B186" s="26"/>
      <c r="C186" s="32"/>
      <c r="D186" s="32"/>
      <c r="E186" s="32"/>
      <c r="F186" s="32"/>
      <c r="G186" s="32"/>
      <c r="H186" s="26"/>
      <c r="I186" s="32"/>
      <c r="J186" s="32"/>
      <c r="K186" s="32"/>
      <c r="L186" s="26"/>
      <c r="M186" s="26"/>
      <c r="N186" s="26"/>
      <c r="O186" s="32"/>
      <c r="P186" s="32"/>
      <c r="Q186" s="26"/>
      <c r="R186" s="32"/>
      <c r="S186" s="31"/>
      <c r="T186" s="32"/>
      <c r="U186" s="32"/>
      <c r="V186" s="32"/>
      <c r="W186" s="32"/>
      <c r="X186" s="32"/>
      <c r="Y186" s="32"/>
      <c r="Z186" s="32"/>
      <c r="AA186" s="32"/>
      <c r="AB186" s="32"/>
    </row>
    <row r="187">
      <c r="A187" s="26"/>
      <c r="B187" s="26"/>
      <c r="C187" s="32"/>
      <c r="D187" s="32"/>
      <c r="E187" s="32"/>
      <c r="F187" s="32"/>
      <c r="G187" s="32"/>
      <c r="H187" s="26"/>
      <c r="I187" s="32"/>
      <c r="J187" s="32"/>
      <c r="K187" s="32"/>
      <c r="L187" s="26"/>
      <c r="M187" s="26"/>
      <c r="N187" s="26"/>
      <c r="O187" s="32"/>
      <c r="P187" s="32"/>
      <c r="Q187" s="26"/>
      <c r="R187" s="32"/>
      <c r="S187" s="31"/>
      <c r="T187" s="32"/>
      <c r="U187" s="32"/>
      <c r="V187" s="32"/>
      <c r="W187" s="32"/>
      <c r="X187" s="32"/>
      <c r="Y187" s="32"/>
      <c r="Z187" s="32"/>
      <c r="AA187" s="32"/>
      <c r="AB187" s="32"/>
    </row>
    <row r="188">
      <c r="A188" s="26"/>
      <c r="B188" s="26"/>
      <c r="C188" s="32"/>
      <c r="D188" s="32"/>
      <c r="E188" s="32"/>
      <c r="F188" s="32"/>
      <c r="G188" s="32"/>
      <c r="H188" s="26"/>
      <c r="I188" s="32"/>
      <c r="J188" s="32"/>
      <c r="K188" s="32"/>
      <c r="L188" s="26"/>
      <c r="M188" s="26"/>
      <c r="N188" s="26"/>
      <c r="O188" s="32"/>
      <c r="P188" s="32"/>
      <c r="Q188" s="26"/>
      <c r="R188" s="32"/>
      <c r="S188" s="31"/>
      <c r="T188" s="32"/>
      <c r="U188" s="32"/>
      <c r="V188" s="32"/>
      <c r="W188" s="32"/>
      <c r="X188" s="32"/>
      <c r="Y188" s="32"/>
      <c r="Z188" s="32"/>
      <c r="AA188" s="32"/>
      <c r="AB188" s="32"/>
    </row>
    <row r="189">
      <c r="A189" s="26"/>
      <c r="B189" s="26"/>
      <c r="C189" s="32"/>
      <c r="D189" s="32"/>
      <c r="E189" s="32"/>
      <c r="F189" s="32"/>
      <c r="G189" s="32"/>
      <c r="H189" s="26"/>
      <c r="I189" s="32"/>
      <c r="J189" s="32"/>
      <c r="K189" s="32"/>
      <c r="L189" s="26"/>
      <c r="M189" s="26"/>
      <c r="N189" s="26"/>
      <c r="O189" s="32"/>
      <c r="P189" s="32"/>
      <c r="Q189" s="26"/>
      <c r="R189" s="32"/>
      <c r="S189" s="31"/>
      <c r="T189" s="32"/>
      <c r="U189" s="32"/>
      <c r="V189" s="32"/>
      <c r="W189" s="32"/>
      <c r="X189" s="32"/>
      <c r="Y189" s="32"/>
      <c r="Z189" s="32"/>
      <c r="AA189" s="32"/>
      <c r="AB189" s="32"/>
    </row>
    <row r="190">
      <c r="A190" s="26"/>
      <c r="B190" s="26"/>
      <c r="C190" s="32"/>
      <c r="D190" s="32"/>
      <c r="E190" s="32"/>
      <c r="F190" s="32"/>
      <c r="G190" s="32"/>
      <c r="H190" s="26"/>
      <c r="I190" s="32"/>
      <c r="J190" s="32"/>
      <c r="K190" s="32"/>
      <c r="L190" s="26"/>
      <c r="M190" s="26"/>
      <c r="N190" s="26"/>
      <c r="O190" s="32"/>
      <c r="P190" s="32"/>
      <c r="Q190" s="26"/>
      <c r="R190" s="32"/>
      <c r="S190" s="31"/>
      <c r="T190" s="32"/>
      <c r="U190" s="32"/>
      <c r="V190" s="32"/>
      <c r="W190" s="32"/>
      <c r="X190" s="32"/>
      <c r="Y190" s="32"/>
      <c r="Z190" s="32"/>
      <c r="AA190" s="32"/>
      <c r="AB190" s="32"/>
    </row>
    <row r="191">
      <c r="A191" s="26"/>
      <c r="B191" s="26"/>
      <c r="C191" s="32"/>
      <c r="D191" s="32"/>
      <c r="E191" s="32"/>
      <c r="F191" s="32"/>
      <c r="G191" s="32"/>
      <c r="H191" s="26"/>
      <c r="I191" s="32"/>
      <c r="J191" s="32"/>
      <c r="K191" s="32"/>
      <c r="L191" s="26"/>
      <c r="M191" s="26"/>
      <c r="N191" s="26"/>
      <c r="O191" s="32"/>
      <c r="P191" s="32"/>
      <c r="Q191" s="26"/>
      <c r="R191" s="32"/>
      <c r="S191" s="31"/>
      <c r="T191" s="32"/>
      <c r="U191" s="32"/>
      <c r="V191" s="32"/>
      <c r="W191" s="32"/>
      <c r="X191" s="32"/>
      <c r="Y191" s="32"/>
      <c r="Z191" s="32"/>
      <c r="AA191" s="32"/>
      <c r="AB191" s="32"/>
    </row>
    <row r="192">
      <c r="A192" s="26"/>
      <c r="B192" s="26"/>
      <c r="C192" s="32"/>
      <c r="D192" s="32"/>
      <c r="E192" s="32"/>
      <c r="F192" s="32"/>
      <c r="G192" s="32"/>
      <c r="H192" s="26"/>
      <c r="I192" s="32"/>
      <c r="J192" s="32"/>
      <c r="K192" s="32"/>
      <c r="L192" s="26"/>
      <c r="M192" s="26"/>
      <c r="N192" s="26"/>
      <c r="O192" s="32"/>
      <c r="P192" s="32"/>
      <c r="Q192" s="26"/>
      <c r="R192" s="32"/>
      <c r="S192" s="31"/>
      <c r="T192" s="32"/>
      <c r="U192" s="32"/>
      <c r="V192" s="32"/>
      <c r="W192" s="32"/>
      <c r="X192" s="32"/>
      <c r="Y192" s="32"/>
      <c r="Z192" s="32"/>
      <c r="AA192" s="32"/>
      <c r="AB192" s="32"/>
    </row>
    <row r="193">
      <c r="A193" s="26"/>
      <c r="B193" s="26"/>
      <c r="C193" s="32"/>
      <c r="D193" s="32"/>
      <c r="E193" s="32"/>
      <c r="F193" s="32"/>
      <c r="G193" s="32"/>
      <c r="H193" s="26"/>
      <c r="I193" s="32"/>
      <c r="J193" s="32"/>
      <c r="K193" s="32"/>
      <c r="L193" s="26"/>
      <c r="M193" s="26"/>
      <c r="N193" s="26"/>
      <c r="O193" s="32"/>
      <c r="P193" s="32"/>
      <c r="Q193" s="26"/>
      <c r="R193" s="32"/>
      <c r="S193" s="31"/>
      <c r="T193" s="32"/>
      <c r="U193" s="32"/>
      <c r="V193" s="32"/>
      <c r="W193" s="32"/>
      <c r="X193" s="32"/>
      <c r="Y193" s="32"/>
      <c r="Z193" s="32"/>
      <c r="AA193" s="32"/>
      <c r="AB193" s="32"/>
    </row>
    <row r="194">
      <c r="A194" s="26"/>
      <c r="B194" s="26"/>
      <c r="C194" s="32"/>
      <c r="D194" s="32"/>
      <c r="E194" s="32"/>
      <c r="F194" s="32"/>
      <c r="G194" s="32"/>
      <c r="H194" s="26"/>
      <c r="I194" s="32"/>
      <c r="J194" s="32"/>
      <c r="K194" s="32"/>
      <c r="L194" s="26"/>
      <c r="M194" s="26"/>
      <c r="N194" s="26"/>
      <c r="O194" s="32"/>
      <c r="P194" s="32"/>
      <c r="Q194" s="26"/>
      <c r="R194" s="32"/>
      <c r="S194" s="31"/>
      <c r="T194" s="32"/>
      <c r="U194" s="32"/>
      <c r="V194" s="32"/>
      <c r="W194" s="32"/>
      <c r="X194" s="32"/>
      <c r="Y194" s="32"/>
      <c r="Z194" s="32"/>
      <c r="AA194" s="32"/>
      <c r="AB194" s="32"/>
    </row>
    <row r="195">
      <c r="A195" s="26"/>
      <c r="B195" s="26"/>
      <c r="C195" s="32"/>
      <c r="D195" s="32"/>
      <c r="E195" s="32"/>
      <c r="F195" s="32"/>
      <c r="G195" s="32"/>
      <c r="H195" s="26"/>
      <c r="I195" s="32"/>
      <c r="J195" s="32"/>
      <c r="K195" s="32"/>
      <c r="L195" s="26"/>
      <c r="M195" s="26"/>
      <c r="N195" s="26"/>
      <c r="O195" s="32"/>
      <c r="P195" s="32"/>
      <c r="Q195" s="26"/>
      <c r="R195" s="32"/>
      <c r="S195" s="31"/>
      <c r="T195" s="32"/>
      <c r="U195" s="32"/>
      <c r="V195" s="32"/>
      <c r="W195" s="32"/>
      <c r="X195" s="32"/>
      <c r="Y195" s="32"/>
      <c r="Z195" s="32"/>
      <c r="AA195" s="32"/>
      <c r="AB195" s="32"/>
    </row>
    <row r="196">
      <c r="A196" s="26"/>
      <c r="B196" s="26"/>
      <c r="C196" s="32"/>
      <c r="D196" s="32"/>
      <c r="E196" s="32"/>
      <c r="F196" s="32"/>
      <c r="G196" s="32"/>
      <c r="H196" s="26"/>
      <c r="I196" s="32"/>
      <c r="J196" s="32"/>
      <c r="K196" s="32"/>
      <c r="L196" s="26"/>
      <c r="M196" s="26"/>
      <c r="N196" s="26"/>
      <c r="O196" s="32"/>
      <c r="P196" s="32"/>
      <c r="Q196" s="26"/>
      <c r="R196" s="32"/>
      <c r="S196" s="31"/>
      <c r="T196" s="32"/>
      <c r="U196" s="32"/>
      <c r="V196" s="32"/>
      <c r="W196" s="32"/>
      <c r="X196" s="32"/>
      <c r="Y196" s="32"/>
      <c r="Z196" s="32"/>
      <c r="AA196" s="32"/>
      <c r="AB196" s="32"/>
    </row>
    <row r="197">
      <c r="A197" s="26"/>
      <c r="B197" s="26"/>
      <c r="C197" s="32"/>
      <c r="D197" s="32"/>
      <c r="E197" s="32"/>
      <c r="F197" s="32"/>
      <c r="G197" s="32"/>
      <c r="H197" s="26"/>
      <c r="I197" s="32"/>
      <c r="J197" s="32"/>
      <c r="K197" s="32"/>
      <c r="L197" s="26"/>
      <c r="M197" s="26"/>
      <c r="N197" s="26"/>
      <c r="O197" s="32"/>
      <c r="P197" s="32"/>
      <c r="Q197" s="26"/>
      <c r="R197" s="32"/>
      <c r="S197" s="31"/>
      <c r="T197" s="32"/>
      <c r="U197" s="32"/>
      <c r="V197" s="32"/>
      <c r="W197" s="32"/>
      <c r="X197" s="32"/>
      <c r="Y197" s="32"/>
      <c r="Z197" s="32"/>
      <c r="AA197" s="32"/>
      <c r="AB197" s="32"/>
    </row>
    <row r="198">
      <c r="A198" s="26"/>
      <c r="B198" s="26"/>
      <c r="C198" s="32"/>
      <c r="D198" s="32"/>
      <c r="E198" s="32"/>
      <c r="F198" s="32"/>
      <c r="G198" s="32"/>
      <c r="H198" s="26"/>
      <c r="I198" s="32"/>
      <c r="J198" s="32"/>
      <c r="K198" s="32"/>
      <c r="L198" s="26"/>
      <c r="M198" s="26"/>
      <c r="N198" s="26"/>
      <c r="O198" s="32"/>
      <c r="P198" s="32"/>
      <c r="Q198" s="26"/>
      <c r="R198" s="32"/>
      <c r="S198" s="31"/>
      <c r="T198" s="32"/>
      <c r="U198" s="32"/>
      <c r="V198" s="32"/>
      <c r="W198" s="32"/>
      <c r="X198" s="32"/>
      <c r="Y198" s="32"/>
      <c r="Z198" s="32"/>
      <c r="AA198" s="32"/>
      <c r="AB198" s="32"/>
    </row>
    <row r="199">
      <c r="A199" s="26"/>
      <c r="B199" s="26"/>
      <c r="C199" s="32"/>
      <c r="D199" s="32"/>
      <c r="E199" s="32"/>
      <c r="F199" s="32"/>
      <c r="G199" s="32"/>
      <c r="H199" s="26"/>
      <c r="I199" s="32"/>
      <c r="J199" s="32"/>
      <c r="K199" s="32"/>
      <c r="L199" s="26"/>
      <c r="M199" s="26"/>
      <c r="N199" s="26"/>
      <c r="O199" s="32"/>
      <c r="P199" s="32"/>
      <c r="Q199" s="26"/>
      <c r="R199" s="32"/>
      <c r="S199" s="31"/>
      <c r="T199" s="32"/>
      <c r="U199" s="32"/>
      <c r="V199" s="32"/>
      <c r="W199" s="32"/>
      <c r="X199" s="32"/>
      <c r="Y199" s="32"/>
      <c r="Z199" s="32"/>
      <c r="AA199" s="32"/>
      <c r="AB199" s="32"/>
    </row>
    <row r="200">
      <c r="A200" s="26"/>
      <c r="B200" s="26"/>
      <c r="C200" s="32"/>
      <c r="D200" s="32"/>
      <c r="E200" s="32"/>
      <c r="F200" s="32"/>
      <c r="G200" s="32"/>
      <c r="H200" s="26"/>
      <c r="I200" s="32"/>
      <c r="J200" s="32"/>
      <c r="K200" s="32"/>
      <c r="L200" s="26"/>
      <c r="M200" s="26"/>
      <c r="N200" s="26"/>
      <c r="O200" s="32"/>
      <c r="P200" s="32"/>
      <c r="Q200" s="26"/>
      <c r="R200" s="32"/>
      <c r="S200" s="31"/>
      <c r="T200" s="32"/>
      <c r="U200" s="32"/>
      <c r="V200" s="32"/>
      <c r="W200" s="32"/>
      <c r="X200" s="32"/>
      <c r="Y200" s="32"/>
      <c r="Z200" s="32"/>
      <c r="AA200" s="32"/>
      <c r="AB200" s="32"/>
    </row>
    <row r="201">
      <c r="A201" s="26"/>
      <c r="B201" s="26"/>
      <c r="C201" s="32"/>
      <c r="D201" s="32"/>
      <c r="E201" s="32"/>
      <c r="F201" s="32"/>
      <c r="G201" s="32"/>
      <c r="H201" s="26"/>
      <c r="I201" s="32"/>
      <c r="J201" s="32"/>
      <c r="K201" s="32"/>
      <c r="L201" s="26"/>
      <c r="M201" s="26"/>
      <c r="N201" s="26"/>
      <c r="O201" s="32"/>
      <c r="P201" s="32"/>
      <c r="Q201" s="26"/>
      <c r="R201" s="32"/>
      <c r="S201" s="31"/>
      <c r="T201" s="32"/>
      <c r="U201" s="32"/>
      <c r="V201" s="32"/>
      <c r="W201" s="32"/>
      <c r="X201" s="32"/>
      <c r="Y201" s="32"/>
      <c r="Z201" s="32"/>
      <c r="AA201" s="32"/>
      <c r="AB201" s="32"/>
    </row>
    <row r="202">
      <c r="A202" s="26"/>
      <c r="B202" s="26"/>
      <c r="C202" s="32"/>
      <c r="D202" s="32"/>
      <c r="E202" s="32"/>
      <c r="F202" s="32"/>
      <c r="G202" s="32"/>
      <c r="H202" s="26"/>
      <c r="I202" s="32"/>
      <c r="J202" s="32"/>
      <c r="K202" s="32"/>
      <c r="L202" s="26"/>
      <c r="M202" s="26"/>
      <c r="N202" s="26"/>
      <c r="O202" s="32"/>
      <c r="P202" s="32"/>
      <c r="Q202" s="26"/>
      <c r="R202" s="32"/>
      <c r="S202" s="31"/>
      <c r="T202" s="32"/>
      <c r="U202" s="32"/>
      <c r="V202" s="32"/>
      <c r="W202" s="32"/>
      <c r="X202" s="32"/>
      <c r="Y202" s="32"/>
      <c r="Z202" s="32"/>
      <c r="AA202" s="32"/>
      <c r="AB202" s="32"/>
    </row>
    <row r="203">
      <c r="A203" s="26"/>
      <c r="B203" s="26"/>
      <c r="C203" s="32"/>
      <c r="D203" s="32"/>
      <c r="E203" s="32"/>
      <c r="F203" s="32"/>
      <c r="G203" s="32"/>
      <c r="H203" s="26"/>
      <c r="I203" s="32"/>
      <c r="J203" s="32"/>
      <c r="K203" s="32"/>
      <c r="L203" s="26"/>
      <c r="M203" s="26"/>
      <c r="N203" s="26"/>
      <c r="O203" s="32"/>
      <c r="P203" s="32"/>
      <c r="Q203" s="26"/>
      <c r="R203" s="32"/>
      <c r="S203" s="31"/>
      <c r="T203" s="32"/>
      <c r="U203" s="32"/>
      <c r="V203" s="32"/>
      <c r="W203" s="32"/>
      <c r="X203" s="32"/>
      <c r="Y203" s="32"/>
      <c r="Z203" s="32"/>
      <c r="AA203" s="32"/>
      <c r="AB203" s="32"/>
    </row>
    <row r="204">
      <c r="A204" s="26"/>
      <c r="B204" s="26"/>
      <c r="C204" s="32"/>
      <c r="D204" s="32"/>
      <c r="E204" s="32"/>
      <c r="F204" s="32"/>
      <c r="G204" s="32"/>
      <c r="H204" s="26"/>
      <c r="I204" s="32"/>
      <c r="J204" s="32"/>
      <c r="K204" s="32"/>
      <c r="L204" s="26"/>
      <c r="M204" s="26"/>
      <c r="N204" s="26"/>
      <c r="O204" s="32"/>
      <c r="P204" s="32"/>
      <c r="Q204" s="26"/>
      <c r="R204" s="32"/>
      <c r="S204" s="31"/>
      <c r="T204" s="32"/>
      <c r="U204" s="32"/>
      <c r="V204" s="32"/>
      <c r="W204" s="32"/>
      <c r="X204" s="32"/>
      <c r="Y204" s="32"/>
      <c r="Z204" s="32"/>
      <c r="AA204" s="32"/>
      <c r="AB204" s="32"/>
    </row>
    <row r="205">
      <c r="A205" s="26"/>
      <c r="B205" s="26"/>
      <c r="C205" s="32"/>
      <c r="D205" s="32"/>
      <c r="E205" s="32"/>
      <c r="F205" s="32"/>
      <c r="G205" s="32"/>
      <c r="H205" s="26"/>
      <c r="I205" s="32"/>
      <c r="J205" s="32"/>
      <c r="K205" s="32"/>
      <c r="L205" s="26"/>
      <c r="M205" s="26"/>
      <c r="N205" s="26"/>
      <c r="O205" s="32"/>
      <c r="P205" s="32"/>
      <c r="Q205" s="26"/>
      <c r="R205" s="32"/>
      <c r="S205" s="31"/>
      <c r="T205" s="32"/>
      <c r="U205" s="32"/>
      <c r="V205" s="32"/>
      <c r="W205" s="32"/>
      <c r="X205" s="32"/>
      <c r="Y205" s="32"/>
      <c r="Z205" s="32"/>
      <c r="AA205" s="32"/>
      <c r="AB205" s="32"/>
    </row>
    <row r="206">
      <c r="A206" s="26"/>
      <c r="B206" s="26"/>
      <c r="C206" s="32"/>
      <c r="D206" s="32"/>
      <c r="E206" s="32"/>
      <c r="F206" s="32"/>
      <c r="G206" s="32"/>
      <c r="H206" s="26"/>
      <c r="I206" s="32"/>
      <c r="J206" s="32"/>
      <c r="K206" s="32"/>
      <c r="L206" s="26"/>
      <c r="M206" s="26"/>
      <c r="N206" s="26"/>
      <c r="O206" s="32"/>
      <c r="P206" s="32"/>
      <c r="Q206" s="26"/>
      <c r="R206" s="32"/>
      <c r="S206" s="31"/>
      <c r="T206" s="32"/>
      <c r="U206" s="32"/>
      <c r="V206" s="32"/>
      <c r="W206" s="32"/>
      <c r="X206" s="32"/>
      <c r="Y206" s="32"/>
      <c r="Z206" s="32"/>
      <c r="AA206" s="32"/>
      <c r="AB206" s="32"/>
    </row>
    <row r="207">
      <c r="A207" s="26"/>
      <c r="B207" s="26"/>
      <c r="C207" s="32"/>
      <c r="D207" s="32"/>
      <c r="E207" s="32"/>
      <c r="F207" s="32"/>
      <c r="G207" s="32"/>
      <c r="H207" s="26"/>
      <c r="I207" s="32"/>
      <c r="J207" s="32"/>
      <c r="K207" s="32"/>
      <c r="L207" s="26"/>
      <c r="M207" s="26"/>
      <c r="N207" s="26"/>
      <c r="O207" s="32"/>
      <c r="P207" s="32"/>
      <c r="Q207" s="26"/>
      <c r="R207" s="32"/>
      <c r="S207" s="31"/>
      <c r="T207" s="32"/>
      <c r="U207" s="32"/>
      <c r="V207" s="32"/>
      <c r="W207" s="32"/>
      <c r="X207" s="32"/>
      <c r="Y207" s="32"/>
      <c r="Z207" s="32"/>
      <c r="AA207" s="32"/>
      <c r="AB207" s="32"/>
    </row>
    <row r="208">
      <c r="A208" s="26"/>
      <c r="B208" s="26"/>
      <c r="C208" s="32"/>
      <c r="D208" s="32"/>
      <c r="E208" s="32"/>
      <c r="F208" s="32"/>
      <c r="G208" s="32"/>
      <c r="H208" s="26"/>
      <c r="I208" s="32"/>
      <c r="J208" s="32"/>
      <c r="K208" s="32"/>
      <c r="L208" s="26"/>
      <c r="M208" s="26"/>
      <c r="N208" s="26"/>
      <c r="O208" s="32"/>
      <c r="P208" s="32"/>
      <c r="Q208" s="26"/>
      <c r="R208" s="32"/>
      <c r="S208" s="31"/>
      <c r="T208" s="32"/>
      <c r="U208" s="32"/>
      <c r="V208" s="32"/>
      <c r="W208" s="32"/>
      <c r="X208" s="32"/>
      <c r="Y208" s="32"/>
      <c r="Z208" s="32"/>
      <c r="AA208" s="32"/>
      <c r="AB208" s="32"/>
    </row>
    <row r="209">
      <c r="A209" s="26"/>
      <c r="B209" s="26"/>
      <c r="C209" s="32"/>
      <c r="D209" s="32"/>
      <c r="E209" s="32"/>
      <c r="F209" s="32"/>
      <c r="G209" s="32"/>
      <c r="H209" s="26"/>
      <c r="I209" s="32"/>
      <c r="J209" s="32"/>
      <c r="K209" s="32"/>
      <c r="L209" s="26"/>
      <c r="M209" s="26"/>
      <c r="N209" s="26"/>
      <c r="O209" s="32"/>
      <c r="P209" s="32"/>
      <c r="Q209" s="26"/>
      <c r="R209" s="32"/>
      <c r="S209" s="31"/>
      <c r="T209" s="32"/>
      <c r="U209" s="32"/>
      <c r="V209" s="32"/>
      <c r="W209" s="32"/>
      <c r="X209" s="32"/>
      <c r="Y209" s="32"/>
      <c r="Z209" s="32"/>
      <c r="AA209" s="32"/>
      <c r="AB209" s="32"/>
    </row>
    <row r="210">
      <c r="A210" s="26"/>
      <c r="B210" s="26"/>
      <c r="C210" s="32"/>
      <c r="D210" s="32"/>
      <c r="E210" s="32"/>
      <c r="F210" s="32"/>
      <c r="G210" s="32"/>
      <c r="H210" s="26"/>
      <c r="I210" s="32"/>
      <c r="J210" s="32"/>
      <c r="K210" s="32"/>
      <c r="L210" s="26"/>
      <c r="M210" s="26"/>
      <c r="N210" s="26"/>
      <c r="O210" s="32"/>
      <c r="P210" s="32"/>
      <c r="Q210" s="26"/>
      <c r="R210" s="32"/>
      <c r="S210" s="31"/>
      <c r="T210" s="32"/>
      <c r="U210" s="32"/>
      <c r="V210" s="32"/>
      <c r="W210" s="32"/>
      <c r="X210" s="32"/>
      <c r="Y210" s="32"/>
      <c r="Z210" s="32"/>
      <c r="AA210" s="32"/>
      <c r="AB210" s="32"/>
    </row>
    <row r="211">
      <c r="A211" s="26"/>
      <c r="B211" s="26"/>
      <c r="C211" s="32"/>
      <c r="D211" s="32"/>
      <c r="E211" s="32"/>
      <c r="F211" s="32"/>
      <c r="G211" s="32"/>
      <c r="H211" s="26"/>
      <c r="I211" s="32"/>
      <c r="J211" s="32"/>
      <c r="K211" s="32"/>
      <c r="L211" s="26"/>
      <c r="M211" s="26"/>
      <c r="N211" s="26"/>
      <c r="O211" s="32"/>
      <c r="P211" s="32"/>
      <c r="Q211" s="26"/>
      <c r="R211" s="32"/>
      <c r="S211" s="31"/>
      <c r="T211" s="32"/>
      <c r="U211" s="32"/>
      <c r="V211" s="32"/>
      <c r="W211" s="32"/>
      <c r="X211" s="32"/>
      <c r="Y211" s="32"/>
      <c r="Z211" s="32"/>
      <c r="AA211" s="32"/>
      <c r="AB211" s="32"/>
    </row>
    <row r="212">
      <c r="A212" s="26"/>
      <c r="B212" s="26"/>
      <c r="C212" s="32"/>
      <c r="D212" s="32"/>
      <c r="E212" s="32"/>
      <c r="F212" s="32"/>
      <c r="G212" s="32"/>
      <c r="H212" s="26"/>
      <c r="I212" s="32"/>
      <c r="J212" s="32"/>
      <c r="K212" s="32"/>
      <c r="L212" s="26"/>
      <c r="M212" s="26"/>
      <c r="N212" s="26"/>
      <c r="O212" s="32"/>
      <c r="P212" s="32"/>
      <c r="Q212" s="26"/>
      <c r="R212" s="32"/>
      <c r="S212" s="31"/>
      <c r="T212" s="32"/>
      <c r="U212" s="32"/>
      <c r="V212" s="32"/>
      <c r="W212" s="32"/>
      <c r="X212" s="32"/>
      <c r="Y212" s="32"/>
      <c r="Z212" s="32"/>
      <c r="AA212" s="32"/>
      <c r="AB212" s="32"/>
    </row>
    <row r="213">
      <c r="A213" s="26"/>
      <c r="B213" s="26"/>
      <c r="C213" s="32"/>
      <c r="D213" s="32"/>
      <c r="E213" s="32"/>
      <c r="F213" s="32"/>
      <c r="G213" s="32"/>
      <c r="H213" s="26"/>
      <c r="I213" s="32"/>
      <c r="J213" s="32"/>
      <c r="K213" s="32"/>
      <c r="L213" s="26"/>
      <c r="M213" s="26"/>
      <c r="N213" s="26"/>
      <c r="O213" s="32"/>
      <c r="P213" s="32"/>
      <c r="Q213" s="26"/>
      <c r="R213" s="32"/>
      <c r="S213" s="31"/>
      <c r="T213" s="32"/>
      <c r="U213" s="32"/>
      <c r="V213" s="32"/>
      <c r="W213" s="32"/>
      <c r="X213" s="32"/>
      <c r="Y213" s="32"/>
      <c r="Z213" s="32"/>
      <c r="AA213" s="32"/>
      <c r="AB213" s="32"/>
    </row>
    <row r="214">
      <c r="A214" s="26"/>
      <c r="B214" s="26"/>
      <c r="C214" s="32"/>
      <c r="D214" s="32"/>
      <c r="E214" s="32"/>
      <c r="F214" s="32"/>
      <c r="G214" s="32"/>
      <c r="H214" s="26"/>
      <c r="I214" s="32"/>
      <c r="J214" s="32"/>
      <c r="K214" s="32"/>
      <c r="L214" s="26"/>
      <c r="M214" s="26"/>
      <c r="N214" s="26"/>
      <c r="O214" s="32"/>
      <c r="P214" s="32"/>
      <c r="Q214" s="26"/>
      <c r="R214" s="32"/>
      <c r="S214" s="31"/>
      <c r="T214" s="32"/>
      <c r="U214" s="32"/>
      <c r="V214" s="32"/>
      <c r="W214" s="32"/>
      <c r="X214" s="32"/>
      <c r="Y214" s="32"/>
      <c r="Z214" s="32"/>
      <c r="AA214" s="32"/>
      <c r="AB214" s="32"/>
    </row>
    <row r="215">
      <c r="A215" s="26"/>
      <c r="B215" s="26"/>
      <c r="C215" s="32"/>
      <c r="D215" s="32"/>
      <c r="E215" s="32"/>
      <c r="F215" s="32"/>
      <c r="G215" s="32"/>
      <c r="H215" s="26"/>
      <c r="I215" s="32"/>
      <c r="J215" s="32"/>
      <c r="K215" s="32"/>
      <c r="L215" s="26"/>
      <c r="M215" s="26"/>
      <c r="N215" s="26"/>
      <c r="O215" s="32"/>
      <c r="P215" s="32"/>
      <c r="Q215" s="26"/>
      <c r="R215" s="32"/>
      <c r="S215" s="31"/>
      <c r="T215" s="32"/>
      <c r="U215" s="32"/>
      <c r="V215" s="32"/>
      <c r="W215" s="32"/>
      <c r="X215" s="32"/>
      <c r="Y215" s="32"/>
      <c r="Z215" s="32"/>
      <c r="AA215" s="32"/>
      <c r="AB215" s="32"/>
    </row>
    <row r="216">
      <c r="A216" s="26"/>
      <c r="B216" s="26"/>
      <c r="C216" s="32"/>
      <c r="D216" s="32"/>
      <c r="E216" s="32"/>
      <c r="F216" s="32"/>
      <c r="G216" s="32"/>
      <c r="H216" s="26"/>
      <c r="I216" s="32"/>
      <c r="J216" s="32"/>
      <c r="K216" s="32"/>
      <c r="L216" s="26"/>
      <c r="M216" s="26"/>
      <c r="N216" s="26"/>
      <c r="O216" s="32"/>
      <c r="P216" s="32"/>
      <c r="Q216" s="26"/>
      <c r="R216" s="32"/>
      <c r="S216" s="31"/>
      <c r="T216" s="32"/>
      <c r="U216" s="32"/>
      <c r="V216" s="32"/>
      <c r="W216" s="32"/>
      <c r="X216" s="32"/>
      <c r="Y216" s="32"/>
      <c r="Z216" s="32"/>
      <c r="AA216" s="32"/>
      <c r="AB216" s="32"/>
    </row>
    <row r="217">
      <c r="A217" s="26"/>
      <c r="B217" s="26"/>
      <c r="C217" s="32"/>
      <c r="D217" s="32"/>
      <c r="E217" s="32"/>
      <c r="F217" s="32"/>
      <c r="G217" s="32"/>
      <c r="H217" s="26"/>
      <c r="I217" s="32"/>
      <c r="J217" s="32"/>
      <c r="K217" s="32"/>
      <c r="L217" s="26"/>
      <c r="M217" s="26"/>
      <c r="N217" s="26"/>
      <c r="O217" s="32"/>
      <c r="P217" s="32"/>
      <c r="Q217" s="26"/>
      <c r="R217" s="32"/>
      <c r="S217" s="31"/>
      <c r="T217" s="32"/>
      <c r="U217" s="32"/>
      <c r="V217" s="32"/>
      <c r="W217" s="32"/>
      <c r="X217" s="32"/>
      <c r="Y217" s="32"/>
      <c r="Z217" s="32"/>
      <c r="AA217" s="32"/>
      <c r="AB217" s="32"/>
    </row>
    <row r="218">
      <c r="A218" s="26"/>
      <c r="B218" s="26"/>
      <c r="C218" s="32"/>
      <c r="D218" s="32"/>
      <c r="E218" s="32"/>
      <c r="F218" s="32"/>
      <c r="G218" s="32"/>
      <c r="H218" s="26"/>
      <c r="I218" s="32"/>
      <c r="J218" s="32"/>
      <c r="K218" s="32"/>
      <c r="L218" s="26"/>
      <c r="M218" s="26"/>
      <c r="N218" s="26"/>
      <c r="O218" s="32"/>
      <c r="P218" s="32"/>
      <c r="Q218" s="26"/>
      <c r="R218" s="32"/>
      <c r="S218" s="31"/>
      <c r="T218" s="32"/>
      <c r="U218" s="32"/>
      <c r="V218" s="32"/>
      <c r="W218" s="32"/>
      <c r="X218" s="32"/>
      <c r="Y218" s="32"/>
      <c r="Z218" s="32"/>
      <c r="AA218" s="32"/>
      <c r="AB218" s="32"/>
    </row>
    <row r="219">
      <c r="A219" s="26"/>
      <c r="B219" s="26"/>
      <c r="C219" s="32"/>
      <c r="D219" s="32"/>
      <c r="E219" s="32"/>
      <c r="F219" s="32"/>
      <c r="G219" s="32"/>
      <c r="H219" s="26"/>
      <c r="I219" s="32"/>
      <c r="J219" s="32"/>
      <c r="K219" s="32"/>
      <c r="L219" s="26"/>
      <c r="M219" s="26"/>
      <c r="N219" s="26"/>
      <c r="O219" s="32"/>
      <c r="P219" s="32"/>
      <c r="Q219" s="26"/>
      <c r="R219" s="32"/>
      <c r="S219" s="31"/>
      <c r="T219" s="32"/>
      <c r="U219" s="32"/>
      <c r="V219" s="32"/>
      <c r="W219" s="32"/>
      <c r="X219" s="32"/>
      <c r="Y219" s="32"/>
      <c r="Z219" s="32"/>
      <c r="AA219" s="32"/>
      <c r="AB219" s="32"/>
    </row>
    <row r="220">
      <c r="A220" s="26"/>
      <c r="B220" s="26"/>
      <c r="C220" s="32"/>
      <c r="D220" s="32"/>
      <c r="E220" s="32"/>
      <c r="F220" s="32"/>
      <c r="G220" s="32"/>
      <c r="H220" s="26"/>
      <c r="I220" s="32"/>
      <c r="J220" s="32"/>
      <c r="K220" s="32"/>
      <c r="L220" s="26"/>
      <c r="M220" s="26"/>
      <c r="N220" s="26"/>
      <c r="O220" s="32"/>
      <c r="P220" s="32"/>
      <c r="Q220" s="26"/>
      <c r="R220" s="32"/>
      <c r="S220" s="31"/>
      <c r="T220" s="32"/>
      <c r="U220" s="32"/>
      <c r="V220" s="32"/>
      <c r="W220" s="32"/>
      <c r="X220" s="32"/>
      <c r="Y220" s="32"/>
      <c r="Z220" s="32"/>
      <c r="AA220" s="32"/>
      <c r="AB220" s="32"/>
    </row>
    <row r="221">
      <c r="A221" s="26"/>
      <c r="B221" s="26"/>
      <c r="C221" s="32"/>
      <c r="D221" s="32"/>
      <c r="E221" s="32"/>
      <c r="F221" s="32"/>
      <c r="G221" s="32"/>
      <c r="H221" s="26"/>
      <c r="I221" s="32"/>
      <c r="J221" s="32"/>
      <c r="K221" s="32"/>
      <c r="L221" s="26"/>
      <c r="M221" s="26"/>
      <c r="N221" s="26"/>
      <c r="O221" s="32"/>
      <c r="P221" s="32"/>
      <c r="Q221" s="26"/>
      <c r="R221" s="32"/>
      <c r="S221" s="31"/>
      <c r="T221" s="32"/>
      <c r="U221" s="32"/>
      <c r="V221" s="32"/>
      <c r="W221" s="32"/>
      <c r="X221" s="32"/>
      <c r="Y221" s="32"/>
      <c r="Z221" s="32"/>
      <c r="AA221" s="32"/>
      <c r="AB221" s="32"/>
    </row>
    <row r="222">
      <c r="A222" s="26"/>
      <c r="B222" s="26"/>
      <c r="C222" s="32"/>
      <c r="D222" s="32"/>
      <c r="E222" s="32"/>
      <c r="F222" s="32"/>
      <c r="G222" s="32"/>
      <c r="H222" s="26"/>
      <c r="I222" s="32"/>
      <c r="J222" s="32"/>
      <c r="K222" s="32"/>
      <c r="L222" s="26"/>
      <c r="M222" s="26"/>
      <c r="N222" s="26"/>
      <c r="O222" s="32"/>
      <c r="P222" s="32"/>
      <c r="Q222" s="26"/>
      <c r="R222" s="32"/>
      <c r="S222" s="31"/>
      <c r="T222" s="32"/>
      <c r="U222" s="32"/>
      <c r="V222" s="32"/>
      <c r="W222" s="32"/>
      <c r="X222" s="32"/>
      <c r="Y222" s="32"/>
      <c r="Z222" s="32"/>
      <c r="AA222" s="32"/>
      <c r="AB222" s="32"/>
    </row>
    <row r="223">
      <c r="A223" s="26"/>
      <c r="B223" s="26"/>
      <c r="C223" s="32"/>
      <c r="D223" s="32"/>
      <c r="E223" s="32"/>
      <c r="F223" s="32"/>
      <c r="G223" s="32"/>
      <c r="H223" s="26"/>
      <c r="I223" s="32"/>
      <c r="J223" s="32"/>
      <c r="K223" s="32"/>
      <c r="L223" s="26"/>
      <c r="M223" s="26"/>
      <c r="N223" s="26"/>
      <c r="O223" s="32"/>
      <c r="P223" s="32"/>
      <c r="Q223" s="26"/>
      <c r="R223" s="32"/>
      <c r="S223" s="31"/>
      <c r="T223" s="32"/>
      <c r="U223" s="32"/>
      <c r="V223" s="32"/>
      <c r="W223" s="32"/>
      <c r="X223" s="32"/>
      <c r="Y223" s="32"/>
      <c r="Z223" s="32"/>
      <c r="AA223" s="32"/>
      <c r="AB223" s="32"/>
    </row>
    <row r="224">
      <c r="A224" s="26"/>
      <c r="B224" s="26"/>
      <c r="C224" s="32"/>
      <c r="D224" s="32"/>
      <c r="E224" s="32"/>
      <c r="F224" s="32"/>
      <c r="G224" s="32"/>
      <c r="H224" s="26"/>
      <c r="I224" s="32"/>
      <c r="J224" s="32"/>
      <c r="K224" s="32"/>
      <c r="L224" s="26"/>
      <c r="M224" s="26"/>
      <c r="N224" s="26"/>
      <c r="O224" s="32"/>
      <c r="P224" s="32"/>
      <c r="Q224" s="26"/>
      <c r="R224" s="32"/>
      <c r="S224" s="31"/>
      <c r="T224" s="32"/>
      <c r="U224" s="32"/>
      <c r="V224" s="32"/>
      <c r="W224" s="32"/>
      <c r="X224" s="32"/>
      <c r="Y224" s="32"/>
      <c r="Z224" s="32"/>
      <c r="AA224" s="32"/>
      <c r="AB224" s="32"/>
    </row>
    <row r="225">
      <c r="A225" s="26"/>
      <c r="B225" s="26"/>
      <c r="C225" s="32"/>
      <c r="D225" s="32"/>
      <c r="E225" s="32"/>
      <c r="F225" s="32"/>
      <c r="G225" s="32"/>
      <c r="H225" s="26"/>
      <c r="I225" s="32"/>
      <c r="J225" s="32"/>
      <c r="K225" s="32"/>
      <c r="L225" s="26"/>
      <c r="M225" s="26"/>
      <c r="N225" s="26"/>
      <c r="O225" s="32"/>
      <c r="P225" s="32"/>
      <c r="Q225" s="26"/>
      <c r="R225" s="32"/>
      <c r="S225" s="31"/>
      <c r="T225" s="32"/>
      <c r="U225" s="32"/>
      <c r="V225" s="32"/>
      <c r="W225" s="32"/>
      <c r="X225" s="32"/>
      <c r="Y225" s="32"/>
      <c r="Z225" s="32"/>
      <c r="AA225" s="32"/>
      <c r="AB225" s="32"/>
    </row>
    <row r="226">
      <c r="A226" s="26"/>
      <c r="B226" s="26"/>
      <c r="C226" s="32"/>
      <c r="D226" s="32"/>
      <c r="E226" s="32"/>
      <c r="F226" s="32"/>
      <c r="G226" s="32"/>
      <c r="H226" s="26"/>
      <c r="I226" s="32"/>
      <c r="J226" s="32"/>
      <c r="K226" s="32"/>
      <c r="L226" s="26"/>
      <c r="M226" s="26"/>
      <c r="N226" s="26"/>
      <c r="O226" s="32"/>
      <c r="P226" s="32"/>
      <c r="Q226" s="26"/>
      <c r="R226" s="32"/>
      <c r="S226" s="31"/>
      <c r="T226" s="32"/>
      <c r="U226" s="32"/>
      <c r="V226" s="32"/>
      <c r="W226" s="32"/>
      <c r="X226" s="32"/>
      <c r="Y226" s="32"/>
      <c r="Z226" s="32"/>
      <c r="AA226" s="32"/>
      <c r="AB226" s="32"/>
    </row>
    <row r="227">
      <c r="A227" s="26"/>
      <c r="B227" s="26"/>
      <c r="C227" s="32"/>
      <c r="D227" s="32"/>
      <c r="E227" s="32"/>
      <c r="F227" s="32"/>
      <c r="G227" s="32"/>
      <c r="H227" s="26"/>
      <c r="I227" s="32"/>
      <c r="J227" s="32"/>
      <c r="K227" s="32"/>
      <c r="L227" s="26"/>
      <c r="M227" s="26"/>
      <c r="N227" s="26"/>
      <c r="O227" s="32"/>
      <c r="P227" s="32"/>
      <c r="Q227" s="26"/>
      <c r="R227" s="32"/>
      <c r="S227" s="31"/>
      <c r="T227" s="32"/>
      <c r="U227" s="32"/>
      <c r="V227" s="32"/>
      <c r="W227" s="32"/>
      <c r="X227" s="32"/>
      <c r="Y227" s="32"/>
      <c r="Z227" s="32"/>
      <c r="AA227" s="32"/>
      <c r="AB227" s="32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</sheetData>
  <drawing r:id="rId1"/>
</worksheet>
</file>