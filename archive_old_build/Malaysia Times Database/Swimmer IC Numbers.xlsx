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Copy of Form Responses 1 (NH co" sheetId="2" r:id="rId5"/>
    <sheet state="visible" name="Copy of Sheet1" sheetId="3" r:id="rId6"/>
    <sheet state="visible" name="Sheet1" sheetId="4" r:id="rId7"/>
    <sheet state="hidden" name="Copy of Copy of Sheet1" sheetId="5" r:id="rId8"/>
    <sheet state="hidden" name="ORIGINAL LIST" sheetId="6" r:id="rId9"/>
  </sheets>
  <definedNames>
    <definedName hidden="1" localSheetId="0" name="_xlnm._FilterDatabase">'Form Responses 1'!$F$1:$F$242</definedName>
    <definedName hidden="1" localSheetId="1" name="_xlnm._FilterDatabase">'Copy of Form Responses 1 (NH co'!$A$1:$AV$142</definedName>
    <definedName hidden="1" localSheetId="1" name="Z_D131DC15_D691_4ADE_A247_5FFCF6E2E086_.wvu.FilterData">'Copy of Form Responses 1 (NH co'!$A$1:$AP$138</definedName>
  </definedNames>
  <calcPr/>
  <customWorkbookViews>
    <customWorkbookView activeSheetId="0" maximized="1" windowHeight="0" windowWidth="0" guid="{D131DC15-D691-4ADE-A247-5FFCF6E2E086}" name="Filter 1"/>
  </customWorkbookViews>
</workbook>
</file>

<file path=xl/sharedStrings.xml><?xml version="1.0" encoding="utf-8"?>
<sst xmlns="http://schemas.openxmlformats.org/spreadsheetml/2006/main" count="11388" uniqueCount="2797">
  <si>
    <t>Timestamp</t>
  </si>
  <si>
    <t>Parent's / Guardian's First Name</t>
  </si>
  <si>
    <t>Parent's / Guardian's Surname</t>
  </si>
  <si>
    <t>Parent's / Guardian's Contact Number</t>
  </si>
  <si>
    <t>Parent's / Guardian's Email Address</t>
  </si>
  <si>
    <t>Swimmer Name</t>
  </si>
  <si>
    <t>Gender</t>
  </si>
  <si>
    <t>Age Group 1 / 2 / 3</t>
  </si>
  <si>
    <t>Category A / B1 / B2 / C</t>
  </si>
  <si>
    <t>DOB (ddmmYYYY)</t>
  </si>
  <si>
    <t>Contact Number</t>
  </si>
  <si>
    <t>Email Address</t>
  </si>
  <si>
    <t>Acceptance and Intention to Participate</t>
  </si>
  <si>
    <t>Full Name *as per Passport</t>
  </si>
  <si>
    <t>Passport No.</t>
  </si>
  <si>
    <t>Passport Expiry Date (ddmmYYYY)</t>
  </si>
  <si>
    <t>Please upload a copy of Swimmer's Passport *information page with photo</t>
  </si>
  <si>
    <t>Please upload Swimmer's passport photo (white background photo) *for Accreditation</t>
  </si>
  <si>
    <t>Any Medical Conditions</t>
  </si>
  <si>
    <t>If YES, please elaborate (or N/A if not applicable)</t>
  </si>
  <si>
    <t>Any Dietary Restrictions</t>
  </si>
  <si>
    <t>1. Upload of SEA AGE 2025 - Letter of Undertaking / Acceptance form</t>
  </si>
  <si>
    <t>Require school leave letter</t>
  </si>
  <si>
    <t>Swimmer's Full Name</t>
  </si>
  <si>
    <t>Swimmer's IC no. (xxxxxx-xx-xxxx)</t>
  </si>
  <si>
    <t>School / University Name</t>
  </si>
  <si>
    <t>School / University Address details</t>
  </si>
  <si>
    <t>Swimmer's Name</t>
  </si>
  <si>
    <t>Swimmer's Contact Number</t>
  </si>
  <si>
    <t>Parent / Guardian's Name</t>
  </si>
  <si>
    <t>Parent /  Guardian's Contact Number</t>
  </si>
  <si>
    <t>Family Supporter/s will be attending</t>
  </si>
  <si>
    <t>No. of Supporters that will be attending</t>
  </si>
  <si>
    <t>Supporters' Full Names and Relationship to Swimmer</t>
  </si>
  <si>
    <t>Details of Accommodation (hotel name, address and contact number)</t>
  </si>
  <si>
    <t>Proposed dates of travel</t>
  </si>
  <si>
    <t>Emergency Contact (Name and Contact No.)</t>
  </si>
  <si>
    <t>Emergency Contact (Relationship to Swimmer)</t>
  </si>
  <si>
    <t>Any other information you may want to provide us (N/A if not applicable)</t>
  </si>
  <si>
    <t>Please tick to acknowledge your acceptance of our Letter of Undertaking and Acceptance found here Letter of Undertaking/Acceptance</t>
  </si>
  <si>
    <t>Yau Leng</t>
  </si>
  <si>
    <t>Khor</t>
  </si>
  <si>
    <t>ivankhor99@yahoo.com</t>
  </si>
  <si>
    <t>Khor Yue Lynn</t>
  </si>
  <si>
    <t>Female</t>
  </si>
  <si>
    <t>Group 1 (16-18 years) - born 2006, 2007, 2008</t>
  </si>
  <si>
    <t>Category A</t>
  </si>
  <si>
    <t>01-12-2009</t>
  </si>
  <si>
    <t>ivankhor59@gmail.com</t>
  </si>
  <si>
    <t>YES, I ACCEPT and INTEND TO PARTICIPATE in the 47th SEA AGE GROUP 2025</t>
  </si>
  <si>
    <t>A61277596</t>
  </si>
  <si>
    <t>03-11-2029</t>
  </si>
  <si>
    <t>https://drive.google.com/open?id=1FkizstfK1hleRA5Y-VwHG0JpGRMaWs9m</t>
  </si>
  <si>
    <t>https://drive.google.com/open?id=1K5_qHKoRUbTcJ1VsSs-qfvmrQNjxRf_S</t>
  </si>
  <si>
    <t>None</t>
  </si>
  <si>
    <t>N/A</t>
  </si>
  <si>
    <t>https://drive.google.com/open?id=1Rdv8nm_zfc1t2rXUa6nOdZjFVE95qmvV</t>
  </si>
  <si>
    <t>Yes</t>
  </si>
  <si>
    <t>Mishya Khor Yue Lynn</t>
  </si>
  <si>
    <t>091201-10-2094</t>
  </si>
  <si>
    <t>The International School @ Parkcity</t>
  </si>
  <si>
    <t>1, Jalan Intisari, Desa Parkcity, 52200 Kuala Lumpur, Wilayah Persekutuan Kuala Lumpur</t>
  </si>
  <si>
    <t xml:space="preserve">Mishya Khor </t>
  </si>
  <si>
    <t>Ivan Khor</t>
  </si>
  <si>
    <t>YES</t>
  </si>
  <si>
    <t>Khor Yau Leng - Father / Loh Sze Ting - Mother</t>
  </si>
  <si>
    <t>Hotel Royal Queens No 12 Queen Street Singapore 188553 Tel +6567259933</t>
  </si>
  <si>
    <t>24 Jun 2025</t>
  </si>
  <si>
    <t>Khor Yau Leng 60122873127</t>
  </si>
  <si>
    <t>Father</t>
  </si>
  <si>
    <t>YES, I fully understand and agree to the terms stated in the Letter of Undertaking/Acceptance</t>
  </si>
  <si>
    <t>Andrew</t>
  </si>
  <si>
    <t>Shu</t>
  </si>
  <si>
    <t>0197549898</t>
  </si>
  <si>
    <t>andrewjyshu@icloud.com</t>
  </si>
  <si>
    <t>NATHANIEL SHU JIA JUN</t>
  </si>
  <si>
    <t>Male</t>
  </si>
  <si>
    <t>Group 2 (14-15 years) - born 2009, 2010</t>
  </si>
  <si>
    <t>Category C (self-funded)</t>
  </si>
  <si>
    <t>05112011</t>
  </si>
  <si>
    <t>0127549856</t>
  </si>
  <si>
    <t>natejjshu@icloud.com</t>
  </si>
  <si>
    <t>A55019887</t>
  </si>
  <si>
    <t>https://drive.google.com/open?id=11HRj3joRgWQMRkK3w4ElWVKuLSTcrhXJ</t>
  </si>
  <si>
    <t>https://drive.google.com/open?id=1s2C31YHzNs-VL-WmRTUEXD7i3PUo9M58</t>
  </si>
  <si>
    <t>https://drive.google.com/open?id=1zHOKhb5azl7fsBHSJC8CDJVSbYIaGuJD</t>
  </si>
  <si>
    <t>111105-10-1847</t>
  </si>
  <si>
    <t>THE ALICE SMITH SCHOOL</t>
  </si>
  <si>
    <t>3 Jalan Equine, Taman Equine,
43300 Seri Kembangan,
Selangor, Malaysia.</t>
  </si>
  <si>
    <t>NATE SHU</t>
  </si>
  <si>
    <t>ANDREW SHU</t>
  </si>
  <si>
    <t>ANDREW SHU (FATHER), EVE LIM (MOTHER)</t>
  </si>
  <si>
    <t>OWN PLACE</t>
  </si>
  <si>
    <t>25/6 - 28/6</t>
  </si>
  <si>
    <t>ANDREW SHU 0197549898</t>
  </si>
  <si>
    <t>FATHER</t>
  </si>
  <si>
    <t>Ping Ping</t>
  </si>
  <si>
    <t>Lim</t>
  </si>
  <si>
    <t>0124680231</t>
  </si>
  <si>
    <t>ppinglim21@gmail.com</t>
  </si>
  <si>
    <t>Lee Da Yu</t>
  </si>
  <si>
    <t>Group 3 (13 years &amp; under) born 2011, 2012</t>
  </si>
  <si>
    <t>Category C Reserve (self-funded)</t>
  </si>
  <si>
    <t>0175974181</t>
  </si>
  <si>
    <t>itszxnova@gmail.com</t>
  </si>
  <si>
    <t>A61270981</t>
  </si>
  <si>
    <t>05052029</t>
  </si>
  <si>
    <t>https://drive.google.com/open?id=1--I3jHWKPDrc7_8ELxFeHQPftoBefFEq</t>
  </si>
  <si>
    <t>https://drive.google.com/open?id=195EU5ThNMQs67EhM3wQWQ0RygyGmACAt</t>
  </si>
  <si>
    <t>NA</t>
  </si>
  <si>
    <t>https://drive.google.com/open?id=14N0pKp-DEWgirwCRFfe4WO3ZFMNQGKB7</t>
  </si>
  <si>
    <t>SMJK Heng Ee Cawangan Bayan Baru</t>
  </si>
  <si>
    <t>1, Jalan Sungai Tiram 1, Kampung Sungai Tiram, 11900 Bayan Lepas, Pulau Pinang</t>
  </si>
  <si>
    <t>Lim Ping Ping</t>
  </si>
  <si>
    <t>Lee Fatt Lee/father, Lim Ping Ping/mother</t>
  </si>
  <si>
    <t>TBD</t>
  </si>
  <si>
    <t>26 June 2025</t>
  </si>
  <si>
    <t>Mother</t>
  </si>
  <si>
    <t>Shang Huat</t>
  </si>
  <si>
    <t>Foo</t>
  </si>
  <si>
    <t>dnl_foo@hotmail.com</t>
  </si>
  <si>
    <t xml:space="preserve">Foo Qi Wei </t>
  </si>
  <si>
    <t>07062012</t>
  </si>
  <si>
    <t>0123111497</t>
  </si>
  <si>
    <t>A55553264</t>
  </si>
  <si>
    <t>https://drive.google.com/open?id=1MW3p6nW0zpa_IlgDxQ1emOxJCj7dh_bp</t>
  </si>
  <si>
    <t>https://drive.google.com/open?id=1zupyDAvI-xznYoEDHPvA7veJKR6tJ7a8</t>
  </si>
  <si>
    <t>https://drive.google.com/open?id=10MxzYOnSbWxtfT20wRPIQ8aSFbuDu6Qv</t>
  </si>
  <si>
    <t>120607-10-2385</t>
  </si>
  <si>
    <t xml:space="preserve">Wesley Methodist School Kuala Lumpur International </t>
  </si>
  <si>
    <t>185, Jalan Lima, Off, Jalan Sentul, 51000 Kuala Lumpur.</t>
  </si>
  <si>
    <t>0122433221</t>
  </si>
  <si>
    <t xml:space="preserve">Foo Shang Huat </t>
  </si>
  <si>
    <t>Foo Shang Huat/Father &amp; Chin Shiau Mun/Mother</t>
  </si>
  <si>
    <t>Not Sure Yet</t>
  </si>
  <si>
    <t>+60123111497</t>
  </si>
  <si>
    <t>JENNY</t>
  </si>
  <si>
    <t>SOON</t>
  </si>
  <si>
    <t>0127430711</t>
  </si>
  <si>
    <t>JEN_SOON2011@HOTMAIL.COM</t>
  </si>
  <si>
    <t>BRANDON YEOH HSIEN KAI</t>
  </si>
  <si>
    <t>Category B1 (self-funded)</t>
  </si>
  <si>
    <t>06022010</t>
  </si>
  <si>
    <t>0189132500</t>
  </si>
  <si>
    <t>brandonyeohhsienkai@gmail.com</t>
  </si>
  <si>
    <t>A57832448</t>
  </si>
  <si>
    <t>https://drive.google.com/open?id=1kHA09d3V7J60MT_2Z1n_pjwOqQ_KPkKi</t>
  </si>
  <si>
    <t>https://drive.google.com/open?id=13vH6wrDjk-rOXsfGCBEv9GkcEwsqWlg_</t>
  </si>
  <si>
    <t>https://drive.google.com/open?id=1zF_YA0e0G-2gqpqCXATzWwpYOp2Q-8dg</t>
  </si>
  <si>
    <t>100206-04-0349</t>
  </si>
  <si>
    <t>SMK ST. FRANCIS</t>
  </si>
  <si>
    <t>1880, JALAN PARAMESWARA, BANDA HILIR, 75000 MELAKA, MALAYSIA</t>
  </si>
  <si>
    <t>JENNY SOON</t>
  </si>
  <si>
    <t>JENNY SOON / MOTHER</t>
  </si>
  <si>
    <t>OWN ACCOMMODATION, 750423 SINGAPORE, 88009589</t>
  </si>
  <si>
    <t>24 JUN 2025</t>
  </si>
  <si>
    <t>JENNY SOON (0127430711)</t>
  </si>
  <si>
    <t>MOTHER</t>
  </si>
  <si>
    <t>Shin Kiet</t>
  </si>
  <si>
    <t>Loh</t>
  </si>
  <si>
    <t>0138500850</t>
  </si>
  <si>
    <t>lohshinkiet@gmail.com</t>
  </si>
  <si>
    <t>Emmanuel Loh Yung Ming</t>
  </si>
  <si>
    <t>20/08/2009</t>
  </si>
  <si>
    <t>0192700850</t>
  </si>
  <si>
    <t>emmanuelloh785@gmail.com</t>
  </si>
  <si>
    <t>H70591269</t>
  </si>
  <si>
    <t>25/03/2030</t>
  </si>
  <si>
    <t>https://drive.google.com/open?id=1Zxcpr4sdKniI14Rzxozisa8wVE8xFhqt</t>
  </si>
  <si>
    <t>https://drive.google.com/open?id=10O5Fr8TNSs5fw7RvEONc8DwZ3209aos4</t>
  </si>
  <si>
    <t>Asthma</t>
  </si>
  <si>
    <t xml:space="preserve">Mild asthma </t>
  </si>
  <si>
    <t>https://drive.google.com/open?id=1-fVGAyy9hFZMuoGyAnaM8KH_ziYIHURi</t>
  </si>
  <si>
    <t>090820-12-0633</t>
  </si>
  <si>
    <t>Xceleration Education</t>
  </si>
  <si>
    <t>Lot 12 &amp; 13 Ground Floor Lido Plaza Jalan Nosoob-Hungab Penampang, 89500 Kota Kinabalu, Sabah</t>
  </si>
  <si>
    <t>Regina Chee</t>
  </si>
  <si>
    <t>0138680858</t>
  </si>
  <si>
    <t>Loh Shin Kiet (Father)
Regina Chee Yen Ling (Mother)</t>
  </si>
  <si>
    <t>TBA</t>
  </si>
  <si>
    <t>24-28 June</t>
  </si>
  <si>
    <t>Loh Shin Kiet, 0138500850</t>
  </si>
  <si>
    <t>Shoba</t>
  </si>
  <si>
    <t>Magimay</t>
  </si>
  <si>
    <t>0123880560</t>
  </si>
  <si>
    <t>shobamagimay@hotmail.com</t>
  </si>
  <si>
    <t>Nishan Manuel</t>
  </si>
  <si>
    <t>27/09/2010</t>
  </si>
  <si>
    <t>Nishan Christopher Manuel</t>
  </si>
  <si>
    <t>A62653866</t>
  </si>
  <si>
    <t>31/07/2030</t>
  </si>
  <si>
    <t>https://drive.google.com/open?id=1do_FMRe9GaWlZieFHVVLndAC530JPoP_</t>
  </si>
  <si>
    <t>https://drive.google.com/open?id=1nt49C2cAJJcCTI8e1yReQ5mH4B8ySWOh</t>
  </si>
  <si>
    <t>https://drive.google.com/open?id=12-KRCjJKsgfx4lNJHCOUBMFuTHIy8Am4</t>
  </si>
  <si>
    <t>No</t>
  </si>
  <si>
    <t>Nishan</t>
  </si>
  <si>
    <t>0123880585</t>
  </si>
  <si>
    <t>Shoba Magimay/Mother, Nimal Manuel/Father, Nikael Manuel/Brother</t>
  </si>
  <si>
    <t>Shangri la Singapore - 22 Orange Grove Road, Singapore 258350</t>
  </si>
  <si>
    <t>24-28 June 2025</t>
  </si>
  <si>
    <t>Shoba Magimay - 012 3880560</t>
  </si>
  <si>
    <t>Phaik Gan</t>
  </si>
  <si>
    <t>Goh</t>
  </si>
  <si>
    <t>0162129387</t>
  </si>
  <si>
    <t>annegohpg78@gmail.com</t>
  </si>
  <si>
    <t>Isabelle Kam Zi Zhen</t>
  </si>
  <si>
    <t>04012010</t>
  </si>
  <si>
    <t>0123409387</t>
  </si>
  <si>
    <t>isabellekam10@gmail.com</t>
  </si>
  <si>
    <t>A58193850</t>
  </si>
  <si>
    <t>07022028</t>
  </si>
  <si>
    <t>https://drive.google.com/open?id=1QOzQVm-AzJuA1p2-aux9XG8NMsdAvybo</t>
  </si>
  <si>
    <t>https://drive.google.com/open?id=13YQvmyowWXKfO8atw-012KNhXb8Hh6HN</t>
  </si>
  <si>
    <t>does not eat beef</t>
  </si>
  <si>
    <t>https://drive.google.com/open?id=1BdQ_Ae5UWYtIMQuHY2Q8ObHSYhTLHFUo</t>
  </si>
  <si>
    <t>100104-10-0742</t>
  </si>
  <si>
    <t>TLS International School</t>
  </si>
  <si>
    <t>12, Lorong Teknologi C, PJU5, Kota Damansara, 47810 Petaling Jaya</t>
  </si>
  <si>
    <t>Anne Goh</t>
  </si>
  <si>
    <t>Sherman Kam Hock Leong-  Father
Goh Phaik Gan - Mother
Ivan Kam Zi Hsien - Brother</t>
  </si>
  <si>
    <t>Jen Tanglin Singapore</t>
  </si>
  <si>
    <t>24/6/2025</t>
  </si>
  <si>
    <t>Teng Li Ling</t>
  </si>
  <si>
    <t>Aunt</t>
  </si>
  <si>
    <t>MEI YING</t>
  </si>
  <si>
    <t>GAN</t>
  </si>
  <si>
    <t>0123220268</t>
  </si>
  <si>
    <t>mei_ying_gan@yahoo.com</t>
  </si>
  <si>
    <t>Megan HO</t>
  </si>
  <si>
    <t>19/02/2010</t>
  </si>
  <si>
    <t>0123220273</t>
  </si>
  <si>
    <t>HO WEI YAN</t>
  </si>
  <si>
    <t>A71044037</t>
  </si>
  <si>
    <t>24/08/2030</t>
  </si>
  <si>
    <t>https://drive.google.com/open?id=188xaZpcmHkQPY_x6ARfUtldDcD0d30SM</t>
  </si>
  <si>
    <t>https://drive.google.com/open?id=17ztmcLbdFny2LvDvvKOv14_XTxb7sFTo</t>
  </si>
  <si>
    <t>https://drive.google.com/open?id=1Z7XmF2ITPqIZ-9GnXaw-dRcF9Yi1fp7l</t>
  </si>
  <si>
    <t>GAN Mei Ying</t>
  </si>
  <si>
    <t>GAN Mei Ying (mother)</t>
  </si>
  <si>
    <t>to be confirmed</t>
  </si>
  <si>
    <t>HO Han Seng (0197101378)</t>
  </si>
  <si>
    <t>father</t>
  </si>
  <si>
    <t>Siew Pei</t>
  </si>
  <si>
    <t>Teoh</t>
  </si>
  <si>
    <t>0125175530</t>
  </si>
  <si>
    <t>siewpei0111@gmail.com</t>
  </si>
  <si>
    <t xml:space="preserve">Khong Zi Lin </t>
  </si>
  <si>
    <t>29/07/2010</t>
  </si>
  <si>
    <t>0127535530</t>
  </si>
  <si>
    <t>zilinkhong@gmail.com</t>
  </si>
  <si>
    <t>Khong Zi Lin</t>
  </si>
  <si>
    <t>A61909285</t>
  </si>
  <si>
    <t>26/06/2029</t>
  </si>
  <si>
    <t>https://drive.google.com/open?id=10XJ-zGJj9V8uZsUSfZiGLLpJ6-qKgoQT</t>
  </si>
  <si>
    <t>https://drive.google.com/open?id=1evcrYV4y2mzo1PviizlO_adxMl-9KwEl</t>
  </si>
  <si>
    <t>https://drive.google.com/open?id=1slh9DjT99FpjwKG0x_UZqemHHN66ny6H</t>
  </si>
  <si>
    <t>100729-08-0112</t>
  </si>
  <si>
    <t>SMK PEREMPUAN METHODIST IPOJ</t>
  </si>
  <si>
    <t>2, Jalan Raja Permaisuri Bainun, 30250 Ipoh Perak</t>
  </si>
  <si>
    <t>Teoh Siew Pei</t>
  </si>
  <si>
    <t>NO</t>
  </si>
  <si>
    <t xml:space="preserve">Michelle </t>
  </si>
  <si>
    <t>Chow</t>
  </si>
  <si>
    <t>0122525579</t>
  </si>
  <si>
    <t>klassmichellechow@gmail.com</t>
  </si>
  <si>
    <t xml:space="preserve">Evita Tan Ee Lin </t>
  </si>
  <si>
    <t>08/03/2011</t>
  </si>
  <si>
    <t>018-218 1151</t>
  </si>
  <si>
    <t>evitatanel11@gmail.com</t>
  </si>
  <si>
    <t>A56439177</t>
  </si>
  <si>
    <t>14/07/2027</t>
  </si>
  <si>
    <t>https://drive.google.com/open?id=1CJqmCcprJfXHtfbNmLKySzCdDDzr2eJO</t>
  </si>
  <si>
    <t>https://drive.google.com/open?id=1mjeJusPP3MVReoqunBKPj5U6HWJv2zcK</t>
  </si>
  <si>
    <t>No diary and cheese</t>
  </si>
  <si>
    <t>https://drive.google.com/open?id=16xgdGw86qLBqR2vDC8W58DOqKWnk2x7u</t>
  </si>
  <si>
    <t>110308-14-1000</t>
  </si>
  <si>
    <t>Alice Smith School</t>
  </si>
  <si>
    <t>Jalan Equine 3, Taman Equine, 43300 Seri Kembangan, Selangor</t>
  </si>
  <si>
    <t>+60 18 217 1151</t>
  </si>
  <si>
    <t>Michelle Chow</t>
  </si>
  <si>
    <t>Michelle Chow Shih Ping / Mother</t>
  </si>
  <si>
    <t xml:space="preserve">Singapore hotel </t>
  </si>
  <si>
    <t xml:space="preserve">Not sure </t>
  </si>
  <si>
    <t>OLIVIA</t>
  </si>
  <si>
    <t>PION</t>
  </si>
  <si>
    <t>01133868121</t>
  </si>
  <si>
    <t>oliviapion055@gmail.com</t>
  </si>
  <si>
    <t>LAURA LEE YEN NIE</t>
  </si>
  <si>
    <t>06032009</t>
  </si>
  <si>
    <t>0163191914</t>
  </si>
  <si>
    <t>lauralyn639@gmail.com</t>
  </si>
  <si>
    <t>H59047782</t>
  </si>
  <si>
    <t>https://drive.google.com/open?id=1lQYuQcpBj7lZgUGPhaV7MBsRyvzVvTXW</t>
  </si>
  <si>
    <t>https://drive.google.com/open?id=1GU88K-4q-UEppD-XOyZytuVCqOFPB8L5</t>
  </si>
  <si>
    <t>https://drive.google.com/open?id=1rEyt3nodwy-_3bSRj6JesVtn-dZjKKbC</t>
  </si>
  <si>
    <t>090306100250</t>
  </si>
  <si>
    <t>SMK BAHANG</t>
  </si>
  <si>
    <t>Peti Surat 352, 89507 Penampang, Sabah.</t>
  </si>
  <si>
    <t>OLIVIA PION</t>
  </si>
  <si>
    <t>TBC</t>
  </si>
  <si>
    <t>OLIVIA PION 01133868121</t>
  </si>
  <si>
    <t>YEW BOON</t>
  </si>
  <si>
    <t>LOO</t>
  </si>
  <si>
    <t>ybloo429@gmail.com</t>
  </si>
  <si>
    <t>LOO CHENG FENG</t>
  </si>
  <si>
    <t>A70874995</t>
  </si>
  <si>
    <t>https://drive.google.com/open?id=17DpeCYM08IdGh9q9lp0O6AqZqr_7KlKr</t>
  </si>
  <si>
    <t>https://drive.google.com/open?id=1IpqrPkUiCWeUI_1Yewpjv8VSXtR0qMZ0</t>
  </si>
  <si>
    <t>Other</t>
  </si>
  <si>
    <t xml:space="preserve">Allergic Rhinitis </t>
  </si>
  <si>
    <t>https://drive.google.com/open?id=14Xw6MuLioeGZQhPQJOmJVpu_9wwm6xEv</t>
  </si>
  <si>
    <t>100513-07-0353</t>
  </si>
  <si>
    <t>CHUNG LING PRIVATE HIGH SCHOOL</t>
  </si>
  <si>
    <t>Chung Ling Private High School, Lrg Kg Baru, 11400 Ayer Itam, Pulau Pinang</t>
  </si>
  <si>
    <t>LOO YEW BOON</t>
  </si>
  <si>
    <t>LOO YEW BOON (Father)</t>
  </si>
  <si>
    <t>25-27 Jun 2025</t>
  </si>
  <si>
    <t>POH HUAT</t>
  </si>
  <si>
    <t>YAP</t>
  </si>
  <si>
    <t>019-3393366</t>
  </si>
  <si>
    <t>summergv@gmail.com</t>
  </si>
  <si>
    <t>YAP ZHEN KOK</t>
  </si>
  <si>
    <t>Category B2 (self-funded)</t>
  </si>
  <si>
    <t>1/11/2010</t>
  </si>
  <si>
    <t>016-7760073</t>
  </si>
  <si>
    <t>A59623078</t>
  </si>
  <si>
    <t>22/07/2028</t>
  </si>
  <si>
    <t>https://drive.google.com/open?id=1SkbtbEW79tEdgGp0UAzlj3ceEUC9NW1o</t>
  </si>
  <si>
    <t>https://drive.google.com/open?id=1B611xILm8i582ziJA3vZBIfpNI64YGxj</t>
  </si>
  <si>
    <t>https://drive.google.com/open?id=1HhXuInc1RujztT5RrpUnEY7EzXw-Z_FN</t>
  </si>
  <si>
    <t>101101-10-2739</t>
  </si>
  <si>
    <t>VICTORIA INSTITUTION</t>
  </si>
  <si>
    <t>JALAN HANG TUAH, CITY CENTRE. 55200 KUALA LUMPUR. WILAYAH PERSEKUTUAN</t>
  </si>
  <si>
    <t>0167760073</t>
  </si>
  <si>
    <t>IVAN YAP</t>
  </si>
  <si>
    <t>YAP POH HUAT - FATHER, LIEW SWEE CHIN - MOTHER</t>
  </si>
  <si>
    <t>IBIS HOTEL</t>
  </si>
  <si>
    <t>25/06/2025</t>
  </si>
  <si>
    <t>SUMMER LIEW - 0192293366</t>
  </si>
  <si>
    <t>Cheik Yee</t>
  </si>
  <si>
    <t>Chiew</t>
  </si>
  <si>
    <t>0122116680</t>
  </si>
  <si>
    <t>chiewc@gmail.com</t>
  </si>
  <si>
    <t>Chiew Qin lynn</t>
  </si>
  <si>
    <t>22/03/2010</t>
  </si>
  <si>
    <t>0126896960</t>
  </si>
  <si>
    <t>beekhim1888@gmail.com</t>
  </si>
  <si>
    <t>Chiew Qin Lynn</t>
  </si>
  <si>
    <t>A62271021</t>
  </si>
  <si>
    <t>01/03/2030</t>
  </si>
  <si>
    <t>https://drive.google.com/open?id=1qSFR4h5waPUAAN5hSw0TJ8gsVKnbfLmm</t>
  </si>
  <si>
    <t>https://drive.google.com/open?id=1pIr0MbBrix-tqKhZoALuDrQz75tmKDat</t>
  </si>
  <si>
    <t>https://drive.google.com/open?id=13bRJVwCLKh5OOosJAIJoBddXwppSEpko</t>
  </si>
  <si>
    <t>100322-83-0014</t>
  </si>
  <si>
    <t>Garden International School</t>
  </si>
  <si>
    <t>No 16 Jalan Kiara 3 Mont Kiara 50480 KL</t>
  </si>
  <si>
    <t>Lim Bee Khim</t>
  </si>
  <si>
    <t>0122898663</t>
  </si>
  <si>
    <t>1) Chiew Cheik yee ( father) 2) lim bee Khim ( mother) 3) Robert Chiew ( grandfather)</t>
  </si>
  <si>
    <t xml:space="preserve">Marina bay Sands </t>
  </si>
  <si>
    <t>24-27 th june</t>
  </si>
  <si>
    <t>Chiew Cheik Yee</t>
  </si>
  <si>
    <t>N/a</t>
  </si>
  <si>
    <t>BoonSiew</t>
  </si>
  <si>
    <t>Lee</t>
  </si>
  <si>
    <t>0128875177</t>
  </si>
  <si>
    <t>leebsiew@hotmail.com</t>
  </si>
  <si>
    <t>Elisha Lee Ern</t>
  </si>
  <si>
    <t>+60 14 2063 565</t>
  </si>
  <si>
    <t>elishaleeern@gmail.com</t>
  </si>
  <si>
    <t>K57470748</t>
  </si>
  <si>
    <t>05062028</t>
  </si>
  <si>
    <t>https://drive.google.com/open?id=14qmRm1Y0xh6jlItEHJQlEyr9s6luqDae</t>
  </si>
  <si>
    <t>https://drive.google.com/open?id=16apQkYHxTw_EQ5jbg1dMLsPjUVyTTz5_https://drive.google.com/open?id=14qmRm1Y0xh6jlItEHJQlEyr9s6luqDae</t>
  </si>
  <si>
    <t>Non spicy</t>
  </si>
  <si>
    <t>https://drive.google.com/open?id=1atHICltnSMmbWqc5eYPY1VXrIOo3fL14</t>
  </si>
  <si>
    <t>120215-13-0598</t>
  </si>
  <si>
    <t>Lodge International School</t>
  </si>
  <si>
    <t xml:space="preserve">Tabuan Desa, 93350 Kuching </t>
  </si>
  <si>
    <t>Elisha Lee</t>
  </si>
  <si>
    <t>Lee Boon Siew</t>
  </si>
  <si>
    <t>+60128875177</t>
  </si>
  <si>
    <t>Lee Boon Siew(mother)
Isaac Lee Jin(sibling)</t>
  </si>
  <si>
    <t xml:space="preserve">V Hotel Lavender </t>
  </si>
  <si>
    <t>24/June</t>
  </si>
  <si>
    <t>Lee Boon Siew 0128875177
Lee Yik 0168643565</t>
  </si>
  <si>
    <t>Mother
Father</t>
  </si>
  <si>
    <t>BEE YOONG</t>
  </si>
  <si>
    <t>LIM</t>
  </si>
  <si>
    <t>012-2779038</t>
  </si>
  <si>
    <t>byoonglim@yahoo.com</t>
  </si>
  <si>
    <t>KOK YUN YI</t>
  </si>
  <si>
    <t>016-4512114</t>
  </si>
  <si>
    <t>byoongllim@yahoo.com</t>
  </si>
  <si>
    <t>A62516918</t>
  </si>
  <si>
    <t>03102029</t>
  </si>
  <si>
    <t>https://drive.google.com/open?id=17qCWZU6zRE77b23d_sbtCLideQ23fHZi</t>
  </si>
  <si>
    <t>https://drive.google.com/open?id=1UPBXGNTuqExpqQhq2_3iLRe3LHC_tIi4</t>
  </si>
  <si>
    <t>Can’t take spicy chili food</t>
  </si>
  <si>
    <t>https://drive.google.com/open?id=1giCiyMpjq83cvCex35Hh58-nNwvvrZ56</t>
  </si>
  <si>
    <t>120613-05-0358</t>
  </si>
  <si>
    <t>SMK KING GEORGE V</t>
  </si>
  <si>
    <t>Jln Zaaba, Seremban, 70100 Seremban, Negeri Sembilan</t>
  </si>
  <si>
    <t>LIM BEE YOONG</t>
  </si>
  <si>
    <t>LIM BEE YOONG - Mother 
LIM SENG SWA - Grandpa 
CHEOK CHOK GI - Grandma</t>
  </si>
  <si>
    <t>HABYT KALLANG
115 Geylang Rd Singapore Singapore 389218
+65 9478 5513</t>
  </si>
  <si>
    <t>28-May-2025</t>
  </si>
  <si>
    <t>LIM BEE YOONG 012-2779038</t>
  </si>
  <si>
    <t xml:space="preserve">Mother </t>
  </si>
  <si>
    <t>Ooi Yuen Zer</t>
  </si>
  <si>
    <t xml:space="preserve">Ooi Yuen Zer </t>
  </si>
  <si>
    <t>0124216400</t>
  </si>
  <si>
    <t>ooiyuenzer@gmail.com</t>
  </si>
  <si>
    <t>OOI YUEN ZER</t>
  </si>
  <si>
    <t>A70538674</t>
  </si>
  <si>
    <t>https://drive.google.com/open?id=1TRBjU0sIUP8ZPBpsOYuE6Hg0ffPNpXqO</t>
  </si>
  <si>
    <t>https://drive.google.com/open?id=14loeywxoTFas4tZd0AAvtVFHUriNMDnu</t>
  </si>
  <si>
    <t>https://drive.google.com/open?id=1WCcwYFtDLGYxGoTLXzujH9TfShkd4Ccx</t>
  </si>
  <si>
    <t>070424-07-0779</t>
  </si>
  <si>
    <t xml:space="preserve">Chung Ling Private High School </t>
  </si>
  <si>
    <t xml:space="preserve"> Chung Ling Private High School, Lrg Kg Baru, 11400 Ayer Itam, Pulau Pinang</t>
  </si>
  <si>
    <t>+60124216400</t>
  </si>
  <si>
    <t>Not Applicable</t>
  </si>
  <si>
    <t>Ashley</t>
  </si>
  <si>
    <t>Lam</t>
  </si>
  <si>
    <t>012-3151 898</t>
  </si>
  <si>
    <t>lsfashley@yahoo.com</t>
  </si>
  <si>
    <t>Khoo Sue Enn</t>
  </si>
  <si>
    <t>03032009</t>
  </si>
  <si>
    <t>012-3918392</t>
  </si>
  <si>
    <t>sueennkhoo@gmail.com</t>
  </si>
  <si>
    <t>A57750544</t>
  </si>
  <si>
    <t>https://drive.google.com/open?id=1saWdezcva4KHuqmG14qyzskUSlTGjUn3</t>
  </si>
  <si>
    <t>https://drive.google.com/open?id=1uqnxyDVGvuG4F2qYPEAPKnqM7_eoA78e</t>
  </si>
  <si>
    <t>https://drive.google.com/open?id=11bZfGffDX0suPUntPciXBBhyWpnlF1CQ</t>
  </si>
  <si>
    <t>090303-10-2066</t>
  </si>
  <si>
    <t>Sri Kuala Lumpur International School</t>
  </si>
  <si>
    <t>No. 1, Jalan SS15/7A, 47500 Subang Jaya, Selangor Darul Ehsan</t>
  </si>
  <si>
    <t>012-391 8392</t>
  </si>
  <si>
    <t>Ashley Lam</t>
  </si>
  <si>
    <t>Ashley Lam (mother)</t>
  </si>
  <si>
    <t>Arrangement yet to be made</t>
  </si>
  <si>
    <t>24 June to 29 June</t>
  </si>
  <si>
    <t>Ashley Lam 012-3151 898</t>
  </si>
  <si>
    <t>Yit Aun</t>
  </si>
  <si>
    <t>0122596236</t>
  </si>
  <si>
    <t>yitaun@yahoo.co.uk</t>
  </si>
  <si>
    <t>Joshua Lim Ji-Shen</t>
  </si>
  <si>
    <t>0138808866</t>
  </si>
  <si>
    <t>Joshua Lim Ji Shen</t>
  </si>
  <si>
    <t>H54895664</t>
  </si>
  <si>
    <t>https://drive.google.com/open?id=1zqAXcrh6qxqxn7J-3vo_GtMF1UgX51j6</t>
  </si>
  <si>
    <t>https://drive.google.com/open?id=1eUKyD8kv7zn3jYem8WPUoXBDs0w3cZVL</t>
  </si>
  <si>
    <t>https://drive.google.com/open?id=1orn8nKmFQgQw8Gvw469qL2TFkroyQDNr</t>
  </si>
  <si>
    <t>Lim Yit Aun</t>
  </si>
  <si>
    <t>Lim Yit Aun - father, 
Samantha Koh - mother, 
Sophie Lim - sibling</t>
  </si>
  <si>
    <t>Address: Blk 684B Edgedale Plains #04-629 Singapore 822684. 
Tel:+60122596236</t>
  </si>
  <si>
    <t>24 to 28 June 2025</t>
  </si>
  <si>
    <t>Lim Yit Aun 0122596236</t>
  </si>
  <si>
    <t>SOOK FUN</t>
  </si>
  <si>
    <t>TAN</t>
  </si>
  <si>
    <t>+60127009113</t>
  </si>
  <si>
    <t>alice.tan9113@gmail.com</t>
  </si>
  <si>
    <t>ONG YI HUI</t>
  </si>
  <si>
    <t>10/01/2013</t>
  </si>
  <si>
    <t>+601110189113</t>
  </si>
  <si>
    <t>yihui0110@gmail.com</t>
  </si>
  <si>
    <t>A56792299</t>
  </si>
  <si>
    <t>https://drive.google.com/open?id=1u0KV81Bs_semyVm68GOOMR3RBrDwwzDs</t>
  </si>
  <si>
    <t>https://drive.google.com/open?id=11q2A4S-a560m5SXvaXoI8WkuikkEKoXz</t>
  </si>
  <si>
    <t>https://drive.google.com/open?id=1hSVQOn5vjrkjpo6hQ1wA9r9jyYmYPMkd</t>
  </si>
  <si>
    <t>130110-01-1110</t>
  </si>
  <si>
    <t>SJK (C) PEI HWA</t>
  </si>
  <si>
    <t>JALAN PERSISIRAN PERLING 1, TAMAN PERLING, 81200 JOHOR BAHRU, MALAYSIA.</t>
  </si>
  <si>
    <t>TAN SOOK FUN</t>
  </si>
  <si>
    <t>ONG TIONG YEW - FATHER, TAN SOOK FUN - MOTHER</t>
  </si>
  <si>
    <t>MERINA BAY SAND HOTEL</t>
  </si>
  <si>
    <t>25-27/6/2025</t>
  </si>
  <si>
    <t xml:space="preserve">Shirley </t>
  </si>
  <si>
    <t>0122003882</t>
  </si>
  <si>
    <t>shirleyvian.foo@gmail.com</t>
  </si>
  <si>
    <t>Chong Yuan Yi</t>
  </si>
  <si>
    <t>05042009</t>
  </si>
  <si>
    <t>0126003882</t>
  </si>
  <si>
    <t>chongyuanyi0405@gmail.com</t>
  </si>
  <si>
    <t>A58625892</t>
  </si>
  <si>
    <t>https://drive.google.com/open?id=1wAJJC5FKd4c3Pt9bV2ocEepQkNlHE1LP</t>
  </si>
  <si>
    <t>https://drive.google.com/open?id=1L3BlAm41S36OcerCltBuGA1bLjEmdJVn</t>
  </si>
  <si>
    <t>No Beef</t>
  </si>
  <si>
    <t>https://drive.google.com/open?id=1vxUQ9hFPk702G4Yf2KFeBUweIh09TaZ3</t>
  </si>
  <si>
    <t>CHONG YUAN YI</t>
  </si>
  <si>
    <t>090405-10-1128</t>
  </si>
  <si>
    <t>PREMFIELD INTERNATIONAL SCHOOL</t>
  </si>
  <si>
    <t>3, Jalan Rimba Riang 9/1, Seksyen 9, Kota Damansara, 47810, Petaling Jaya.</t>
  </si>
  <si>
    <t>016 200 3882</t>
  </si>
  <si>
    <t>Shirley Foo</t>
  </si>
  <si>
    <t>012 200 3882</t>
  </si>
  <si>
    <t>SHIRLEY FOO - MOTHER</t>
  </si>
  <si>
    <t>arrangement has not been made</t>
  </si>
  <si>
    <t>24 - 28 June</t>
  </si>
  <si>
    <t>Shirley Foo 012 2003 882</t>
  </si>
  <si>
    <t>mother</t>
  </si>
  <si>
    <t>Lai Mun</t>
  </si>
  <si>
    <t>Woo</t>
  </si>
  <si>
    <t>0166929620</t>
  </si>
  <si>
    <t>laimunwoo@hotmail.com</t>
  </si>
  <si>
    <t>Lynna Yeow Yi Jing</t>
  </si>
  <si>
    <t>03042009</t>
  </si>
  <si>
    <t>0128780190</t>
  </si>
  <si>
    <t>lynnayeow599@gmail.com</t>
  </si>
  <si>
    <t>LYNNA YEOW YI JING</t>
  </si>
  <si>
    <t>A58547680</t>
  </si>
  <si>
    <t>08032028</t>
  </si>
  <si>
    <t>https://drive.google.com/open?id=1VM6YYhbgKCuZYSY0icZYYE1feVR67WCf</t>
  </si>
  <si>
    <t>https://drive.google.com/open?id=1QEH2ZIGwpzaaAJ5APWdhllHR1CPneixC</t>
  </si>
  <si>
    <t>Vegetarian</t>
  </si>
  <si>
    <t>https://drive.google.com/open?id=1oYaRzIH2mvuzYsWVmAdC1dVq36LyJvBJ</t>
  </si>
  <si>
    <t>090403-14-0190</t>
  </si>
  <si>
    <t>SMJK TINGGI CINA MELAKA</t>
  </si>
  <si>
    <t>28 JALAN MALAIM, 75250 MELAKA</t>
  </si>
  <si>
    <t>012-8780190</t>
  </si>
  <si>
    <t>WOO LAI MUN</t>
  </si>
  <si>
    <t>WOO LAI MUN(MOTHER)</t>
  </si>
  <si>
    <t>IBIS EMERALD</t>
  </si>
  <si>
    <t>WOO LAI MUN(0166929620)</t>
  </si>
  <si>
    <t>YEOW CHIANG SAN(FATHER/0126229183)</t>
  </si>
  <si>
    <t>Pearly</t>
  </si>
  <si>
    <t>0122009243</t>
  </si>
  <si>
    <t>pearlylms@hotmail.com</t>
  </si>
  <si>
    <t>Max Lim Jia Jun</t>
  </si>
  <si>
    <t>0162259243</t>
  </si>
  <si>
    <t>maxlimjj7@gmail.com</t>
  </si>
  <si>
    <t>A55472936</t>
  </si>
  <si>
    <t>04042027</t>
  </si>
  <si>
    <t>https://drive.google.com/open?id=1pfIN1w2EZka5MkaiRwoQxUzv8br_Uc_Z</t>
  </si>
  <si>
    <t>https://drive.google.com/open?id=1mj0n0pgnubU7kByqXBcYzkUEzOFmpNAu</t>
  </si>
  <si>
    <t>Cavernous Hemangioma (Blood Clot in Brain)</t>
  </si>
  <si>
    <t>https://drive.google.com/open?id=1yyZIq1k0vVTPhLjBT6QnQNkpNIrdjz2X</t>
  </si>
  <si>
    <t>100218-10-1823</t>
  </si>
  <si>
    <t>International School at ParkCity</t>
  </si>
  <si>
    <t>1, Jalan Intisari, Desa Parkcity, 52200 Kuala Lumpur, Wilayah Persekutuan.</t>
  </si>
  <si>
    <t xml:space="preserve">Pearly Lim </t>
  </si>
  <si>
    <t>Mother: Pearly Lim/ Father: Christopher Lim/ Sister: Mia Lim</t>
  </si>
  <si>
    <t>Intercontinental Robertson Quay</t>
  </si>
  <si>
    <t>24th June - 27th June</t>
  </si>
  <si>
    <t>Pearly Lim, 0122009243</t>
  </si>
  <si>
    <t>Juliana</t>
  </si>
  <si>
    <t>Ooi</t>
  </si>
  <si>
    <t>0124382288</t>
  </si>
  <si>
    <t>julianaohm@gmail.com</t>
  </si>
  <si>
    <t>Ong Yha Rou Natasha</t>
  </si>
  <si>
    <t>0135132288</t>
  </si>
  <si>
    <t>A70530848</t>
  </si>
  <si>
    <t>https://drive.google.com/open?id=1yys809xMIp4Ezxd13TK3PXyOqUMNb2sa</t>
  </si>
  <si>
    <t>https://drive.google.com/open?id=1p_Ptz6v8zqgZunyKrFk_TFqgXV6fwzC2</t>
  </si>
  <si>
    <t>https://drive.google.com/open?id=1uuuc7n06gFs7EsQG7kOyQ95bgt8REg9A</t>
  </si>
  <si>
    <t>100217-07-0340</t>
  </si>
  <si>
    <t>Prince of Wales Island International School</t>
  </si>
  <si>
    <t>1, Jalan Sungai Air Putih 6, Bandar Baru Air Putih, 11000 Balik Pulau, Pulau Pinang.</t>
  </si>
  <si>
    <t>Juliana Ooi</t>
  </si>
  <si>
    <t>Juliana Ooi Hwei Ming. Mother</t>
  </si>
  <si>
    <t>To be advised</t>
  </si>
  <si>
    <t>26/6/25</t>
  </si>
  <si>
    <t xml:space="preserve">Alex </t>
  </si>
  <si>
    <t xml:space="preserve">Lim </t>
  </si>
  <si>
    <t>0192200707</t>
  </si>
  <si>
    <t>limalex31@hotmail.com</t>
  </si>
  <si>
    <t>Adam Lim Keng Jin</t>
  </si>
  <si>
    <t>0198622611</t>
  </si>
  <si>
    <t>A70103068</t>
  </si>
  <si>
    <t>07092028</t>
  </si>
  <si>
    <t>https://drive.google.com/open?id=1CLjPmDRS_MniJeFDPvPiEjUsy_kPHCzs</t>
  </si>
  <si>
    <t>https://drive.google.com/open?id=1Vu_DceZlZZS_NYvR9QCcj0g3xsNFIf80</t>
  </si>
  <si>
    <t>Allergies (e.g. drugs, food)</t>
  </si>
  <si>
    <t xml:space="preserve">Food Allergies : Eggs, Mayonnaise, Banana, Sesame, Nuts, Raw foods, Cucumbers  </t>
  </si>
  <si>
    <t>Food Allergies : Eggs, Mayonnaise, Banana, Sesame, Nuts, Raw foods, Cucumbers</t>
  </si>
  <si>
    <t>https://drive.google.com/open?id=1uZ-6jtCN_rL5TrGfVeley0i72KHMeg2k</t>
  </si>
  <si>
    <t xml:space="preserve">Adam Lim Keng Jin </t>
  </si>
  <si>
    <t>120113-14-0891</t>
  </si>
  <si>
    <t>Nobel International School</t>
  </si>
  <si>
    <t>43, Jalan SS 22/41, Damansara Jaya, 47400 Petaling Jaya, Selangor</t>
  </si>
  <si>
    <t>Adam Lim</t>
  </si>
  <si>
    <t>Alex Lim</t>
  </si>
  <si>
    <t>Alex Lim (Father)
Carmen Chow (Mother)</t>
  </si>
  <si>
    <t>Alex 0192200707</t>
  </si>
  <si>
    <t>William</t>
  </si>
  <si>
    <t>Tan</t>
  </si>
  <si>
    <t>+8618601133233</t>
  </si>
  <si>
    <t>william.tan.wm@gmail.com</t>
  </si>
  <si>
    <t>Shannon Tan</t>
  </si>
  <si>
    <t>Shannon Tan Yan Qing</t>
  </si>
  <si>
    <t>A71092866</t>
  </si>
  <si>
    <t>https://drive.google.com/open?id=1ml9vvLOCOVn_I7BrgpII3PqWTn7OMV4w</t>
  </si>
  <si>
    <t>https://drive.google.com/open?id=1PECBfq2GhK5BB32Eae9ACoMvPVtpyfhn</t>
  </si>
  <si>
    <t>https://drive.google.com/open?id=1Afq4VP8YUKNwnP9W22WAAdr0Z_04tuzK</t>
  </si>
  <si>
    <t>William Tan</t>
  </si>
  <si>
    <t xml:space="preserve">TBC </t>
  </si>
  <si>
    <t>Lydia Lim</t>
  </si>
  <si>
    <t>Fong Jiau</t>
  </si>
  <si>
    <t>Chan</t>
  </si>
  <si>
    <t>0123529082</t>
  </si>
  <si>
    <t>honglinmarketing@gmail.com</t>
  </si>
  <si>
    <t>Eu Jun Lin</t>
  </si>
  <si>
    <t>A56183311</t>
  </si>
  <si>
    <t>09062027</t>
  </si>
  <si>
    <t>https://drive.google.com/open?id=1j4qY-H66ecBgmFoHMNILfIH2e4t9_LXt</t>
  </si>
  <si>
    <t>https://drive.google.com/open?id=142L8JHWPFNn-e0D1FCKKNCBxNquF_05g</t>
  </si>
  <si>
    <t>https://drive.google.com/open?id=1Ax1mHWa1MHz0Zo7GLpRE7ARC7houVUio</t>
  </si>
  <si>
    <t>120514-10-2765</t>
  </si>
  <si>
    <t>Sri KDU Secondary School</t>
  </si>
  <si>
    <t xml:space="preserve">No 5&amp;7, Jalan Teknologi 2/1, Kota Damansara 47810 Daerah Petaling, Selangor, Malaysia </t>
  </si>
  <si>
    <t>0123979097</t>
  </si>
  <si>
    <t>Chan Fong Jiau</t>
  </si>
  <si>
    <t xml:space="preserve">Chan Fong Jiau / Mother     Eu Hin Keong / Father     Eu Jian Hong / Brother </t>
  </si>
  <si>
    <t>Rest Bugis Hotel</t>
  </si>
  <si>
    <t>June 25, 2025 - June 28, 2025</t>
  </si>
  <si>
    <t>Chan Fong Jiau 0123529082</t>
  </si>
  <si>
    <t>Eu Hin Keong / Father 0163719790</t>
  </si>
  <si>
    <t xml:space="preserve">Heng Khai </t>
  </si>
  <si>
    <t xml:space="preserve">Lee </t>
  </si>
  <si>
    <t>jherijanto@gmail.com</t>
  </si>
  <si>
    <t>Lee Boon Wei David</t>
  </si>
  <si>
    <t>0123454698</t>
  </si>
  <si>
    <t>davidlbw23@gmail.com</t>
  </si>
  <si>
    <t>A57539059</t>
  </si>
  <si>
    <t>https://drive.google.com/open?id=1xRS8Pr0jEC6tgwKhJZ-w5c-wSiLinqIl</t>
  </si>
  <si>
    <t>https://drive.google.com/open?id=1mErckskn03okkwTUiy95cSqTzfDm363w</t>
  </si>
  <si>
    <t>https://drive.google.com/open?id=1EcP_sb5nFfYmb_mfVKr78aOeYYnQLrpE</t>
  </si>
  <si>
    <t>070923830015</t>
  </si>
  <si>
    <t>Sunway College</t>
  </si>
  <si>
    <t>No. 2, Jalan Universiti, Bandar Sunway, 47500 Selangor Darul Ehsan</t>
  </si>
  <si>
    <t>Lee Heng Khai</t>
  </si>
  <si>
    <t>0166934507</t>
  </si>
  <si>
    <t>Julianti Herijanto &amp; 0162793477</t>
  </si>
  <si>
    <t>Chai Pin</t>
  </si>
  <si>
    <t>Khoo</t>
  </si>
  <si>
    <t>0123352243</t>
  </si>
  <si>
    <t>shankhoo_2001@yahoo.com</t>
  </si>
  <si>
    <t xml:space="preserve">Lee E-An </t>
  </si>
  <si>
    <t>0173630825</t>
  </si>
  <si>
    <t>eanlee2010@gmail.com</t>
  </si>
  <si>
    <t>Lee E An</t>
  </si>
  <si>
    <t>A62698092</t>
  </si>
  <si>
    <t>https://drive.google.com/open?id=1Udl5hilgT8IreNr1A-hPzNgDgS37OwBd</t>
  </si>
  <si>
    <t>https://drive.google.com/open?id=1XPBB4vaxsWE3V2xaJaiFp-cpXWaO0qiI</t>
  </si>
  <si>
    <t>https://drive.google.com/open?id=19Y6nMCebYxLVt7HmtnJxCut1NGAnZL-y</t>
  </si>
  <si>
    <t>101012-10-1451</t>
  </si>
  <si>
    <t xml:space="preserve">Garden international school </t>
  </si>
  <si>
    <t xml:space="preserve">16, Jalan Kiara 3, Mont Kiara.  Kuala Lumpur </t>
  </si>
  <si>
    <t xml:space="preserve">Ean </t>
  </si>
  <si>
    <t>Shann Khoo</t>
  </si>
  <si>
    <t>Khoo Chai Pin</t>
  </si>
  <si>
    <t>The Serangoon House</t>
  </si>
  <si>
    <t>24/6-28/6</t>
  </si>
  <si>
    <t>Shann 0123352243</t>
  </si>
  <si>
    <t>YENG PING</t>
  </si>
  <si>
    <t>TOH</t>
  </si>
  <si>
    <t>0127803878</t>
  </si>
  <si>
    <t>eve_toh@hotmail.com</t>
  </si>
  <si>
    <t>RYANNE YEONG ZI TING</t>
  </si>
  <si>
    <t>0177193830</t>
  </si>
  <si>
    <t xml:space="preserve">RYANNE YEONG ZI TING </t>
  </si>
  <si>
    <t>A56802428</t>
  </si>
  <si>
    <t>03032028</t>
  </si>
  <si>
    <t>https://drive.google.com/open?id=1lUZl-HSkO0XCXzUgxD1ZnYFz8h-BQ8oK</t>
  </si>
  <si>
    <t>https://drive.google.com/open?id=1TV0TRvbFmUfMVOX1JI2ANTf0bcImdhYe</t>
  </si>
  <si>
    <t>https://drive.google.com/open?id=1RN9q2_4HueYDPT7TeRcWm2_5er1geg6V</t>
  </si>
  <si>
    <t>121122-01-0946</t>
  </si>
  <si>
    <t>SEKOLAH MENENGAH KEBANGSAAN INFANT JESUS CONVENT</t>
  </si>
  <si>
    <t>62, JALAN YAHYA AWAL, 80100 JOHOR BAHRU, JOHOR</t>
  </si>
  <si>
    <t>TOH YENG PING</t>
  </si>
  <si>
    <t>YEONG KWAN LOONG</t>
  </si>
  <si>
    <t>PRIVATE PROPERTY, +6593824278</t>
  </si>
  <si>
    <t>TOH YENG PING, 0127803878, +6593824278</t>
  </si>
  <si>
    <t xml:space="preserve">LILLIE </t>
  </si>
  <si>
    <t>LAU</t>
  </si>
  <si>
    <t>0128783299</t>
  </si>
  <si>
    <t>laul510@gmail.com</t>
  </si>
  <si>
    <t>RYAN LIAW CHEE HENG</t>
  </si>
  <si>
    <t>01032010</t>
  </si>
  <si>
    <t>01118929399</t>
  </si>
  <si>
    <t>ryanliawcheeheng@gmail.com</t>
  </si>
  <si>
    <t>K58955323</t>
  </si>
  <si>
    <t>06/05/2028</t>
  </si>
  <si>
    <t>https://drive.google.com/open?id=1dL2Kc1E5vDAQetmvVP60muMI2FZ60ftT</t>
  </si>
  <si>
    <t>https://drive.google.com/open?id=19nU1AIW39Q_hYQOEJlz1iMCojtnxEHKn</t>
  </si>
  <si>
    <t>https://drive.google.com/open?id=1Ha2sNPMLwhAX6L_3XjYPROi2UAzgqjwH</t>
  </si>
  <si>
    <t>100301-13-1839</t>
  </si>
  <si>
    <t>RIAM HILL INTERNATIONAL SECONDARY SCHOOL</t>
  </si>
  <si>
    <t>JALAN RIAM WILLOW, 98000 MIRI, SARAWAK</t>
  </si>
  <si>
    <t>011- 18929399</t>
  </si>
  <si>
    <t>LILLIE LAU</t>
  </si>
  <si>
    <t>012-8783299</t>
  </si>
  <si>
    <t>UNSURE</t>
  </si>
  <si>
    <t>LILLIE LAU- MOTHER</t>
  </si>
  <si>
    <t>LILLIE LAU, 012-8783299</t>
  </si>
  <si>
    <t>GAH JENN</t>
  </si>
  <si>
    <t xml:space="preserve">TANG </t>
  </si>
  <si>
    <t>0122743647</t>
  </si>
  <si>
    <t>jenn3142001@yahoo.com</t>
  </si>
  <si>
    <t>HERMANN TANG BOK YU</t>
  </si>
  <si>
    <t>0167285152</t>
  </si>
  <si>
    <t>tung_fan@hotmail.com</t>
  </si>
  <si>
    <t>K57754235</t>
  </si>
  <si>
    <t>https://drive.google.com/open?id=1OUgt3Tal_kJ5U6lverSgPiQDT5fHK1vh</t>
  </si>
  <si>
    <t>https://drive.google.com/open?id=1pRSfGVlW_pNryH5M6NQqX9J2S83x_h7R</t>
  </si>
  <si>
    <t>https://drive.google.com/open?id=1MfOHXXKx5u0qmCgC7KYAwjuLZoQaYzPt</t>
  </si>
  <si>
    <t>110917-10-0909</t>
  </si>
  <si>
    <t>TLS INTERNATIONAL SCHOOL</t>
  </si>
  <si>
    <t>12, &amp; 13 LORONG TEKNOLOGI C, PJU 5, KOTA DAMANSARA, 47810 PETALING JAYA, SELANGOR</t>
  </si>
  <si>
    <t>TANG GAH JENN</t>
  </si>
  <si>
    <t>TANG TUNG FAN 0167252911</t>
  </si>
  <si>
    <t>KOE HOONG</t>
  </si>
  <si>
    <t>WONG</t>
  </si>
  <si>
    <t>0193167540</t>
  </si>
  <si>
    <t>koehoong@yahoo.com</t>
  </si>
  <si>
    <t>BRENDA WONG ZE YANN</t>
  </si>
  <si>
    <t>A70288422</t>
  </si>
  <si>
    <t>https://drive.google.com/open?id=15OurG0d6XBkI-GApGO22rlChiXcdW8Ab</t>
  </si>
  <si>
    <t>https://drive.google.com/open?id=18WoQwIqoiRb7gl4nYRENoNTSfpgbMMi1</t>
  </si>
  <si>
    <t>https://drive.google.com/open?id=1-Tzxkpa6oR9wOl9BBAbSS-QQaezB1Yfx</t>
  </si>
  <si>
    <t>120614-14-0734</t>
  </si>
  <si>
    <t>elc INTERNATIONAL SCHOOL</t>
  </si>
  <si>
    <t>Jalan Sierramas Barat, Sierramas, 47000 Sungai Buloh, Selangor</t>
  </si>
  <si>
    <t>0124131483</t>
  </si>
  <si>
    <t>WONG KOE HOONG</t>
  </si>
  <si>
    <t>WONG KOE HOONG (FATHER) &amp; YEOH SIEW LIN (MOTHER)</t>
  </si>
  <si>
    <t>TO BE CONFIRMED</t>
  </si>
  <si>
    <t>WONG KOE HOONG 019 3167540</t>
  </si>
  <si>
    <t>WAI PUA</t>
  </si>
  <si>
    <t>LEONG</t>
  </si>
  <si>
    <t>+60166663235</t>
  </si>
  <si>
    <t>idealmelaka@gmail.com</t>
  </si>
  <si>
    <t>LAI WEN AN</t>
  </si>
  <si>
    <t>26/04/2014</t>
  </si>
  <si>
    <t>A62751992</t>
  </si>
  <si>
    <t>21/01/2030</t>
  </si>
  <si>
    <t>https://drive.google.com/open?id=1DcBc4Vrl4xEtUlBGyKZNhmqPqQSjk9Jr</t>
  </si>
  <si>
    <t>https://drive.google.com/open?id=1gW5MVU9bH7-_scs0qDgneQy4NCjgvn6e</t>
  </si>
  <si>
    <t>ALLERGIC TO ALL TYPES OF SEAFOOD EXCEPT FISH</t>
  </si>
  <si>
    <t>CANNOT CONSUME SEAFOOD EXCEPT FISH</t>
  </si>
  <si>
    <t>ALLERGIC TO SEAFOOD EXCEPT FISH</t>
  </si>
  <si>
    <t>https://drive.google.com/open?id=1i6xOMv_oJ6Zkr2zD5J7H_UehSegCAXOc</t>
  </si>
  <si>
    <t>SJKC AYER KEROH</t>
  </si>
  <si>
    <t>JALAN AYER KEROH LAMA, 75450 MELAKA</t>
  </si>
  <si>
    <t>+60126263235</t>
  </si>
  <si>
    <t>LEONG WAI PUA</t>
  </si>
  <si>
    <t>LAI TECK KHIONG (FATHER) LEONG WAI PUA (MOTHER)</t>
  </si>
  <si>
    <t>BLK 154 RIVERVALE CRESENT #06-130, SINGAPORE 540154</t>
  </si>
  <si>
    <t>24/06/2025</t>
  </si>
  <si>
    <t>LEONG WAI PUA +60166663235</t>
  </si>
  <si>
    <t>VICTOR</t>
  </si>
  <si>
    <t>LEONG CHIN SIN</t>
  </si>
  <si>
    <t>016-871-5157</t>
  </si>
  <si>
    <t>victorlcs@hotmail.com</t>
  </si>
  <si>
    <t>DYLAN LEONG YI QUAN</t>
  </si>
  <si>
    <t>016-683-6706</t>
  </si>
  <si>
    <t>dylanlyq09@gmail.com</t>
  </si>
  <si>
    <t>K60126872</t>
  </si>
  <si>
    <t>https://drive.google.com/open?id=1hHPw7yhRQyIbkMcbhvL5QKWv7TDkHvMC</t>
  </si>
  <si>
    <t>https://drive.google.com/open?id=1XOAOWvmYcXyZzVWWn6dHMKqEQVw9Iccq</t>
  </si>
  <si>
    <t>https://drive.google.com/open?id=1RmgxrEo0k00wJDLRiPGkS3NFJVpOdmV5</t>
  </si>
  <si>
    <t>090619-13-1349</t>
  </si>
  <si>
    <t>St Joseph's International School Kuching</t>
  </si>
  <si>
    <t xml:space="preserve"> Lot 419, Section 58, KTLD, Jalan Tan Sri Datuk William Tan, 93450 Kuching, Sarawak</t>
  </si>
  <si>
    <t>VICTOR LEONG</t>
  </si>
  <si>
    <t>VICTOR 016-8715157</t>
  </si>
  <si>
    <t>MOTHER CONTACT 012-886-6706</t>
  </si>
  <si>
    <t>CHRISTIE</t>
  </si>
  <si>
    <t>NG</t>
  </si>
  <si>
    <t>0105159759</t>
  </si>
  <si>
    <t>christieng@outlook.com</t>
  </si>
  <si>
    <t>Isabelle Chiyi Buckley</t>
  </si>
  <si>
    <t>0102189759</t>
  </si>
  <si>
    <t>isabellebuckley@outlook.com</t>
  </si>
  <si>
    <t>ISABELLE CHIYI BUCKLEY</t>
  </si>
  <si>
    <t>A70102772</t>
  </si>
  <si>
    <t>06032029</t>
  </si>
  <si>
    <t>https://drive.google.com/open?id=1rRijY7r8veCK1gqZlsUeLiManq-B1SPp</t>
  </si>
  <si>
    <t>https://drive.google.com/open?id=1Dk7HuZWmiXTSJopziY0-n5YPfu7MR0h6</t>
  </si>
  <si>
    <t>https://drive.google.com/open?id=1co9EYbD_lmf6obZd9GoJFdW5NYroC4Ra</t>
  </si>
  <si>
    <t>090715-14-0536</t>
  </si>
  <si>
    <t>Charterhouse International Secondary School</t>
  </si>
  <si>
    <t>62, Jalan Sri Hartamas 1, Taman Sri Hartamas, 50480 Kuala Lumpur</t>
  </si>
  <si>
    <t>Christie</t>
  </si>
  <si>
    <t>Christie Ng - Mother</t>
  </si>
  <si>
    <t xml:space="preserve">Christie </t>
  </si>
  <si>
    <t>Ng</t>
  </si>
  <si>
    <t>Natalie Suyin Buckley</t>
  </si>
  <si>
    <t>0169509718</t>
  </si>
  <si>
    <t>nataliebuckley@outlook.com</t>
  </si>
  <si>
    <t>NATALIE SUYIN BUCKLEY</t>
  </si>
  <si>
    <t>A55468153</t>
  </si>
  <si>
    <t>17/08/2027</t>
  </si>
  <si>
    <t>https://drive.google.com/open?id=13MPKfvHPEFT1H9mpm81Y_ljbrNm645ER</t>
  </si>
  <si>
    <t>https://drive.google.com/open?id=1WkZCRJd8qAkmKtWiCTQTpB2Ob4YXYnyT</t>
  </si>
  <si>
    <t>https://drive.google.com/open?id=1jvVp9IvQxp8n5YjDmTGH4GwotOGYoTDl</t>
  </si>
  <si>
    <t>071214-14-0366</t>
  </si>
  <si>
    <t>CHARTERHOUSE INTERNATIONAL SECONDARY SCHOOL</t>
  </si>
  <si>
    <t>Christie Ng</t>
  </si>
  <si>
    <t>Paul Buckley</t>
  </si>
  <si>
    <t>24-27 June 2025</t>
  </si>
  <si>
    <t xml:space="preserve"> KING HOCK</t>
  </si>
  <si>
    <t>LEE</t>
  </si>
  <si>
    <t>0138098388</t>
  </si>
  <si>
    <t>choonyin8828@gmail.com</t>
  </si>
  <si>
    <t xml:space="preserve">BRYSTON LEE KHAI CHENG </t>
  </si>
  <si>
    <t>26.02.2011</t>
  </si>
  <si>
    <t>0169398133</t>
  </si>
  <si>
    <t>BRYSTON LEE KHAI CHENG</t>
  </si>
  <si>
    <t>K62427926</t>
  </si>
  <si>
    <t>06.10.2029</t>
  </si>
  <si>
    <t>https://drive.google.com/open?id=1Mto3Qcz5BLglADKUgeNaJ-Ezde6AIyCx</t>
  </si>
  <si>
    <t>https://drive.google.com/open?id=1vE579m3vzSYcNeoGZArK8WOztFpU07tF</t>
  </si>
  <si>
    <t xml:space="preserve">NO SPICY FOOD </t>
  </si>
  <si>
    <t>https://drive.google.com/open?id=1n4kGD4OgD7Guq1MzwKdDHMFb2GhH2x9o</t>
  </si>
  <si>
    <t>110226-13-0375</t>
  </si>
  <si>
    <t>CHUNG HUA MIDDLE NO.1</t>
  </si>
  <si>
    <t>PENDING ROAD, 93450 KUCHING, SARAWAK</t>
  </si>
  <si>
    <t>LEE KING HOCK</t>
  </si>
  <si>
    <t>OLIVIA SEOW CUI YING</t>
  </si>
  <si>
    <t>KOW LI LIAN</t>
  </si>
  <si>
    <t>0123231600</t>
  </si>
  <si>
    <t>lilian_kow@hotmail.com</t>
  </si>
  <si>
    <t>05/03/2011</t>
  </si>
  <si>
    <t>SEOW CUI YING</t>
  </si>
  <si>
    <t>A55051288</t>
  </si>
  <si>
    <t>13/06/2027</t>
  </si>
  <si>
    <t>https://drive.google.com/open?id=1dP-Nf6QjmSmycXDG0fYS-dNuHd5hkHpz</t>
  </si>
  <si>
    <t>https://drive.google.com/open?id=1jeJ00ZpLN1sBYw5WEHSKTQfoHbq218jR</t>
  </si>
  <si>
    <t>https://drive.google.com/open?id=19U35xI3PVyU5kWdR0er_gkIMxRQl0uNJ</t>
  </si>
  <si>
    <t>110305-14-0918</t>
  </si>
  <si>
    <t>ALICE SMITH SCHOOL</t>
  </si>
  <si>
    <t>3 Jalan Equine,
Taman Equine,
43300 Seri Kembangan,
Selangor, Malaysia.</t>
  </si>
  <si>
    <t xml:space="preserve">KOW LI LIAN/ MOTHER
SEOW VOON PING/FATHER
</t>
  </si>
  <si>
    <t>KOW LI LIAN 0123231600</t>
  </si>
  <si>
    <t>Anis</t>
  </si>
  <si>
    <t>Abdul Rahman</t>
  </si>
  <si>
    <t>0123292934</t>
  </si>
  <si>
    <t>anismazwin@yahoo.com</t>
  </si>
  <si>
    <t>Noah Abdul Rizal</t>
  </si>
  <si>
    <t>07082012</t>
  </si>
  <si>
    <t>NOAH BIN ABDUL RIZAL</t>
  </si>
  <si>
    <t>A55031344</t>
  </si>
  <si>
    <t>https://drive.google.com/open?id=1crFnhfpO5eI87LaNFkrCm78-Z71RXXoJ</t>
  </si>
  <si>
    <t>https://drive.google.com/open?id=1dTcl9k_XFcfw9FsWctmy1ajWzpX_1T6R</t>
  </si>
  <si>
    <t>Halal</t>
  </si>
  <si>
    <t>https://drive.google.com/open?id=1MqiuDvqq6lTlP-JYi8W461vSProArtL_</t>
  </si>
  <si>
    <t>Anis Abdul Rahman</t>
  </si>
  <si>
    <t>Anis Mazwin Abdul Rahman (mother), Joseph Koh (father)</t>
  </si>
  <si>
    <t>Not sure yet. Will inform later once booking is done.</t>
  </si>
  <si>
    <t>24th June 2028</t>
  </si>
  <si>
    <t>After SEA Age, we are planning to stay for a couple of days longer in Singapore. Therefore Noah may not be flying back with the team. Please let us know if this is okay. Thank you.</t>
  </si>
  <si>
    <t>SHAO TSUNG</t>
  </si>
  <si>
    <t>LAI</t>
  </si>
  <si>
    <t>+86-13801714973</t>
  </si>
  <si>
    <t>klai4@collarchampion.com</t>
  </si>
  <si>
    <t>LAI JUN SHENG JULIUS</t>
  </si>
  <si>
    <t>Category B1R (self-funded)</t>
  </si>
  <si>
    <t>+8613801714973</t>
  </si>
  <si>
    <t>A62753053</t>
  </si>
  <si>
    <t>https://drive.google.com/open?id=1ELPcv7Co0aE6z0YVKmS9fng0NcL1h6Gy</t>
  </si>
  <si>
    <t>https://drive.google.com/open?id=1Kd-NN07jpPLgmYVMRg9PdpDNozcgqsd_</t>
  </si>
  <si>
    <t>Allergic to Paracetamol</t>
  </si>
  <si>
    <t>https://drive.google.com/open?id=1oO6r9OW5_ICOhRRNGdzxhfIKAq-_h2IG</t>
  </si>
  <si>
    <t>JULIUS LAI</t>
  </si>
  <si>
    <t>LAI SHAO TSUNG</t>
  </si>
  <si>
    <t>LAI SHAO TSUNG/Father, HUANG HUI/Mother</t>
  </si>
  <si>
    <t>Sheraton Towers Singapore, 39 Scotts Road Singapore, +65-67376888</t>
  </si>
  <si>
    <t>24th-28th June 2025</t>
  </si>
  <si>
    <t>LAI SHAO TSUNG, +8613801714973, +6011-1781-9819</t>
  </si>
  <si>
    <t xml:space="preserve">Sharon </t>
  </si>
  <si>
    <t>Sung</t>
  </si>
  <si>
    <t>0193520004</t>
  </si>
  <si>
    <t>sharon.sung.ss@gmail.com</t>
  </si>
  <si>
    <t>Ng Ze Heng</t>
  </si>
  <si>
    <t>04102007</t>
  </si>
  <si>
    <t>+60103677410</t>
  </si>
  <si>
    <t>ngzeheng@gmail.com</t>
  </si>
  <si>
    <t>H58628214</t>
  </si>
  <si>
    <t>https://drive.google.com/open?id=1YVnz4O1L6cJDOzkBl0tdweaates-mNrQ</t>
  </si>
  <si>
    <t>https://drive.google.com/open?id=17oVNM7VPN4Sx37CCTLP7JYNsF0LqGh8p</t>
  </si>
  <si>
    <t>https://drive.google.com/open?id=1ie7vjWcVOP53zK2qAAqEpOgBSt6gmT5R</t>
  </si>
  <si>
    <t>041007-10-2329</t>
  </si>
  <si>
    <t>Sunway College, 2, Jalan Universiti, Bandar Sunway, 47500 Petaling Jaya, Selangor</t>
  </si>
  <si>
    <t>Ng Ze Heng, Henry</t>
  </si>
  <si>
    <t>Sharon Sung</t>
  </si>
  <si>
    <t>+60193520004</t>
  </si>
  <si>
    <t>Sharon Sung, Mother</t>
  </si>
  <si>
    <t>Not book yet</t>
  </si>
  <si>
    <t>25 June 25</t>
  </si>
  <si>
    <t xml:space="preserve"> Sharon Sung</t>
  </si>
  <si>
    <t xml:space="preserve">Cynthia </t>
  </si>
  <si>
    <t>Low</t>
  </si>
  <si>
    <t>0122339652</t>
  </si>
  <si>
    <t>cynthiaynl@gmail.com</t>
  </si>
  <si>
    <t>Leow Jin Bin</t>
  </si>
  <si>
    <t>19 Oct 2012</t>
  </si>
  <si>
    <t>0129238808</t>
  </si>
  <si>
    <t>leowjinbin@gmail.com</t>
  </si>
  <si>
    <t>A57384178</t>
  </si>
  <si>
    <t>11 12 2027</t>
  </si>
  <si>
    <t>https://drive.google.com/open?id=18NGUUmUNgDavF97rwg-iG-f1JTjXjnOq</t>
  </si>
  <si>
    <t>https://drive.google.com/open?id=1kGxVBJF3bNNAskNowKahVY3_oYHpjh9d</t>
  </si>
  <si>
    <t>https://drive.google.com/open?id=1TQ_SI6sVMBRys5YF7dZHVcr34aOok5w5</t>
  </si>
  <si>
    <t>121019-01-1705</t>
  </si>
  <si>
    <t>16, Jln Kiara 3, Mont Kiara, 50480 Kuala Lumpur, Wilayah Persekutuan Kuala Lumpur</t>
  </si>
  <si>
    <t>Cynthia ( Mother ) &amp; Chee Peng ( Father )</t>
  </si>
  <si>
    <t>+60122339652 , Hilton Hotel</t>
  </si>
  <si>
    <t>24th - 27th June</t>
  </si>
  <si>
    <t>Cynthia 0122339652</t>
  </si>
  <si>
    <t xml:space="preserve">Visnupriya </t>
  </si>
  <si>
    <t>Subasantharan</t>
  </si>
  <si>
    <t>0123053580</t>
  </si>
  <si>
    <t>priyanityananthan@gmail.com</t>
  </si>
  <si>
    <t>Parvin Nityananthan</t>
  </si>
  <si>
    <t>12/09/2007</t>
  </si>
  <si>
    <t>0126113580</t>
  </si>
  <si>
    <t>nvparvin@gmail.com</t>
  </si>
  <si>
    <t xml:space="preserve">Parvin A/L Nityananthan </t>
  </si>
  <si>
    <t>A59662444</t>
  </si>
  <si>
    <t>15/09/2028</t>
  </si>
  <si>
    <t>https://drive.google.com/open?id=1kLlz2THMfCAbOZQ5-cUDHCAZy7LCP3q0</t>
  </si>
  <si>
    <t>https://drive.google.com/open?id=1K58vq-X3_D4sD85X8SWEhNq4-YRiNvAy</t>
  </si>
  <si>
    <t>https://drive.google.com/open?id=1pViPLkFcfWxbNYLGR7ihpc_zgF9GSfU-</t>
  </si>
  <si>
    <t xml:space="preserve">PARVIN NITYANANTHAN </t>
  </si>
  <si>
    <t>070912101677</t>
  </si>
  <si>
    <t xml:space="preserve">BRICKFIELDS ASIA COLLEGE </t>
  </si>
  <si>
    <t>B-2, G-Floor, Jln Utara, Section 14, 46200 Petaling Jaya, Selangor</t>
  </si>
  <si>
    <t>PARVIN NITYANANTHAN</t>
  </si>
  <si>
    <t xml:space="preserve">VISNUPRIYA SUBASANTHARAN </t>
  </si>
  <si>
    <t>VISNUPRIYA SUBASANTHARAN- MOM</t>
  </si>
  <si>
    <t>-</t>
  </si>
  <si>
    <t>24-27 JULY 2025</t>
  </si>
  <si>
    <t>VISNUPRIYA- 0123053580</t>
  </si>
  <si>
    <t>Chen Keng</t>
  </si>
  <si>
    <t>Chong</t>
  </si>
  <si>
    <t>012-6166198</t>
  </si>
  <si>
    <t>joancck6@gmail.com</t>
  </si>
  <si>
    <t>Ngui Jing</t>
  </si>
  <si>
    <t>016-6909996</t>
  </si>
  <si>
    <t>jingngui@gmail.com</t>
  </si>
  <si>
    <t>A62517567</t>
  </si>
  <si>
    <t>06102029</t>
  </si>
  <si>
    <t>https://drive.google.com/open?id=1HY6KQY8XtYD2_Ecpp0pm9ypCEkcaVHpY</t>
  </si>
  <si>
    <t>https://drive.google.com/open?id=1n67VoJs2tOUtMsO8L6jPORcTh3P58VCE</t>
  </si>
  <si>
    <t>https://drive.google.com/open?id=1PhV3h7mBVRDoSjE4KqM2J08rF_oAQuBA</t>
  </si>
  <si>
    <t>NGUI JING</t>
  </si>
  <si>
    <t>090311-05-0251</t>
  </si>
  <si>
    <t>SEKOLAH TINGGI CHUNG HUA</t>
  </si>
  <si>
    <t>JALAN TUN DR.ISMAIL 70200 SEREMBAN NEGERI SEMBILAN</t>
  </si>
  <si>
    <t>JOAN CHONG CHEN KENG</t>
  </si>
  <si>
    <t xml:space="preserve">JOAN CHONG - MOTHER </t>
  </si>
  <si>
    <t>24-29 JUN 2025</t>
  </si>
  <si>
    <t>Ngui Yuen Fatt 012-3378663</t>
  </si>
  <si>
    <t>HO ZHI JU</t>
  </si>
  <si>
    <t>06/03/2012</t>
  </si>
  <si>
    <t>0123220965</t>
  </si>
  <si>
    <t>A57377854</t>
  </si>
  <si>
    <t>25/03/2028</t>
  </si>
  <si>
    <t>https://drive.google.com/open?id=1b7DRD2UpQYxLatlDeyiij5SOSEgoTbr6</t>
  </si>
  <si>
    <t>https://drive.google.com/open?id=1elhFIi0d0UrrAaKH6UDz9GPSZuIdt5aY</t>
  </si>
  <si>
    <t>https://drive.google.com/open?id=1PKEGL9hfx_Tp4IibEIwjFvpMiCglcnNA</t>
  </si>
  <si>
    <t>HO HAN SENG</t>
  </si>
  <si>
    <t>0197101378</t>
  </si>
  <si>
    <t>HO HAN SENG (father)</t>
  </si>
  <si>
    <t>GAN MEI YING</t>
  </si>
  <si>
    <t>Jenny</t>
  </si>
  <si>
    <t>Chung</t>
  </si>
  <si>
    <t>0164716801/0086 13386223831(China)</t>
  </si>
  <si>
    <t>jennycmy68@yahoo.com</t>
  </si>
  <si>
    <t>Valerie Cheng</t>
  </si>
  <si>
    <t>08/09/2012</t>
  </si>
  <si>
    <t>A59473534</t>
  </si>
  <si>
    <t>13/01/2029</t>
  </si>
  <si>
    <t>https://drive.google.com/open?id=1Ojd20l07BXW8TRAAed7nVA0HElfTLSeJ</t>
  </si>
  <si>
    <t>https://drive.google.com/open?id=1v7k7LxZtsVLz2AefYEZLoW9pgTDkWKqd</t>
  </si>
  <si>
    <t>https://drive.google.com/open?id=1UnkqbJFKktD_NEB2fZ3wA0pQxWD7IG1j</t>
  </si>
  <si>
    <t>0164716801</t>
  </si>
  <si>
    <t>Jenny Chung</t>
  </si>
  <si>
    <t>Jenny Chung mother &amp; Dexter Cheng father</t>
  </si>
  <si>
    <t>Jenny Chung 016-4716801</t>
  </si>
  <si>
    <t>+8618610833233</t>
  </si>
  <si>
    <t>https://drive.google.com/open?id=1RJH3SYiQZsDu_F7L5_ewXbr7pSc_yXEn</t>
  </si>
  <si>
    <t>https://drive.google.com/open?id=1nHusLx_iYPtXdbQE599kqd8AG7PjSeMU</t>
  </si>
  <si>
    <t>https://drive.google.com/open?id=1uHC3jiYgYs3aDMFfDAP5CZlG8u0NRsrD</t>
  </si>
  <si>
    <t>William Tan/Father and Lydia Lim/Mother</t>
  </si>
  <si>
    <t>23 June 2025 to 28 June 2025</t>
  </si>
  <si>
    <t>Yee Ting</t>
  </si>
  <si>
    <t xml:space="preserve">Ang </t>
  </si>
  <si>
    <t>0176700191</t>
  </si>
  <si>
    <t>eting21@gmail.com</t>
  </si>
  <si>
    <t>Aedon Lim Wei Zhe</t>
  </si>
  <si>
    <t>0103770191</t>
  </si>
  <si>
    <t>aedonlim6@hmail.com</t>
  </si>
  <si>
    <t>AEDON LIM WEI ZHE</t>
  </si>
  <si>
    <t>A59926412</t>
  </si>
  <si>
    <t>https://drive.google.com/open?id=16xKAUTC_mHPrSeEuxDmbrumuct3gWPxf</t>
  </si>
  <si>
    <t>https://drive.google.com/open?id=1nr8nE10Cr48C5w3y_6MUsiOHOGse3cuE</t>
  </si>
  <si>
    <t>https://drive.google.com/open?id=1Q7aBPve9R2k1aZh0nYhSfi3xMA607QeK</t>
  </si>
  <si>
    <t>120726-07-0611</t>
  </si>
  <si>
    <t xml:space="preserve">Ideas International Secondary School </t>
  </si>
  <si>
    <t>66, Jalan Murai Taman Pekaka, Sungai Dua, 11700, Pulau Pinang</t>
  </si>
  <si>
    <t>Colleen Ang</t>
  </si>
  <si>
    <t>Na</t>
  </si>
  <si>
    <t xml:space="preserve">Chai Pin </t>
  </si>
  <si>
    <t>Lee E-An</t>
  </si>
  <si>
    <t xml:space="preserve">Lee E An </t>
  </si>
  <si>
    <t>https://drive.google.com/open?id=1F2vPOTyDXovCI2_46u_SdkKNY6NWiM8O</t>
  </si>
  <si>
    <t>https://drive.google.com/open?id=1kNNu9mSnVQwWUberDZGSN4B0rdmX_WrL</t>
  </si>
  <si>
    <t>https://drive.google.com/open?id=1nTa1VW6KcrCl4UckBQpZP_hrrZfv4RHl</t>
  </si>
  <si>
    <t xml:space="preserve">16, Jalan Kiara 3 , Mont Kiara , 50480.  KL </t>
  </si>
  <si>
    <t xml:space="preserve">Khoo Chai Pin - Mother </t>
  </si>
  <si>
    <t xml:space="preserve">Sarangoon Hotel Singapore </t>
  </si>
  <si>
    <t>JASON</t>
  </si>
  <si>
    <t>0123922873</t>
  </si>
  <si>
    <t>lee.kah.heng@gmail.com</t>
  </si>
  <si>
    <t>DOMINIC LEE CHERN ERN</t>
  </si>
  <si>
    <t>0102922873</t>
  </si>
  <si>
    <t>dominic.lee.ce@gmail.com</t>
  </si>
  <si>
    <t>A57799705</t>
  </si>
  <si>
    <t>04012028</t>
  </si>
  <si>
    <t>https://drive.google.com/open?id=1GSfSvvAUbuJ7bqFDpB5lgRhQksUVQZ33</t>
  </si>
  <si>
    <t>https://drive.google.com/open?id=1lmPM-Zp-zPZGZscSldvCm-oqcknybxH_</t>
  </si>
  <si>
    <t xml:space="preserve">Lactose intolerant, minor. </t>
  </si>
  <si>
    <t>https://drive.google.com/open?id=1Z8H2aHe9FXxH12W2U3BtX70L179dkjGk</t>
  </si>
  <si>
    <t>120518-10-1831</t>
  </si>
  <si>
    <t>SMK BANDAR UTAMA DAMANSARA (2)</t>
  </si>
  <si>
    <t xml:space="preserve">JALAN BU 1/11, 47800 PETALING JAYA, SELANGOR. </t>
  </si>
  <si>
    <t>JASON LEE KAH HENG</t>
  </si>
  <si>
    <t>JASON LEE 0123922873</t>
  </si>
  <si>
    <t>SINGAPORE EMERGENCY CONTACT - MR. PETER PANG +65 9224 3737</t>
  </si>
  <si>
    <t xml:space="preserve">DANI </t>
  </si>
  <si>
    <t>012-3231470</t>
  </si>
  <si>
    <t>fareenmyla@gmail.com</t>
  </si>
  <si>
    <t>DAMIAN SETH LIM</t>
  </si>
  <si>
    <t>017-2683252</t>
  </si>
  <si>
    <t>A59761176</t>
  </si>
  <si>
    <t>https://drive.google.com/open?id=1cdE4BKX77erg1vn4erp-z6mfk6tFeqJj</t>
  </si>
  <si>
    <t>https://drive.google.com/open?id=1PtW2u2QauJXzMEnjy-moyzaB1vlRdwSO</t>
  </si>
  <si>
    <t>https://drive.google.com/open?id=1JrNi8BoT8DMwZpb7YXu2DrT5HjQ8aihP</t>
  </si>
  <si>
    <t>110111-10-0301</t>
  </si>
  <si>
    <t>13 LORONG TEKNOLOGI C, TAMAN SAINS SELANGOR, 47810 PETALING JAYA, SELANGOR</t>
  </si>
  <si>
    <t>SHAHFAREEN JAN</t>
  </si>
  <si>
    <t>012-6861600</t>
  </si>
  <si>
    <t>DANI LIM - FATHER
SHAHFAREEN - MOTHER
DELIA - SISTER
LIM EWE SENG - GRANDFATHER</t>
  </si>
  <si>
    <t>SHAHFAREEN JAN, 0126861600</t>
  </si>
  <si>
    <t xml:space="preserve">Bee Chu </t>
  </si>
  <si>
    <t>Ong</t>
  </si>
  <si>
    <t>0162013338</t>
  </si>
  <si>
    <t>ocbc01@yahoo.com</t>
  </si>
  <si>
    <t>Jodie Yip Ji Shin</t>
  </si>
  <si>
    <t>JODIE YIP JI SHIN</t>
  </si>
  <si>
    <t>A60222858</t>
  </si>
  <si>
    <t>07112028</t>
  </si>
  <si>
    <t>https://drive.google.com/open?id=1MaemvdGjJ1C2EB4WbnA66kogeqxIU7zz</t>
  </si>
  <si>
    <t>https://drive.google.com/open?id=1ZF9fO3PolkVwV2l_ajTzrQLd1wRDsKsT</t>
  </si>
  <si>
    <t>https://drive.google.com/open?id=1NtfdeGvhQ96uqe3gQQXfGowh7AN2chhT</t>
  </si>
  <si>
    <t>120123 04 0376</t>
  </si>
  <si>
    <t>SEKOLAH MENENGAH KEBANGSAAN TINGGI ST DAVID</t>
  </si>
  <si>
    <t>JALAN TANJUNG BUKIT BARU, 75150 MELAKA.</t>
  </si>
  <si>
    <t>0133025720</t>
  </si>
  <si>
    <t>ONG BEE CHU</t>
  </si>
  <si>
    <t>ONG BEE CHU (MOTHER)
YIP CHEE WAI (FATHER)
JESLYN YIP JI CHING (SISTER)</t>
  </si>
  <si>
    <t>IBIS BUDGET SINGAPORE BUGIS</t>
  </si>
  <si>
    <t>24-28/6/2025</t>
  </si>
  <si>
    <t>Zamberi bin Pandak</t>
  </si>
  <si>
    <t>Zamberi</t>
  </si>
  <si>
    <t>0183111776</t>
  </si>
  <si>
    <t>zamberi.pandak@7eleven.com.my</t>
  </si>
  <si>
    <t>Darwisyah Insyirah binti Zamberi</t>
  </si>
  <si>
    <t>06/07/2013</t>
  </si>
  <si>
    <t>NO, I DECLINE and am UNABLE TO PARTICIPATE in the 47th SEA AGE GROUP 2025</t>
  </si>
  <si>
    <t>LI FEN</t>
  </si>
  <si>
    <t>BEE</t>
  </si>
  <si>
    <t>010-370 1997</t>
  </si>
  <si>
    <t>beelifen4889@gmail.com</t>
  </si>
  <si>
    <t xml:space="preserve">VIVIAN TEE XIN LING </t>
  </si>
  <si>
    <t>03-03-2011</t>
  </si>
  <si>
    <t>011-6123 8934</t>
  </si>
  <si>
    <t>teevivian19@gmail.com</t>
  </si>
  <si>
    <t>A56174008</t>
  </si>
  <si>
    <t>14-07-2027</t>
  </si>
  <si>
    <t>https://drive.google.com/open?id=1mSXiK_Gv8BRiTywLqhXlcwaCWXwxE0gD</t>
  </si>
  <si>
    <t>https://drive.google.com/open?id=15RP6Al6Y9aqkRf_-NdlemPGrDkpVvCtp</t>
  </si>
  <si>
    <t>https://drive.google.com/open?id=1O9-Tc-bxiKr8friY7E5frBzipCMlrcuV</t>
  </si>
  <si>
    <t>110303-07-0506</t>
  </si>
  <si>
    <t xml:space="preserve">SMJK HENG EE CAWANGAN BAYAN BARU </t>
  </si>
  <si>
    <t xml:space="preserve">BEE LI FEN </t>
  </si>
  <si>
    <t>BEE Li Fen 010-370 1997</t>
  </si>
  <si>
    <t>Father 016-432 6718</t>
  </si>
  <si>
    <t>Azizur Riza</t>
  </si>
  <si>
    <t>Nor Azman</t>
  </si>
  <si>
    <t>0168785189</t>
  </si>
  <si>
    <t>azizur.riza@gmail.com</t>
  </si>
  <si>
    <t>Adam Malik bin Azizur Riza</t>
  </si>
  <si>
    <t>Category B2R (self-funded)</t>
  </si>
  <si>
    <t>02072009</t>
  </si>
  <si>
    <t>0162985198</t>
  </si>
  <si>
    <t>azizurriza.adammalik@gmail.com</t>
  </si>
  <si>
    <t>Adam Malik Bin Azizur Riza</t>
  </si>
  <si>
    <t>H70362696</t>
  </si>
  <si>
    <t>https://drive.google.com/open?id=14tUVqAWrSWkxnHBYvv7RtFkst8VSw4G6</t>
  </si>
  <si>
    <t>https://drive.google.com/open?id=1H9iuLZ_3cL3pk7NWIlAJnHV9_io6xbVq</t>
  </si>
  <si>
    <t>Halal food only.</t>
  </si>
  <si>
    <t>https://drive.google.com/open?id=1F5V9-Xa-BzyqAmdjXE_gt_lyE7A55fCN</t>
  </si>
  <si>
    <t>020709-14-0625</t>
  </si>
  <si>
    <t xml:space="preserve">Cempaka International School </t>
  </si>
  <si>
    <t>Cempaka School, Bukit Damansara</t>
  </si>
  <si>
    <t>Adam Malik</t>
  </si>
  <si>
    <t>Azizur Riza - Dad. Norizah Othman- Mom, Ariz Maqil- Brother</t>
  </si>
  <si>
    <t xml:space="preserve">Ibis </t>
  </si>
  <si>
    <t>25 June</t>
  </si>
  <si>
    <t>Azizur Riza 0168785189, Norizah 0168785198</t>
  </si>
  <si>
    <t>Dad &amp; Mom</t>
  </si>
  <si>
    <t>KUEH</t>
  </si>
  <si>
    <t>0128095775</t>
  </si>
  <si>
    <t>ala_ddin@hotmail.com</t>
  </si>
  <si>
    <t>RYAN COLBY KUEH POH YUAN</t>
  </si>
  <si>
    <t>01110782009</t>
  </si>
  <si>
    <t>colbykueh@gmail.com</t>
  </si>
  <si>
    <t>K61720016</t>
  </si>
  <si>
    <t>https://drive.google.com/open?id=1YknzceTKjyLn8iTpvwE-1_iqTFSSAvCS</t>
  </si>
  <si>
    <t>https://drive.google.com/open?id=1cgIUF_EUcz6KmdUPZ8EJwBHs3IFpN4R3</t>
  </si>
  <si>
    <t>https://drive.google.com/open?id=1JPq1M73RwwETgH7CUWl05NSKXkHzZSDq</t>
  </si>
  <si>
    <t>090119-13-0729</t>
  </si>
  <si>
    <t>LODGE NATIONAL SECONDARY SCHOOL</t>
  </si>
  <si>
    <t>Lorong Keranji 4e, Tabuan Desa, 93350 Kuching, Sarawak</t>
  </si>
  <si>
    <t>VICTOR KUEH</t>
  </si>
  <si>
    <t>VICTOR KUEH 0128095775</t>
  </si>
  <si>
    <t>SWEE LING</t>
  </si>
  <si>
    <t>LING</t>
  </si>
  <si>
    <t>0128083331</t>
  </si>
  <si>
    <t>amylsl81@gmail.com</t>
  </si>
  <si>
    <t>MAX CHEW YU XIANG</t>
  </si>
  <si>
    <t>05/03/2012</t>
  </si>
  <si>
    <t>0128866168</t>
  </si>
  <si>
    <t>maxyuxiangchew@gmail.com</t>
  </si>
  <si>
    <t>K59077805</t>
  </si>
  <si>
    <t>21/05/2028</t>
  </si>
  <si>
    <t>https://drive.google.com/open?id=1oECwMRoBeiwcOheRS0qm_bl9_cxCWc4I</t>
  </si>
  <si>
    <t>https://drive.google.com/open?id=1sCJa7meY8uec50r8qDSJOoV-_9Wgyuam</t>
  </si>
  <si>
    <t>https://drive.google.com/open?id=1hJDB-MY-dwJZDnjY33q9gA-zgpGiERvX</t>
  </si>
  <si>
    <t>120305-13-0129</t>
  </si>
  <si>
    <t>ST JOSEPH'S INTERNATIONAL SCHOOL KUCHING</t>
  </si>
  <si>
    <t>Lot 419, Section 58, KTLD, Jalan Tan Sri Datuk William Tan, 93450 Kuching, Sarawak</t>
  </si>
  <si>
    <t>LING SWEE LING</t>
  </si>
  <si>
    <t>LING SWEE LING / MOTHER</t>
  </si>
  <si>
    <t>#04-68，block642, jurong west street 61, 640642 Singapore.  TEL: +60128083331</t>
  </si>
  <si>
    <t>24-28 JUNE 2025</t>
  </si>
  <si>
    <t>CHEW KIAN PENG</t>
  </si>
  <si>
    <t>Chooi Hui</t>
  </si>
  <si>
    <t>Mah</t>
  </si>
  <si>
    <t>016-401-7809</t>
  </si>
  <si>
    <t>chooihui.mah@yahoo.com</t>
  </si>
  <si>
    <t>Aw Yuet Ting</t>
  </si>
  <si>
    <t>30/08/2011</t>
  </si>
  <si>
    <t>011-6255-4256</t>
  </si>
  <si>
    <t>m-11918430@moe-dl.edu.my</t>
  </si>
  <si>
    <t>AW YUET TING</t>
  </si>
  <si>
    <t>A60628735</t>
  </si>
  <si>
    <t>26/12/2028</t>
  </si>
  <si>
    <t>https://drive.google.com/open?id=1xQpXi1TOe66ta7mmm-IxRpNELTGJtP_A</t>
  </si>
  <si>
    <t>https://drive.google.com/open?id=1BFnhGBP1isceNWTDmhXPu2Ewb2mDxaX0</t>
  </si>
  <si>
    <t>https://drive.google.com/open?id=1C1TyorswiNRepWXdRiyu0a04fT231e2k</t>
  </si>
  <si>
    <t>110830-07-0014</t>
  </si>
  <si>
    <t>SMJK HENG EE CAWANGAN BAYAN BARU</t>
  </si>
  <si>
    <t>SMJK HENG EE CAWANGAN BAYAN BARU 1, JALAN SUNGAI TIRAM 1, KAMPUNG SUNGAI TIRAM 11900 BAYAN LEPAS. PULAU PINANG.</t>
  </si>
  <si>
    <t>01162554256</t>
  </si>
  <si>
    <t>MAH CHOOI HUI</t>
  </si>
  <si>
    <t>0164017809</t>
  </si>
  <si>
    <t>AW KHEIM CHUAN 017-408-6862</t>
  </si>
  <si>
    <t>Yee Ling</t>
  </si>
  <si>
    <t>Piong</t>
  </si>
  <si>
    <t>0123980636</t>
  </si>
  <si>
    <t>piongyeeling@gmail.com</t>
  </si>
  <si>
    <t xml:space="preserve">Yap Ke Hui </t>
  </si>
  <si>
    <t>0162568636</t>
  </si>
  <si>
    <t>kehuiyap@gmail.com</t>
  </si>
  <si>
    <t xml:space="preserve">YAP KE HUI </t>
  </si>
  <si>
    <t>A76051361</t>
  </si>
  <si>
    <t>30/10/2029</t>
  </si>
  <si>
    <t>https://drive.google.com/open?id=13CtzYnxIAOPmkR151Afrvyi3ky3dM543</t>
  </si>
  <si>
    <t>https://drive.google.com/open?id=1Qk96BUbWVN1EVq7pc59NjtfIpFjynUIe</t>
  </si>
  <si>
    <t>https://drive.google.com/open?id=1EvYhDEnXcpSCSDESQghShdEPhIjaWrnX</t>
  </si>
  <si>
    <t xml:space="preserve">101117-10-1634 </t>
  </si>
  <si>
    <t>SMJK Katholik PJ</t>
  </si>
  <si>
    <t>SMJK Katholik, Jalan 10/3, Seksyen 10, 46000 Petaling Jaya, Selangor, Malaysia</t>
  </si>
  <si>
    <t>Yap Ke Hui</t>
  </si>
  <si>
    <t>Piong Yee Ling</t>
  </si>
  <si>
    <t>Piong Yee Ling (mother) ; Yap Nian Foong (father)</t>
  </si>
  <si>
    <t>Mecure Icon Singapore City Centre (65 6768 0008)</t>
  </si>
  <si>
    <t>Yap Nian Foong (012 3877225)</t>
  </si>
  <si>
    <t xml:space="preserve">Chwee Yan </t>
  </si>
  <si>
    <t>0127168191</t>
  </si>
  <si>
    <t>chweeyan83@hotmail.com</t>
  </si>
  <si>
    <t xml:space="preserve">Lim Chee Wai </t>
  </si>
  <si>
    <t>A56252953</t>
  </si>
  <si>
    <t>04072027</t>
  </si>
  <si>
    <t>https://drive.google.com/open?id=101KcKUA-L-Bhizv0_OIqpcjiN7vX4alZ</t>
  </si>
  <si>
    <t>https://drive.google.com/open?id=1yjGV7id0mbX2dcXNMGmxUPHGuRFZMz0d</t>
  </si>
  <si>
    <t>https://drive.google.com/open?id=12RWXAriXKRk3-7BNspVsngLqJAcr9f40</t>
  </si>
  <si>
    <t>101020-10-3131</t>
  </si>
  <si>
    <t xml:space="preserve">Garden International School </t>
  </si>
  <si>
    <t xml:space="preserve">16 Jalan Kiara 3, Mont Kiara </t>
  </si>
  <si>
    <t>0134143131</t>
  </si>
  <si>
    <t xml:space="preserve">Lim Chwee Yan </t>
  </si>
  <si>
    <t xml:space="preserve">Lim Chwee Yan - Mother 
Lim Yu Soo - father 
</t>
  </si>
  <si>
    <t xml:space="preserve">Intercontinental Singapore, 80 Middle Rd, 188966 Singapore </t>
  </si>
  <si>
    <t>Lim Chwee Yan 0127168191</t>
  </si>
  <si>
    <t xml:space="preserve">Karen </t>
  </si>
  <si>
    <t>0125219113</t>
  </si>
  <si>
    <t>karenlim@hotmail.com</t>
  </si>
  <si>
    <t>Joelle Chan Zu-Ee</t>
  </si>
  <si>
    <t>08072009</t>
  </si>
  <si>
    <t>01126919118</t>
  </si>
  <si>
    <t>joellechan38@icloud.com</t>
  </si>
  <si>
    <t>A59573206</t>
  </si>
  <si>
    <t>https://drive.google.com/open?id=1HhAkbCoy7rxWi-RWCABa-0yEQ8nidPWo</t>
  </si>
  <si>
    <t>https://drive.google.com/open?id=1KLwv7sdCGobF5vvqgGGvGj85QqobsEPY</t>
  </si>
  <si>
    <t>https://drive.google.com/open?id=1CO7Y9eoR8zFw-LRf1oCe-MPG4SKWU2wx</t>
  </si>
  <si>
    <t>090708-08-0504</t>
  </si>
  <si>
    <t>Tenby Schools Ipoh</t>
  </si>
  <si>
    <t>No. 16, Persiaran Meru Utama, Bandar Meru Raya, 30020 Ipoh</t>
  </si>
  <si>
    <t>Karen Lim</t>
  </si>
  <si>
    <t>Dave Chan (Father)
Karen Lim (Mother)
Jovane Chan (Sister)</t>
  </si>
  <si>
    <t>Ibis Emerald, 20 Lor 6 Geylang, Singapore 399174 / +6568423888</t>
  </si>
  <si>
    <t>Karen Lim 0125219113</t>
  </si>
  <si>
    <t>KAH HEAN</t>
  </si>
  <si>
    <t>012-401 7162</t>
  </si>
  <si>
    <t>kahheantan@gmail.com</t>
  </si>
  <si>
    <t>TAN RUI NEE</t>
  </si>
  <si>
    <t>31/10/2011</t>
  </si>
  <si>
    <t>012-214 8162</t>
  </si>
  <si>
    <t>rui.nee.tan@gmail.com</t>
  </si>
  <si>
    <t>A60960245</t>
  </si>
  <si>
    <t>2 FEBRUARY 2029</t>
  </si>
  <si>
    <t>https://drive.google.com/open?id=1itRXc66rKSMljDIIKsmIVp2JY9Thq22H</t>
  </si>
  <si>
    <t>https://drive.google.com/open?id=1xqEEQbyQfBnVISs8EC4m1nwIXesdNqJ-</t>
  </si>
  <si>
    <t>https://drive.google.com/open?id=1TGu8esD_aPGYT7v2KaqVrxo6ODR-y4g0</t>
  </si>
  <si>
    <t>111031-07-0928</t>
  </si>
  <si>
    <t>KAMPUNG BARU, 11400 PULAU PINANG, MALAYSIA</t>
  </si>
  <si>
    <t>TAN KAH HEAN</t>
  </si>
  <si>
    <t>TAN KAH HEAN father / LIM WOAN YEE mother / TAN RUI EN sister</t>
  </si>
  <si>
    <t>Do not decide yet</t>
  </si>
  <si>
    <t>24-6-2025</t>
  </si>
  <si>
    <t>TAN KAH HEAN 012-401 7162</t>
  </si>
  <si>
    <t>Michelle (Cayden Teo Kae-C)</t>
  </si>
  <si>
    <t>Leo</t>
  </si>
  <si>
    <t>012-2198816</t>
  </si>
  <si>
    <t>micleomc@gmail.com</t>
  </si>
  <si>
    <t xml:space="preserve">Cayden Teo Kae-C </t>
  </si>
  <si>
    <t xml:space="preserve">22-03-2010 </t>
  </si>
  <si>
    <t>012-5951615</t>
  </si>
  <si>
    <t>caydenteo22@gmail.com</t>
  </si>
  <si>
    <t>A63075825</t>
  </si>
  <si>
    <t>08 May 2030</t>
  </si>
  <si>
    <t>https://drive.google.com/open?id=106NMUH_26h6mGi-arodEfr7RG0fOghV5</t>
  </si>
  <si>
    <t>https://drive.google.com/open?id=1UpQrLg2btvcapC1gETPfbZtUq1tVV-4M</t>
  </si>
  <si>
    <t>https://drive.google.com/open?id=17FUQT7pa6MD6OOuR_UlpcXXtt777iXcI</t>
  </si>
  <si>
    <t>100322-05-0587</t>
  </si>
  <si>
    <t>SMK ST Paul</t>
  </si>
  <si>
    <t xml:space="preserve">Jalan Tan Sri Manickavasagam, Bandar Seremban, 70200 Seremban, Negeri Sembilan
</t>
  </si>
  <si>
    <t>Michelle Leo</t>
  </si>
  <si>
    <t>0122198816</t>
  </si>
  <si>
    <t xml:space="preserve">Father - Teo Cherng Hann
Mother - Leo Mee Chiun 
Brother - Cayven Teo Kae-En </t>
  </si>
  <si>
    <t xml:space="preserve">Studio M Hotel +65 6808 8888
</t>
  </si>
  <si>
    <t>25th -27th June  2025</t>
  </si>
  <si>
    <t>Gary Teo 0126968816</t>
  </si>
  <si>
    <t xml:space="preserve">Sharons (Yap Inn Xuan) </t>
  </si>
  <si>
    <t xml:space="preserve">Hui (Yap Inn Xuan) </t>
  </si>
  <si>
    <t xml:space="preserve">012-4314539 </t>
  </si>
  <si>
    <t>sharonshui@gmail.com</t>
  </si>
  <si>
    <t>YAP INN XUAN</t>
  </si>
  <si>
    <t>09/12/2010</t>
  </si>
  <si>
    <t>019-3213339</t>
  </si>
  <si>
    <t>innxuanyap@gmail.com</t>
  </si>
  <si>
    <t>A62879110</t>
  </si>
  <si>
    <t>https://drive.google.com/open?id=1BxcdHyO5fn18ebNyHy07dwjDZytK1EW3</t>
  </si>
  <si>
    <t>https://drive.google.com/open?id=1w7rrFzM36gM6-rYXBYrXV33_jUEUpD0d</t>
  </si>
  <si>
    <t>https://drive.google.com/open?id=1cSx9oV1P_hs6AvIcEDM1DbD0dMTwIe5I</t>
  </si>
  <si>
    <t>101209-10-0882</t>
  </si>
  <si>
    <t>SMK SUBANG UTAMA</t>
  </si>
  <si>
    <t xml:space="preserve">SS18 SUBANG JAYA SELANGOR </t>
  </si>
  <si>
    <t>0193213339</t>
  </si>
  <si>
    <t>SHARONS HUI</t>
  </si>
  <si>
    <t xml:space="preserve">019-6293939 </t>
  </si>
  <si>
    <t>Karen</t>
  </si>
  <si>
    <t>Jovial Chan Zen-Ee</t>
  </si>
  <si>
    <t>0127969113</t>
  </si>
  <si>
    <t>A61702039</t>
  </si>
  <si>
    <t>https://drive.google.com/open?id=1rfAVZIIjuieHO9QzxpFIh7BQGPdLtsdb</t>
  </si>
  <si>
    <t>https://drive.google.com/open?id=1uR3rxz35tlOcC3BsLs0gKW9JnTBqQ7EA</t>
  </si>
  <si>
    <t>https://drive.google.com/open?id=1QRf6z_gtj2I__7O7Ya8DwPtI3ga_SHbg</t>
  </si>
  <si>
    <t>Jovial Chan Zen - Ee</t>
  </si>
  <si>
    <t>120829-08-0724</t>
  </si>
  <si>
    <t>N0 16, Persiaran Meru Utama, Bandar Meru Raya, 30020 Ipoh, Perak</t>
  </si>
  <si>
    <t xml:space="preserve">Ibis Emerald, 20 Lor 6 Geylang, Singapore 399174 / +6568423888
</t>
  </si>
  <si>
    <t>Karen Lim (0125219113)</t>
  </si>
  <si>
    <t xml:space="preserve"> SEOK KHENG </t>
  </si>
  <si>
    <t>CHIN</t>
  </si>
  <si>
    <t>0124523082</t>
  </si>
  <si>
    <t>csk7932@hotmail.com</t>
  </si>
  <si>
    <t xml:space="preserve">CH'NG Saw Huai </t>
  </si>
  <si>
    <t>0169723082</t>
  </si>
  <si>
    <t>sawhuai98@gmail.com</t>
  </si>
  <si>
    <t>CHNG SAW HUAI</t>
  </si>
  <si>
    <t>A62028473</t>
  </si>
  <si>
    <t>28July2029</t>
  </si>
  <si>
    <t>https://drive.google.com/open?id=1ENIe442SAmcbBfGiDVkoLiZFjlycBFup</t>
  </si>
  <si>
    <t>https://drive.google.com/open?id=1RN6BLLeBN3ov8VuqeSePUHXycRvIV-t5</t>
  </si>
  <si>
    <t>https://drive.google.com/open?id=1iJva_lKWCkBkHRyRa5-mxpC8WSEfSZRU</t>
  </si>
  <si>
    <t>Ch'ng Saw Huai</t>
  </si>
  <si>
    <t>110515-07-0719</t>
  </si>
  <si>
    <t>SMJK JIT SIN</t>
  </si>
  <si>
    <t>Jalan Binjai Taman Sri Rambai14000 Bukit Mertajam Pulau Pinang</t>
  </si>
  <si>
    <t xml:space="preserve">Ch'ng Saw Huai </t>
  </si>
  <si>
    <t>016-9723082</t>
  </si>
  <si>
    <t xml:space="preserve">Chin Seok Kheng </t>
  </si>
  <si>
    <t>012-4523082</t>
  </si>
  <si>
    <t>Ch'ng Keong  Huat (Father)</t>
  </si>
  <si>
    <t xml:space="preserve">Hotel 81 Palace </t>
  </si>
  <si>
    <t>24/6/25</t>
  </si>
  <si>
    <t>CHIN SEOK KHENG  012-4523082</t>
  </si>
  <si>
    <t>Christine</t>
  </si>
  <si>
    <t>0123111217</t>
  </si>
  <si>
    <t>ongteeling@yahoo.com</t>
  </si>
  <si>
    <t>Jaden Ong</t>
  </si>
  <si>
    <t>0129985098</t>
  </si>
  <si>
    <t>jadenongjunxian@gmail.com</t>
  </si>
  <si>
    <t xml:space="preserve">Jaden Ong Jun Xian </t>
  </si>
  <si>
    <t>A58775470</t>
  </si>
  <si>
    <t>02042028</t>
  </si>
  <si>
    <t>https://drive.google.com/open?id=166lQYSYzbTCaugoAQgNlSjyl_rWLbSw2</t>
  </si>
  <si>
    <t>https://drive.google.com/open?id=1yYncS4y7pHVQ7a6YjvrZXbvRVV31pn-5</t>
  </si>
  <si>
    <t>https://drive.google.com/open?id=1dnHvNAvALCW0uZ-oIdwdZnMcWzVMU18l</t>
  </si>
  <si>
    <t>Jaden</t>
  </si>
  <si>
    <t xml:space="preserve">Not applicable </t>
  </si>
  <si>
    <t>Christine Ong</t>
  </si>
  <si>
    <t>Linda</t>
  </si>
  <si>
    <t>Yong</t>
  </si>
  <si>
    <t>012 290 7035</t>
  </si>
  <si>
    <t>linda_yse@yahoo.com</t>
  </si>
  <si>
    <t>Rainne Foo Jie Xin</t>
  </si>
  <si>
    <t>20/06/2008</t>
  </si>
  <si>
    <t>012 283 5838</t>
  </si>
  <si>
    <t>rainnefjx08@gmail.com</t>
  </si>
  <si>
    <t>A56501528</t>
  </si>
  <si>
    <t>25/07/2027</t>
  </si>
  <si>
    <t>https://drive.google.com/open?id=1i1VA5EEeF7jZOFIsmBibeh1QA5Jw_Ebx</t>
  </si>
  <si>
    <t>https://drive.google.com/open?id=1469mQuqUYlNZ3rByO2nCaOHQCaNi_zCS</t>
  </si>
  <si>
    <t>https://drive.google.com/open?id=1wLw28C2LCzgdqCxET3VWP5sQ78s3odQY</t>
  </si>
  <si>
    <t xml:space="preserve">080620-14-0630 </t>
  </si>
  <si>
    <t xml:space="preserve">Oakbridge International School </t>
  </si>
  <si>
    <t>Lot 556 Jln subang 3, Tmn Perindustrian Subang, 47500 Subang Jaya, Selangor</t>
  </si>
  <si>
    <t>Rainne Foo</t>
  </si>
  <si>
    <t>012 2835838</t>
  </si>
  <si>
    <t xml:space="preserve">Linda Yong </t>
  </si>
  <si>
    <t>012 2907035</t>
  </si>
  <si>
    <t>Moon Cee</t>
  </si>
  <si>
    <t>Loke</t>
  </si>
  <si>
    <t>+60162865641</t>
  </si>
  <si>
    <t>moonlmc@gmail.com</t>
  </si>
  <si>
    <t>Seah Shu Hui</t>
  </si>
  <si>
    <t>24/06/2009</t>
  </si>
  <si>
    <t>+97466692473</t>
  </si>
  <si>
    <t>seahshuhui@gmail.com</t>
  </si>
  <si>
    <t>A59742151</t>
  </si>
  <si>
    <t>09/02/2029</t>
  </si>
  <si>
    <t>https://drive.google.com/open?id=1gZFTwv88mK5emEMWS0uP3ig7G9Y5LCEU</t>
  </si>
  <si>
    <t>https://drive.google.com/open?id=1yYF7eTjqaITMRxxqKU7Wwj5CWXPWbXtO</t>
  </si>
  <si>
    <t>https://drive.google.com/open?id=16MvCKJRTQ1gi18zUY5_ZLKTcUdS3JgUB</t>
  </si>
  <si>
    <t>Shu Hui</t>
  </si>
  <si>
    <t>Loke Moon Cee- Mother
Seah Ban Kiat- Father
Seah Shu Yang- Sibling</t>
  </si>
  <si>
    <t>Moon Cee (+60162865641)</t>
  </si>
  <si>
    <t>Tew Hang Yong</t>
  </si>
  <si>
    <t xml:space="preserve">Tew Hang Yong </t>
  </si>
  <si>
    <t>012-8131636</t>
  </si>
  <si>
    <t>hangyongtew@gmail.com</t>
  </si>
  <si>
    <t>09/08/2007</t>
  </si>
  <si>
    <t>A61027450</t>
  </si>
  <si>
    <t>07/03/2029</t>
  </si>
  <si>
    <t>https://drive.google.com/open?id=1f8x3OQx6WDu10JCm4Xl6bKCzyRE8nj0I</t>
  </si>
  <si>
    <t>https://drive.google.com/open?id=1Px7ix8F6hRFwWBshwysycYv7UZLg6qnS</t>
  </si>
  <si>
    <t>Migraine</t>
  </si>
  <si>
    <t>https://drive.google.com/open?id=1KgSK4qTVUwrWtD_sOSmyNjTHX-CFS1IC</t>
  </si>
  <si>
    <t>070809-10-2057</t>
  </si>
  <si>
    <t>Pin Hwa High School</t>
  </si>
  <si>
    <t>No. 13, Jalan Goh Hock Huat, 41400 Klang, Selangor</t>
  </si>
  <si>
    <t>Tew Tiong Soon - Father
Tan Yu Hui - Mother</t>
  </si>
  <si>
    <t>Haven't booked yet</t>
  </si>
  <si>
    <t>26/6</t>
  </si>
  <si>
    <t>Tan Yu Hui 012-3831636</t>
  </si>
  <si>
    <t>SAY WEE</t>
  </si>
  <si>
    <t>BONG</t>
  </si>
  <si>
    <t>013-8228615</t>
  </si>
  <si>
    <t>yu35bx@gmail.com</t>
  </si>
  <si>
    <t>BONG YI XIANG</t>
  </si>
  <si>
    <t>24/01/2011</t>
  </si>
  <si>
    <t>010-8218615</t>
  </si>
  <si>
    <t>yixiangbong9@gmail.com</t>
  </si>
  <si>
    <t>K62427983</t>
  </si>
  <si>
    <t>06/10/2029</t>
  </si>
  <si>
    <t>https://drive.google.com/open?id=1tCrRMljfqOY3BEkJbYaDY8oXMjRuklrq</t>
  </si>
  <si>
    <t>https://drive.google.com/open?id=1S77zTjx1kb-2Mn_VPX-zI6mHg2VY2aUN</t>
  </si>
  <si>
    <t>https://drive.google.com/open?id=1QQ4qsQB6OvPk8d9EL-A1-AakugjIQaPu</t>
  </si>
  <si>
    <t>110124-13-0569</t>
  </si>
  <si>
    <t>CHUNG HUA MIDDLE SCHOOL NO.1</t>
  </si>
  <si>
    <t>Pending Road, 93450 Kuching, Sarawak</t>
  </si>
  <si>
    <t>BONG SAY WEE</t>
  </si>
  <si>
    <t>Mother/ Father/ Sibling</t>
  </si>
  <si>
    <t>DICK</t>
  </si>
  <si>
    <t>CHEW KIOK SHUN</t>
  </si>
  <si>
    <t>01139315319</t>
  </si>
  <si>
    <t>jannevoon@gmail.com</t>
  </si>
  <si>
    <t>SHEAMUS CHEW HENG YI</t>
  </si>
  <si>
    <t>01129353793</t>
  </si>
  <si>
    <t>K62428085</t>
  </si>
  <si>
    <t>https://drive.google.com/open?id=1JCC-kJgkCg-VjGEIAH9PwTB8SqliAL3M</t>
  </si>
  <si>
    <t>https://drive.google.com/open?id=1lD_CKTyfQh6hNZYoMpvOzinFra_-GChT</t>
  </si>
  <si>
    <t>https://drive.google.com/open?id=1InfwOS7UENuZBngPQ_-fnCsXKiJbCqVy</t>
  </si>
  <si>
    <t>120221-13-0279</t>
  </si>
  <si>
    <t xml:space="preserve">St. Joseph's Private Secondary School </t>
  </si>
  <si>
    <t>KTLD, Lot 196, Section 19, Jalan Nagor, 93400 Kuching, Sarawak</t>
  </si>
  <si>
    <t>DICK CHEW KIOK SHUN</t>
  </si>
  <si>
    <t>Hotel 81 Lavender</t>
  </si>
  <si>
    <t>DICK CHEW KIOK SHUN 01139315319</t>
  </si>
  <si>
    <t xml:space="preserve">Self transport flight from Singapore back to Kuching, Sarawak, Malaysia </t>
  </si>
  <si>
    <t>SIEW MUI</t>
  </si>
  <si>
    <t>CHEE</t>
  </si>
  <si>
    <t>0135096601</t>
  </si>
  <si>
    <t>csmlcc@gmail.com</t>
  </si>
  <si>
    <t>LEE XUE WEN</t>
  </si>
  <si>
    <t>0135304969</t>
  </si>
  <si>
    <t>A70500847</t>
  </si>
  <si>
    <t>07102029</t>
  </si>
  <si>
    <t>https://drive.google.com/open?id=18A_3slnfUMjy5KwAYItqPIYDTuAYR8wk</t>
  </si>
  <si>
    <t>https://drive.google.com/open?id=1PhcEVl9aaqchDn9cyK9D5-ZV5R7E-TFj</t>
  </si>
  <si>
    <t>https://drive.google.com/open?id=1eJWB14r1JXfPjhFrDe-4BBjWmU_vE6Bm</t>
  </si>
  <si>
    <t>MAKTAB NASIONAL</t>
  </si>
  <si>
    <t>PO BOX 14146, 88847 KOTA KINABALU</t>
  </si>
  <si>
    <t>CHEE SIEW MUI</t>
  </si>
  <si>
    <t>Benny</t>
  </si>
  <si>
    <t>Ang</t>
  </si>
  <si>
    <t>+6738719800</t>
  </si>
  <si>
    <t>bang9800@gmail.com</t>
  </si>
  <si>
    <t>Kayleigh ANG Zhi Xuan</t>
  </si>
  <si>
    <t>+6738329810</t>
  </si>
  <si>
    <t>Kayleigh Ang Zhi Xuan</t>
  </si>
  <si>
    <t>K54976151</t>
  </si>
  <si>
    <t>05042027</t>
  </si>
  <si>
    <t>https://drive.google.com/open?id=1cJABKYLLw483ki1n4FpsXUFyrOMNLwmx</t>
  </si>
  <si>
    <t>https://drive.google.com/open?id=1YnTbC6SeMpXp6bbBoU_yGN-u7i4bV9zX</t>
  </si>
  <si>
    <t>https://drive.google.com/open?id=1TzBphwbArtGPcMknZKcwaAdRz5fapqcf</t>
  </si>
  <si>
    <t>KAYLEIGH ANG ZHI XUAN</t>
  </si>
  <si>
    <t>International School Brunei</t>
  </si>
  <si>
    <t>Bandar Seri Begawan, Brunei</t>
  </si>
  <si>
    <t>Kayleigh Ang</t>
  </si>
  <si>
    <t>Benny Ang</t>
  </si>
  <si>
    <t>Benny Ang (Father), Veronica Chong (Mother), Kieran Ang (Sibling)</t>
  </si>
  <si>
    <t>Not arranged yet</t>
  </si>
  <si>
    <t>Not yet arranged</t>
  </si>
  <si>
    <t>Benny Ang (+6738719800)</t>
  </si>
  <si>
    <t>SIU KIM</t>
  </si>
  <si>
    <t>CHONG</t>
  </si>
  <si>
    <t>016-860-6897</t>
  </si>
  <si>
    <t>skchong156@yahoo.com</t>
  </si>
  <si>
    <t>CHEREEN NGO YIRUI</t>
  </si>
  <si>
    <t>01128431889</t>
  </si>
  <si>
    <t>skchong156@gmail.com</t>
  </si>
  <si>
    <t>K60360336</t>
  </si>
  <si>
    <t>https://drive.google.com/open?id=1ZH9Tc9oCZqQWNaG_OLtGDNOQI0Ot82P_</t>
  </si>
  <si>
    <t>https://drive.google.com/open?id=1-SbSXvPP40DodH_1-aEw0xZW5W6YIOqG</t>
  </si>
  <si>
    <t>PARACETAMOL</t>
  </si>
  <si>
    <t>https://drive.google.com/open?id=1nonuaUOC1hhwvPmV9iHi6GOb0FqbOxBg</t>
  </si>
  <si>
    <t>100918-13-1038</t>
  </si>
  <si>
    <t>CHUNG HUA MIDDLE SCHOOL NO. 1</t>
  </si>
  <si>
    <t>NO. 1, JALAN PENDING, 93450 KUCHING, SARAWAK.</t>
  </si>
  <si>
    <t>CHONG SIU KIM</t>
  </si>
  <si>
    <t>0168606897</t>
  </si>
  <si>
    <t>NGO SIE HAW - FATHER, CHONG SIU KIM - MOTHER, NGO SIE YIN - AUNTY</t>
  </si>
  <si>
    <t>V HOTEL LAVENDER, 70 JELLICOE ROAD, SINGAPORE 208767</t>
  </si>
  <si>
    <t>24 JUNE 2025</t>
  </si>
  <si>
    <t>NGO SIE HAW - 0108211399</t>
  </si>
  <si>
    <t xml:space="preserve">Siew Kun Jenny </t>
  </si>
  <si>
    <t>6016-8258281</t>
  </si>
  <si>
    <t>jennyfsk2188@gmail.com</t>
  </si>
  <si>
    <t>Jeff Lo Wei Zhe</t>
  </si>
  <si>
    <t>19.02.2012</t>
  </si>
  <si>
    <t>010-7988281</t>
  </si>
  <si>
    <t xml:space="preserve">JEFF LO WEI ZHE </t>
  </si>
  <si>
    <t>H62813839</t>
  </si>
  <si>
    <t>18 MARCH 2030</t>
  </si>
  <si>
    <t>https://drive.google.com/open?id=1nxJ_hyDN5_kJLq3TPs7Vl4-sPiDhjTt4</t>
  </si>
  <si>
    <t>https://drive.google.com/open?id=1VUp16rt6H3EuVnbSSP_Ub3MyzushvHaN</t>
  </si>
  <si>
    <t xml:space="preserve"> N/A</t>
  </si>
  <si>
    <t>https://drive.google.com/open?id=1vE3PGQEUrGVsctnIneHGhJ9M8okweaNF</t>
  </si>
  <si>
    <t>JEFF LO WEI ZHE</t>
  </si>
  <si>
    <t>120212-12-0821</t>
  </si>
  <si>
    <t>S. M. K. Sung Siew, Sandakan, Sabah</t>
  </si>
  <si>
    <t>Pusat Bandar Sandakan, 90000 Sandakan, Sabah</t>
  </si>
  <si>
    <t xml:space="preserve">Foo Siew Kun Jenny </t>
  </si>
  <si>
    <t>016-8258281</t>
  </si>
  <si>
    <t>Foo Siew Kun Jenny 016-8258281</t>
  </si>
  <si>
    <t xml:space="preserve">Jocelyn </t>
  </si>
  <si>
    <t>016-311-3176</t>
  </si>
  <si>
    <t>jocelynchong@gmail.com</t>
  </si>
  <si>
    <t>Kaelyn Chee Wei Yi</t>
  </si>
  <si>
    <t>17/10/2009</t>
  </si>
  <si>
    <t>018-985-7976</t>
  </si>
  <si>
    <t>kaelynchee@gmail.com</t>
  </si>
  <si>
    <t>A56651695</t>
  </si>
  <si>
    <t>19/08/2027</t>
  </si>
  <si>
    <t>https://drive.google.com/open?id=1eLNytA1Bq3B4CCgBltFwGY59mJLGuuAe</t>
  </si>
  <si>
    <t>https://drive.google.com/open?id=183JSz6WefVtsSV1bL-Euq18Ni4WCU7e8</t>
  </si>
  <si>
    <t>https://drive.google.com/open?id=1KNIEG6etVggPkI1JnYuOwMGPlOLEKYHO</t>
  </si>
  <si>
    <t>091017101200</t>
  </si>
  <si>
    <t>Stella Maris International School</t>
  </si>
  <si>
    <t>7 Lorong Setiabustari 2, Bukit Damansara</t>
  </si>
  <si>
    <t xml:space="preserve">Kaelyn Chee </t>
  </si>
  <si>
    <t>0189857976</t>
  </si>
  <si>
    <t>Jocelyn Chong</t>
  </si>
  <si>
    <t>0163113176</t>
  </si>
  <si>
    <t>25-27 June</t>
  </si>
  <si>
    <t>Kane Chee</t>
  </si>
  <si>
    <t xml:space="preserve">Father </t>
  </si>
  <si>
    <t>DARREN LEONG YI CHEN</t>
  </si>
  <si>
    <t>02022008</t>
  </si>
  <si>
    <t>016-891-6706</t>
  </si>
  <si>
    <t>darrenlyc08@gmail.com</t>
  </si>
  <si>
    <t>K59517599</t>
  </si>
  <si>
    <t>https://drive.google.com/open?id=15XU2Edg5hKgaGA36w2cPnJFhNkeJxpIL</t>
  </si>
  <si>
    <t>https://drive.google.com/open?id=1fKIMb-4ghuegNaky2_3cEvbI7fLbgv_g</t>
  </si>
  <si>
    <t>https://drive.google.com/open?id=1_KjmvHsyVDwQTU56W-o4RMzW7sJbn7-s</t>
  </si>
  <si>
    <t>VICTOR LEONG CHIN SIN</t>
  </si>
  <si>
    <t>VICTOR LEONG 016-871-5157</t>
  </si>
  <si>
    <t>012-886-6706 MOTHER</t>
  </si>
  <si>
    <t>YEE PEY</t>
  </si>
  <si>
    <t>LOW</t>
  </si>
  <si>
    <t>0178246968</t>
  </si>
  <si>
    <t>LOWYEEPEY@GMAIL.COM</t>
  </si>
  <si>
    <t>CHAY ZECH</t>
  </si>
  <si>
    <t>07012012</t>
  </si>
  <si>
    <t>+6017 824 6968</t>
  </si>
  <si>
    <t>A70124415</t>
  </si>
  <si>
    <t>https://drive.google.com/open?id=1yQew3pLjgkE9USLh3vdOT8m3xgG8GvqS</t>
  </si>
  <si>
    <t>https://drive.google.com/open?id=1NLVDx3gSBE8XY422HjNPEpaHeLSkjAoo</t>
  </si>
  <si>
    <t>https://drive.google.com/file/d/1R1sf3RppVtEYJuSqK_lO8atofJOf9Ysl/view?usp=sharing</t>
  </si>
  <si>
    <t>120107-14-0633</t>
  </si>
  <si>
    <t>Jln Hang Tuah, Bukit Bintang, 55200 Kuala Lumpur, Wilayah Persekutuan Kuala Lumpur</t>
  </si>
  <si>
    <t>+6018 662 6968</t>
  </si>
  <si>
    <t>LOW YEE PEY</t>
  </si>
  <si>
    <t>HOTEL TBC / +6017 824 6968</t>
  </si>
  <si>
    <t>LOW YEE PEY / +6017 824 6968</t>
  </si>
  <si>
    <t xml:space="preserve">Andrew </t>
  </si>
  <si>
    <t>Nathaniel Shu Jia Jun</t>
  </si>
  <si>
    <t>https://drive.google.com/open?id=1q-tsb485w7_N0l4aSbdlgTeSL1q31YIg</t>
  </si>
  <si>
    <t>https://drive.google.com/open?id=1pNY_DzrKH68fiyLlyPLsv1vMBCHy4Ak3</t>
  </si>
  <si>
    <t>https://drive.google.com/open?id=16kaRRJLD-e2TQOqbGClJ5_9mPAWHEkiL</t>
  </si>
  <si>
    <t>Nate</t>
  </si>
  <si>
    <t>Andrew Shu</t>
  </si>
  <si>
    <t>Andrew Shu (Father), Eve Lim (Mother)</t>
  </si>
  <si>
    <t>Own Place</t>
  </si>
  <si>
    <t>24 - 30 June 2025</t>
  </si>
  <si>
    <t>Andrew Shu 0197549898</t>
  </si>
  <si>
    <t>Kindly please arrange 1-way flight to Singapore (pls also advise cost) and release swimmer to parents in Singapore on last day.  Thank you.</t>
  </si>
  <si>
    <t>JIT HENG</t>
  </si>
  <si>
    <t>+60122503765</t>
  </si>
  <si>
    <t>pmco2172@gmail.com</t>
  </si>
  <si>
    <t>NATALIE LIM RONG LI</t>
  </si>
  <si>
    <t>+60123193765</t>
  </si>
  <si>
    <t>A71299760</t>
  </si>
  <si>
    <t>09052030</t>
  </si>
  <si>
    <t>https://drive.google.com/open?id=1hKNswMkxPINf9f4X1gzW4iw41FWwuHHK</t>
  </si>
  <si>
    <t>https://drive.google.com/open?id=14mklnHXKAvsS2KOOUkUW8AuJbgcPfNmI</t>
  </si>
  <si>
    <t>https://drive.google.com/open?id=1MekeWXFqrTzOX2YFv7sHPWvwrsf1hISl</t>
  </si>
  <si>
    <t>120914-04-0444</t>
  </si>
  <si>
    <t>SMK INFANT JESUS CONVENT MELAKA</t>
  </si>
  <si>
    <t>141, JALAN PARAMESWARA, 75000 MELAKA</t>
  </si>
  <si>
    <t>012-3193765</t>
  </si>
  <si>
    <t>LIM JIT HENG</t>
  </si>
  <si>
    <t>012-9080075</t>
  </si>
  <si>
    <t>PREMA MOHAN</t>
  </si>
  <si>
    <t>SHELLEY</t>
  </si>
  <si>
    <t>EE</t>
  </si>
  <si>
    <t>0122201030</t>
  </si>
  <si>
    <t>shelleyee77@gmail.com</t>
  </si>
  <si>
    <t>SOO JENG HANG</t>
  </si>
  <si>
    <t>0129311030</t>
  </si>
  <si>
    <t>A63120200</t>
  </si>
  <si>
    <t>https://drive.google.com/open?id=18YqMsglIX6tc634fbr5tmoxX_ItIDrP1</t>
  </si>
  <si>
    <t>https://drive.google.com/open?id=1R2gfkNGmrRYPDu7V_hz87rOBkIhOtyiT</t>
  </si>
  <si>
    <t>https://drive.google.com/open?id=1I3SBZZk7JBVLrUswTD8JZJ_Q2bcqzh1d</t>
  </si>
  <si>
    <t>120418-14-0681</t>
  </si>
  <si>
    <t>SMK (L) METHODIST KUALA LUMPUR</t>
  </si>
  <si>
    <t>JALAN HANG JEBAT, 50150 KUALA LUMPUR</t>
  </si>
  <si>
    <t>SHELLEY EE</t>
  </si>
  <si>
    <t>SHELLEY EE - MOTHER
SOO JENG HEI - SIBLING</t>
  </si>
  <si>
    <t>Relatives house</t>
  </si>
  <si>
    <t>SHELLEY EE 0122201030</t>
  </si>
  <si>
    <t>YEE CHUAN</t>
  </si>
  <si>
    <t>+60183999511</t>
  </si>
  <si>
    <t>yeechuanlim@gmail.com</t>
  </si>
  <si>
    <t>NG XI EN</t>
  </si>
  <si>
    <t>+60189639511</t>
  </si>
  <si>
    <t>ngxien124@gmail.com</t>
  </si>
  <si>
    <t>A60588858</t>
  </si>
  <si>
    <t>https://drive.google.com/open?id=1ojE8EJB_zVdiuN7lEqsAzeOPUtb4EF3P</t>
  </si>
  <si>
    <t>https://drive.google.com/open?id=1RxXDUwkmL12rxhTZwXJxI5zBjLPmo31P</t>
  </si>
  <si>
    <t>https://drive.google.com/open?id=1zFNlUGkfW-3QJCN6DTcENLGXjiLhNvF_</t>
  </si>
  <si>
    <t>140124-01-0994</t>
  </si>
  <si>
    <t>INVICTUS INTERNATIONAL SCHOOL - HORIZON HILLS, MALAYSIA</t>
  </si>
  <si>
    <t>NO.3 PERSIARAN SELATAN, HORIZON HILLS, 79100 ISKANDAR PUTERI, JOHOR.</t>
  </si>
  <si>
    <t>LIM YEE CHUAN</t>
  </si>
  <si>
    <t>LIM YEE CHUAN (MOTHER), NG BOON PING (FATHER), NG XI RUI (SISTER)</t>
  </si>
  <si>
    <t>APT BLK 204 JURONG EAST STREET 21 #02-259, SINGAPORE 600204.</t>
  </si>
  <si>
    <t>24 - 27 JUN 2025</t>
  </si>
  <si>
    <t>LIM YEE CHUAN   +60183999511</t>
  </si>
  <si>
    <t xml:space="preserve">Cindy </t>
  </si>
  <si>
    <t>012-5383012</t>
  </si>
  <si>
    <t>glcopy84@yahoo.com</t>
  </si>
  <si>
    <t>Hayden Kole Ong</t>
  </si>
  <si>
    <t>Hayden Kole Kit</t>
  </si>
  <si>
    <t>A59705426</t>
  </si>
  <si>
    <t>https://drive.google.com/open?id=1COLhHqUgE27yRvQu6m9uFOPWZNZMG72b</t>
  </si>
  <si>
    <t>https://drive.google.com/open?id=1hYji2xBgC5bkohW1IjSYLFGXc7S5FX7u</t>
  </si>
  <si>
    <t xml:space="preserve">Dust, cats and seafood. </t>
  </si>
  <si>
    <t>Reduced processed meat</t>
  </si>
  <si>
    <t>Kidney condition. Please reduce salt &amp; processed food</t>
  </si>
  <si>
    <t>https://drive.google.com/open?id=1suYZP2jC3rb38ERJbneaSJQqx39GEg2_</t>
  </si>
  <si>
    <t>Hayden</t>
  </si>
  <si>
    <t>013-5383520</t>
  </si>
  <si>
    <t>Cindy Ong</t>
  </si>
  <si>
    <t>Cindy ong</t>
  </si>
  <si>
    <t>Sou Kheng</t>
  </si>
  <si>
    <t>Ho</t>
  </si>
  <si>
    <t>012-2051604</t>
  </si>
  <si>
    <t>amyho@nationsuccess.com</t>
  </si>
  <si>
    <t>Hiew Xin Ting</t>
  </si>
  <si>
    <t>15/11/2009</t>
  </si>
  <si>
    <t>013-6394329</t>
  </si>
  <si>
    <t>28annish@alice-smith.edu.my</t>
  </si>
  <si>
    <t>A70950195</t>
  </si>
  <si>
    <t>18/6/2030</t>
  </si>
  <si>
    <t>https://drive.google.com/open?id=1bNdxOkk4TUEVIb2Irej5Yt9BedZ4oJEI</t>
  </si>
  <si>
    <t>https://drive.google.com/open?id=1aHcme2mccfh_LAshGBpEqstcKSGo0KuP</t>
  </si>
  <si>
    <t>https://drive.google.com/open?id=1UkDiNNq-bXGKQzRfiljcIBN_oWdlDzbJ</t>
  </si>
  <si>
    <t>012-6394329</t>
  </si>
  <si>
    <t>Ho Sou Kheng</t>
  </si>
  <si>
    <t>Hiew Lik Yang</t>
  </si>
  <si>
    <t>Pullman Singapore Orchard</t>
  </si>
  <si>
    <t>Albert Huew</t>
  </si>
  <si>
    <t>019-3818344</t>
  </si>
  <si>
    <t>Azhar bin Abu Bakar</t>
  </si>
  <si>
    <t>Azhar</t>
  </si>
  <si>
    <t>0197679632</t>
  </si>
  <si>
    <t>azhar770821@gmail.com</t>
  </si>
  <si>
    <t>Ayaz Zahin bin Azhar</t>
  </si>
  <si>
    <t>27/05/2013</t>
  </si>
  <si>
    <t>A71329275</t>
  </si>
  <si>
    <t>09/05/2030</t>
  </si>
  <si>
    <t>https://drive.google.com/open?id=1QzDbrcb2wslDZ5V0mrgPqfSd5INYpKNB</t>
  </si>
  <si>
    <t>https://drive.google.com/open?id=1BMQgPDGqYijbrjqvdZzG3wB8XbFL-R6z</t>
  </si>
  <si>
    <t>https://drive.google.com/open?id=1tZTivNdRRdq_7PKDFTyzw8v4QQT_L08w</t>
  </si>
  <si>
    <t>130527-01-0885</t>
  </si>
  <si>
    <t>SK SRI PULAI PERDANA</t>
  </si>
  <si>
    <t>JALAN PERSISIRAN PULAI PERDANA 1 
TAMAN SRI PULAI PERDANA
81300 JOHOR BAHRU</t>
  </si>
  <si>
    <t>012-6397904</t>
  </si>
  <si>
    <t>019-7679632</t>
  </si>
  <si>
    <t>Azhar Abu Bakar - 0197679632</t>
  </si>
  <si>
    <t>013 - 7387556 ( Mother )</t>
  </si>
  <si>
    <t>Lai Yoke</t>
  </si>
  <si>
    <t>Hoe</t>
  </si>
  <si>
    <t>0178726666</t>
  </si>
  <si>
    <t>keyzone77@yahoo.com</t>
  </si>
  <si>
    <t>Chong Xin Lin</t>
  </si>
  <si>
    <t>07012007</t>
  </si>
  <si>
    <t>0175882388</t>
  </si>
  <si>
    <t>chongxinlin07@gmail.com</t>
  </si>
  <si>
    <t>A58298450</t>
  </si>
  <si>
    <t>https://drive.google.com/open?id=1vLcHNv3wAOVT23PC0DmqaPK8W9xo_LuY</t>
  </si>
  <si>
    <t>https://drive.google.com/open?id=1OYvvs3WwTixAEl81i02tJ5rNM-EHZU_A</t>
  </si>
  <si>
    <t>https://drive.google.com/open?id=1bDS8IaW5U8Q6c15niXUscd5rNVYluXo6</t>
  </si>
  <si>
    <t>Hoe Lai Yoke （mother）</t>
  </si>
  <si>
    <t>Chong Wooi Ming 0173300298</t>
  </si>
  <si>
    <t>0166663235</t>
  </si>
  <si>
    <t>https://drive.google.com/open?id=1zATt99XW37vU7y7KESDj79oiaC3w3KdB</t>
  </si>
  <si>
    <t>https://drive.google.com/open?id=1ifA0kcP8sW-b6ypLt0uD4-y9Nl0gwhk6</t>
  </si>
  <si>
    <t>Allergic to all types of seafoods Except Fish</t>
  </si>
  <si>
    <t>CANNOT CONSUME SEAFOODS EXCEPT FISH</t>
  </si>
  <si>
    <t>CANNOT EAT SEAFOODS EXCEPT FISH</t>
  </si>
  <si>
    <t>https://drive.google.com/open?id=1PHDou2tyNBdAsNNcsRRttlPOl7M89AbD</t>
  </si>
  <si>
    <t>140426-68-0010</t>
  </si>
  <si>
    <t>0126263235</t>
  </si>
  <si>
    <t>LAI TECK KHIONG (FATHER), LEONG WAI PUA (MOTHER)</t>
  </si>
  <si>
    <t>BLK 154 RIVERVALE CRESCENT +06-130 SINGAPORE 540154</t>
  </si>
  <si>
    <t>LEONG WAI PUA 0166663235, LAI TECK KHIONG 0126823235</t>
  </si>
  <si>
    <t>MOTHER / FATHER</t>
  </si>
  <si>
    <t>SWUI SIANG</t>
  </si>
  <si>
    <t>0167731416</t>
  </si>
  <si>
    <t>swuisiang@yahoo.com</t>
  </si>
  <si>
    <t>YONG WIN LE</t>
  </si>
  <si>
    <t>11/12/2008</t>
  </si>
  <si>
    <t>0126001416</t>
  </si>
  <si>
    <t>yongwinle060@gmail.com</t>
  </si>
  <si>
    <t>Cynthia</t>
  </si>
  <si>
    <t>+60122339652</t>
  </si>
  <si>
    <t>19 10 2012</t>
  </si>
  <si>
    <t>https://drive.google.com/open?id=1XEAKs19IkcLvqvestwxdsy8Sxrd11zYI</t>
  </si>
  <si>
    <t>https://drive.google.com/open?id=1w5Sdobg3uEPfxjBDiwGPOsUyU6s1oC03</t>
  </si>
  <si>
    <t>https://drive.google.com/open?id=1LEFZgJETtJYjSyBpWyhrIIA-V4ZX8miS</t>
  </si>
  <si>
    <t>LEOW JIN BIN</t>
  </si>
  <si>
    <t>16 Jalan Kiara 3, Mont Kiara, 50480 Kuala Lumpur.</t>
  </si>
  <si>
    <t>+60129238808</t>
  </si>
  <si>
    <t>Cynthia Low (mother) &amp; Chee Peng (father)</t>
  </si>
  <si>
    <t>Hilton Hotel</t>
  </si>
  <si>
    <t>24th - 27th June 20025</t>
  </si>
  <si>
    <t>Jia Jia</t>
  </si>
  <si>
    <t>Yoong</t>
  </si>
  <si>
    <t>0102991232</t>
  </si>
  <si>
    <t>jiajiayoong@gmail.com</t>
  </si>
  <si>
    <t>Yoong Jia Jia</t>
  </si>
  <si>
    <t>A58809801</t>
  </si>
  <si>
    <t>https://drive.google.com/open?id=1bbJzzKNoKqFv-SeeqGalYeieBKvfJdqY</t>
  </si>
  <si>
    <t>https://drive.google.com/open?id=1dNAOjO1kVN9tYSovyEg0vwwSAqPyfSsT</t>
  </si>
  <si>
    <t>Seafood</t>
  </si>
  <si>
    <t xml:space="preserve">Na </t>
  </si>
  <si>
    <t>https://drive.google.com/open?id=1D5zvHN5bJu1iWagQ8gsSpqABPG_PN-Y4</t>
  </si>
  <si>
    <t>070320-10-1278</t>
  </si>
  <si>
    <t xml:space="preserve">Taylor’s University </t>
  </si>
  <si>
    <t>1, Jln Taylors, 47500 Subang Jaya, Selangor, Malaysia</t>
  </si>
  <si>
    <t>Not applicable</t>
  </si>
  <si>
    <t>0122822952</t>
  </si>
  <si>
    <t>Poh Choo</t>
  </si>
  <si>
    <t>0123382621</t>
  </si>
  <si>
    <t>poh_choo_low@yahoo.com</t>
  </si>
  <si>
    <t>Felicia Lee Qian Hui</t>
  </si>
  <si>
    <t>4/3/2009</t>
  </si>
  <si>
    <t>011-6268 8290</t>
  </si>
  <si>
    <t>A61479879</t>
  </si>
  <si>
    <t>8/5/2029</t>
  </si>
  <si>
    <t>https://drive.google.com/open?id=1BFTRCedqU4YBM8wIzz7wuOppfrd8XS_Y</t>
  </si>
  <si>
    <t>https://drive.google.com/open?id=1td8f5wgM01jd2aBGW7MHwst4JEl_0j3Q</t>
  </si>
  <si>
    <t>https://drive.google.com/open?id=1Vj9kIZ859INpvDcEwW69Y435zHU2F0AF</t>
  </si>
  <si>
    <t>090304-04-0186</t>
  </si>
  <si>
    <t>SMJK Tinggi Cina Melaka</t>
  </si>
  <si>
    <t>No.28, Jalan Malim, 75250 Melaka</t>
  </si>
  <si>
    <t>Low Poh Choo, Yvonne</t>
  </si>
  <si>
    <t>Yvonne Low, 0123382621</t>
  </si>
  <si>
    <t>SENG OON</t>
  </si>
  <si>
    <t>HO</t>
  </si>
  <si>
    <t>0123063202</t>
  </si>
  <si>
    <t>ho@muihua.com</t>
  </si>
  <si>
    <t>Ho Jia Xuen</t>
  </si>
  <si>
    <t>31/12/2008</t>
  </si>
  <si>
    <t>hojiaxuen@gmail.con</t>
  </si>
  <si>
    <t>HO JIA XUEN</t>
  </si>
  <si>
    <t>A57824680</t>
  </si>
  <si>
    <t>20 DEC 2027</t>
  </si>
  <si>
    <t>https://drive.google.com/open?id=17hAuVjo98bw2I0ojdHB0Czk6NDEPSDD4</t>
  </si>
  <si>
    <t>https://drive.google.com/open?id=1EDAUBB_w8CcTbG8DUtmj9bxewIUMywPs</t>
  </si>
  <si>
    <t>https://drive.google.com/open?id=1jCgnyLS5cy4AaCt-HC0CHmKdzyaV4Dx8</t>
  </si>
  <si>
    <t>081231141183</t>
  </si>
  <si>
    <t xml:space="preserve">VICTORIA INSTITUTION </t>
  </si>
  <si>
    <t>Jalan Hang Tuah, Bukit Bintang, 55200 Kuala Lumpur, Wilayah Persekutuan Kuala Lumpur</t>
  </si>
  <si>
    <t>0123325142</t>
  </si>
  <si>
    <t>HO SENG OON</t>
  </si>
  <si>
    <t>0193393366</t>
  </si>
  <si>
    <t>YAP ZHI BO</t>
  </si>
  <si>
    <t>9/10/2013</t>
  </si>
  <si>
    <t>0192293366</t>
  </si>
  <si>
    <t>PENG BUN</t>
  </si>
  <si>
    <t>0174771308</t>
  </si>
  <si>
    <t>michelleng032806@gmail.com</t>
  </si>
  <si>
    <t xml:space="preserve">SOPHOCLES NG XINXIAN </t>
  </si>
  <si>
    <t>22/11/2008</t>
  </si>
  <si>
    <t>0187641020</t>
  </si>
  <si>
    <t>xinxianng6@gmail.com</t>
  </si>
  <si>
    <t>A60329425</t>
  </si>
  <si>
    <t>10/12/2028</t>
  </si>
  <si>
    <t>https://drive.google.com/open?id=1JK_ig3gd-Oc7gm5SvJMODXWOH7Y1HFnA</t>
  </si>
  <si>
    <t>https://drive.google.com/open?id=19nAICaVxqKxnrMTRofq7EU9JE-VyvbIt</t>
  </si>
  <si>
    <t>https://drive.google.com/open?id=1b0EqV1wlm0XUcDjE9IGjSglYuSKSBlUm</t>
  </si>
  <si>
    <t>SOPHOCLES NG XINXIAN</t>
  </si>
  <si>
    <t>081122-01-0299</t>
  </si>
  <si>
    <t>SMK TAMAN NUSAJAYA</t>
  </si>
  <si>
    <t>Jalan Nusaria 9, Taman Nusantara, 81550 Gelang Patah, Johor Bahru , Johor</t>
  </si>
  <si>
    <t>NG PENG BUN</t>
  </si>
  <si>
    <t xml:space="preserve">MICHELLE NG 0174771308 </t>
  </si>
  <si>
    <t xml:space="preserve">Lu Ching </t>
  </si>
  <si>
    <t xml:space="preserve">Teh </t>
  </si>
  <si>
    <t>0122628031</t>
  </si>
  <si>
    <t>serenaaymes@gmail.com</t>
  </si>
  <si>
    <t xml:space="preserve">Ryan Ee Tian Aymes </t>
  </si>
  <si>
    <t>12/06/07</t>
  </si>
  <si>
    <t>+60 17 241 2216</t>
  </si>
  <si>
    <t>ryan_aymes@outlook.com</t>
  </si>
  <si>
    <t>Ryan Ee Tian Aymes</t>
  </si>
  <si>
    <t>A55472798</t>
  </si>
  <si>
    <t>24/9/2027</t>
  </si>
  <si>
    <t>https://drive.google.com/open?id=1smFl4SX2vGY63UkYgQJFwlhdR89h0Qyq</t>
  </si>
  <si>
    <t>https://drive.google.com/open?id=1qWA6_h2plQhMN0SZNZF5A5BWY1nOo2Za</t>
  </si>
  <si>
    <t>https://drive.google.com/open?id=1geNo0d8_9t1ALR4WpVIuEiTJt8s7PlXR</t>
  </si>
  <si>
    <t xml:space="preserve">Teh Lu Ching ( mother) 
Laurent Aymes ( father) </t>
  </si>
  <si>
    <t xml:space="preserve">25th Jun 2025 </t>
  </si>
  <si>
    <t xml:space="preserve">Teh Lu ching </t>
  </si>
  <si>
    <t xml:space="preserve">Desmond Maurice </t>
  </si>
  <si>
    <t>Carroll</t>
  </si>
  <si>
    <t>01128305276</t>
  </si>
  <si>
    <t>desmond.carroll@gmail.com</t>
  </si>
  <si>
    <t>Deven Max Carroll</t>
  </si>
  <si>
    <t>DEVEN MAX CARROLL</t>
  </si>
  <si>
    <t>K60003866</t>
  </si>
  <si>
    <t>https://drive.google.com/open?id=1wyqvn_EwN64-HR2U7bBy5laIdcuA3oaG</t>
  </si>
  <si>
    <t>https://drive.google.com/open?id=15uGdHVvbV9erXsDelT8wppr1Dp4Nc0GV</t>
  </si>
  <si>
    <t>https://drive.google.com/open?id=1Yh4FnaF7DTd0M_ypd_FRLT4gOltPW3mo</t>
  </si>
  <si>
    <t>0132522918</t>
  </si>
  <si>
    <t>DESMOND MAURICE CARROLL</t>
  </si>
  <si>
    <t>Kooi Chian</t>
  </si>
  <si>
    <t>012-4879700</t>
  </si>
  <si>
    <t>agnesaw@yahoo.com</t>
  </si>
  <si>
    <t>Lee Yen Ern</t>
  </si>
  <si>
    <t>14/08/2008</t>
  </si>
  <si>
    <t>017-9197002</t>
  </si>
  <si>
    <t>jiayouyenern@gmail.com</t>
  </si>
  <si>
    <t>LEE YEN ERN</t>
  </si>
  <si>
    <t>A61501943</t>
  </si>
  <si>
    <t>11 MAY 2029</t>
  </si>
  <si>
    <t>https://drive.google.com/open?id=1bwbwj0PcL2zUQ4jHXSzi3U4foTpdax_r</t>
  </si>
  <si>
    <t>https://drive.google.com/open?id=1VFTaC1InHJ5PZe8tJmVnXssas7Tfb-v-</t>
  </si>
  <si>
    <t>No Prawn</t>
  </si>
  <si>
    <t>https://drive.google.com/open?id=1lCUattGk_geQ5SUZTM1K7KO8Rvuqb_QR</t>
  </si>
  <si>
    <t>080814-07-0044</t>
  </si>
  <si>
    <t>HAN CHIAN HIGH SCHOOL</t>
  </si>
  <si>
    <t>Jalan Han Chiang, 11600, Jelutong, Pulau Pinang</t>
  </si>
  <si>
    <t>Lee Kooi Chian</t>
  </si>
  <si>
    <t>Aw Lai Fan 012-4879702</t>
  </si>
  <si>
    <t>Cathress</t>
  </si>
  <si>
    <t>Gielbert</t>
  </si>
  <si>
    <t>0168021484</t>
  </si>
  <si>
    <t>cathress@gmail.com</t>
  </si>
  <si>
    <t>CAREYNA BULAWAN JOSEPH</t>
  </si>
  <si>
    <t>03122012</t>
  </si>
  <si>
    <t>0122481162</t>
  </si>
  <si>
    <t>H59807814</t>
  </si>
  <si>
    <t>05092028</t>
  </si>
  <si>
    <t>https://drive.google.com/open?id=1n3588ttyRncXowfWtxOKXcL2EVi4WAuI</t>
  </si>
  <si>
    <t>https://drive.google.com/open?id=1eHZQarREUlo2M4Y9ISzcPEFrF_0KaOpQ</t>
  </si>
  <si>
    <t>https://drive.google.com/open?id=1C3MNRMHUp9y7dPBuj-b0EvjKk7jDDB82</t>
  </si>
  <si>
    <t>121203-12-1162</t>
  </si>
  <si>
    <t>KIAN KOK MIDDLE SCHOOL</t>
  </si>
  <si>
    <t>SM KIAN KOK, JALAN TUARAN 88450 KOTA KINABALU, SABAH.</t>
  </si>
  <si>
    <t>CATHRESS GIELBERT</t>
  </si>
  <si>
    <t>ALVYN JOSEPH -FATHER, CATHRESS GIELBERT-MOTHER, ADRIEL JOSEPH- BROTHER, THERESA TINGANG - GRANDMOTHER</t>
  </si>
  <si>
    <t>ALVYN JOSEPH</t>
  </si>
  <si>
    <t>GRANDMOTHER THERESA 0168918101</t>
  </si>
  <si>
    <t xml:space="preserve">Si yuen </t>
  </si>
  <si>
    <t>012-2922129</t>
  </si>
  <si>
    <t>wahsyuen@gmail.com</t>
  </si>
  <si>
    <t xml:space="preserve">Oswald Lim </t>
  </si>
  <si>
    <t>12/05/2008</t>
  </si>
  <si>
    <t>012/3362129</t>
  </si>
  <si>
    <t>oswaldlim512@gmail.com</t>
  </si>
  <si>
    <t>A62623920</t>
  </si>
  <si>
    <t>18/12/2029</t>
  </si>
  <si>
    <t>https://drive.google.com/open?id=1bc_1N0qJPh_45oc0SrQyP8MrOaqOz_Yp</t>
  </si>
  <si>
    <t>https://drive.google.com/open?id=1HbASSIlR9CW3HhcZDFk2qNrL5q0NFp1_</t>
  </si>
  <si>
    <t>https://drive.google.com/open?id=19VPX7OU6NXUG6BbRL_amGL_Y-02OC9J_</t>
  </si>
  <si>
    <t>080512/14/1273</t>
  </si>
  <si>
    <t xml:space="preserve">Premfield international school </t>
  </si>
  <si>
    <t xml:space="preserve">3 jln rimba riang 9/1 kota damansara 47810 petaling jaya selangor </t>
  </si>
  <si>
    <t>Oswald Lim</t>
  </si>
  <si>
    <t>012-3362129</t>
  </si>
  <si>
    <t xml:space="preserve">Lee si yuen </t>
  </si>
  <si>
    <t>Lee si yuen (mother) Lim sun wah (father)</t>
  </si>
  <si>
    <t xml:space="preserve">Relative house </t>
  </si>
  <si>
    <t xml:space="preserve">25/6/2025 </t>
  </si>
  <si>
    <t>Lim sun wah 012-2262129</t>
  </si>
  <si>
    <t>Abby</t>
  </si>
  <si>
    <t>Bong</t>
  </si>
  <si>
    <t>0126075225</t>
  </si>
  <si>
    <t>abbybong@gmail.com</t>
  </si>
  <si>
    <t>AVERIE SENG YUE</t>
  </si>
  <si>
    <t>A63075809</t>
  </si>
  <si>
    <t>08052030</t>
  </si>
  <si>
    <t>https://drive.google.com/open?id=1aR14mrKKQRO6LRgkg-MwejVY0hmLgRab</t>
  </si>
  <si>
    <t>https://drive.google.com/open?id=1J67C2vKN7H9cBEIXZbJQBG-nicKLZLyP</t>
  </si>
  <si>
    <t>https://drive.google.com/open?id=1Wl2wmGWRi3rsReO0oYNda8wnjldP9XkB</t>
  </si>
  <si>
    <t>120118-05-0342</t>
  </si>
  <si>
    <t>Jln Tun Dr. Ismail, Taman Unian, 70200 Seremban, Negeri Sembilan</t>
  </si>
  <si>
    <t>0166018126</t>
  </si>
  <si>
    <t>ABBY BONG</t>
  </si>
  <si>
    <t>JOAN CHONG</t>
  </si>
  <si>
    <t>AUNTY</t>
  </si>
  <si>
    <t>Siang Joo</t>
  </si>
  <si>
    <t>Then</t>
  </si>
  <si>
    <t>+60128996166</t>
  </si>
  <si>
    <t>thendiana@gmail.com</t>
  </si>
  <si>
    <t xml:space="preserve">Ethan Tan Kheng Hong </t>
  </si>
  <si>
    <t>+60139659933</t>
  </si>
  <si>
    <t>Ethan Tan Kheng Hong</t>
  </si>
  <si>
    <t>K57474082</t>
  </si>
  <si>
    <t>18/01/2028</t>
  </si>
  <si>
    <t>https://drive.google.com/open?id=1LU7tmkuarG3wxaeFt-Ooko4ho7PR7UAi</t>
  </si>
  <si>
    <t>https://drive.google.com/open?id=1aWiKIo0XrrEiM3wa6aEFqbv_Q-QNPC0r</t>
  </si>
  <si>
    <t xml:space="preserve">Ethan is allergy to antibiotics (Augmentine) &amp; pain killer (Panadol Brand of paracetamol, other brand of pain killer he is fine eg: Uphamol brand </t>
  </si>
  <si>
    <t>https://drive.google.com/open?id=1a7vJzkEZso83ALVP3cv57qPK_qdz_W-x</t>
  </si>
  <si>
    <t>ETHAN TAN KHENG HONG</t>
  </si>
  <si>
    <t>120925-13-1237</t>
  </si>
  <si>
    <t xml:space="preserve">St Joseph’s Private Secondary School </t>
  </si>
  <si>
    <t>Lot 196, Section 19, KTLD Jalan Nagor, Off Jalan Satok, 93400 Kuching, Sarawak
PO Box 340, 93700 Kuching, Sarawak</t>
  </si>
  <si>
    <t>Then Siang Joo</t>
  </si>
  <si>
    <t xml:space="preserve">Tan Hong Huat ( Father) / Then Siang Joo ( Mother) / Jordan Tan Hiong Huat ( Brother) / Bernice Tan Jia Wen ( sister) / Janice Tan Jia Pei ( sister ) </t>
  </si>
  <si>
    <t xml:space="preserve">Hotel 81 Lavender </t>
  </si>
  <si>
    <t>24/06/25</t>
  </si>
  <si>
    <t>Then Siang Joo (+60128996166)</t>
  </si>
  <si>
    <t xml:space="preserve">Self transport flight from Singapore back to Kuching , Sarawak, Malaysia. </t>
  </si>
  <si>
    <t xml:space="preserve">Ong Yee Lern </t>
  </si>
  <si>
    <t>Teh Lee Suan</t>
  </si>
  <si>
    <t>+60194529872</t>
  </si>
  <si>
    <t>leesuan33@gmail.com</t>
  </si>
  <si>
    <t>Juwita</t>
  </si>
  <si>
    <t>Ghani</t>
  </si>
  <si>
    <t>0127117177</t>
  </si>
  <si>
    <t>juwitaghani@gmail.com</t>
  </si>
  <si>
    <t>Kamila Iris Ghani-Sayer</t>
  </si>
  <si>
    <t>Kamila Iris Ghani Sayer</t>
  </si>
  <si>
    <t>A63046824</t>
  </si>
  <si>
    <t>02112030</t>
  </si>
  <si>
    <t>https://drive.google.com/open?id=1LhGBevzHugfyPt8SFRDog8NHQlrVR31S</t>
  </si>
  <si>
    <t>https://drive.google.com/open?id=1oppJWJfWFAnYsS3YpVx9UllrjbA0J4Eh</t>
  </si>
  <si>
    <t>https://drive.google.com/open?id=1HSmnVDNLaYlYXIKXO38DiW3raZBUFaVv</t>
  </si>
  <si>
    <t>Sri KDU International Secondary School, Kota Damansara</t>
  </si>
  <si>
    <t>3, 5, 7, Jalan Teknologi 2/1, Taman Sains Selangor, Kota Damansara, 47810 Petaling Jaya, Selangor</t>
  </si>
  <si>
    <t>0128057177</t>
  </si>
  <si>
    <t>Juwita Ghani</t>
  </si>
  <si>
    <t>Juwita Ghani Mother
Richard Sayer Father</t>
  </si>
  <si>
    <t>Not booked yet</t>
  </si>
  <si>
    <t>SAU MOI</t>
  </si>
  <si>
    <t>018-7851255</t>
  </si>
  <si>
    <t>cynthia6364@icloud.com</t>
  </si>
  <si>
    <t>Lai Bo Zheng</t>
  </si>
  <si>
    <t>11 OCT 2008</t>
  </si>
  <si>
    <t>0187851255</t>
  </si>
  <si>
    <t xml:space="preserve">Mily </t>
  </si>
  <si>
    <t>Liang</t>
  </si>
  <si>
    <t>0166666536</t>
  </si>
  <si>
    <t>milyliang@yahoo.com</t>
  </si>
  <si>
    <t>Anabelle kong</t>
  </si>
  <si>
    <t>Adelina</t>
  </si>
  <si>
    <t>Awaluddin</t>
  </si>
  <si>
    <t>0176362205</t>
  </si>
  <si>
    <t>adelina.awaluddin@gmail.com</t>
  </si>
  <si>
    <t>Aslan Adnan</t>
  </si>
  <si>
    <t>0102459205</t>
  </si>
  <si>
    <t>aslan.adnan2008@gmail.com</t>
  </si>
  <si>
    <t>A60875817</t>
  </si>
  <si>
    <t>https://drive.google.com/open?id=1w0fHx5844yZTHloAUAO1i9_bJ2iJ_ps7</t>
  </si>
  <si>
    <t>https://drive.google.com/open?id=1JS1lKDbgBZpl9B6vWKlvbmYIoNoPymKw</t>
  </si>
  <si>
    <t>https://drive.google.com/open?id=1tTETiEudnu3MheB-mncknIhU6vyYn76-</t>
  </si>
  <si>
    <t>081212-91-0039</t>
  </si>
  <si>
    <t>SMK Shah Alam</t>
  </si>
  <si>
    <t>Persiaran Anjung Seri, Bukit Jelutong, 40150 Shah Alam, Selangor</t>
  </si>
  <si>
    <t>Adelina Awaluddin</t>
  </si>
  <si>
    <t>Adelina Awaluddin/mother
Ammar Adnan/brother</t>
  </si>
  <si>
    <t>Adelina Awaluddin 0176362205</t>
  </si>
  <si>
    <t>Hsiu Khim</t>
  </si>
  <si>
    <t>Chen</t>
  </si>
  <si>
    <t>0198948944</t>
  </si>
  <si>
    <t>jaeschenhk@gmail.com</t>
  </si>
  <si>
    <t>Liysha Liung Chen Celestine Baru</t>
  </si>
  <si>
    <t>02.05.2012</t>
  </si>
  <si>
    <t>0105158944</t>
  </si>
  <si>
    <t>K57075469</t>
  </si>
  <si>
    <t>03122027</t>
  </si>
  <si>
    <t>https://drive.google.com/open?id=1kJ6mxF-61Qlp_vgb6c5wtJdaD7upH8ny</t>
  </si>
  <si>
    <t>https://drive.google.com/open?id=15pDB3Vp5o5DNSMMo4ktd6BET0_F4TTWQ</t>
  </si>
  <si>
    <t>https://drive.google.com/open?id=1jTBmXqsE-WoKt-0vQoTWSVb0dhKa8ZRA</t>
  </si>
  <si>
    <t>120502-13-0718</t>
  </si>
  <si>
    <t>SMK St Columba</t>
  </si>
  <si>
    <t xml:space="preserve">SMK St Columba, POBox 97, Jalan Dato Abang Indeh 98009 Miri, Sarawak </t>
  </si>
  <si>
    <t>Chen Hsiu Khim</t>
  </si>
  <si>
    <t>Siew Yen</t>
  </si>
  <si>
    <t>Pang</t>
  </si>
  <si>
    <t>0167151338</t>
  </si>
  <si>
    <t>pangsiewyen@gamil.com</t>
  </si>
  <si>
    <t>Wah Hao Ran</t>
  </si>
  <si>
    <t>pangsiewyen@gmail.com</t>
  </si>
  <si>
    <t>WAH HAO RAN</t>
  </si>
  <si>
    <t>A57840839</t>
  </si>
  <si>
    <t>https://drive.google.com/open?id=1Soaa0XlZFkUqBV0RTGWVzseEcmcJDxqp</t>
  </si>
  <si>
    <t>https://drive.google.com/open?id=1tZObZEXI29kWqjsdyteXrO9NwacWy_aY</t>
  </si>
  <si>
    <t>https://drive.google.com/open?id=1QUvQarZ5Un08uPYrey4IrJe2JlAvpAq2</t>
  </si>
  <si>
    <t>Sri Kdu International School</t>
  </si>
  <si>
    <t xml:space="preserve">3 jalan teknologi 2/1, taman science , kota damansara 47810 Petaling Jaya </t>
  </si>
  <si>
    <t>Pang Siew Yen</t>
  </si>
  <si>
    <t xml:space="preserve">Pang siew yen , mother </t>
  </si>
  <si>
    <t xml:space="preserve">to be confirmed </t>
  </si>
  <si>
    <t xml:space="preserve">to be informed </t>
  </si>
  <si>
    <t>pang 0167151338</t>
  </si>
  <si>
    <t xml:space="preserve">mother </t>
  </si>
  <si>
    <t>Nor Hidayu binti Alias</t>
  </si>
  <si>
    <t>Alias</t>
  </si>
  <si>
    <t>01120713282</t>
  </si>
  <si>
    <t>ivanloh243@gmail.com</t>
  </si>
  <si>
    <t xml:space="preserve">Muhammad iriel Darwish lim </t>
  </si>
  <si>
    <t>16/04/2012</t>
  </si>
  <si>
    <t>01118803282</t>
  </si>
  <si>
    <t>MUHAMMAD IRIEL DARWISH</t>
  </si>
  <si>
    <t>A60750225</t>
  </si>
  <si>
    <t>22 JANUARY 2029</t>
  </si>
  <si>
    <t>https://drive.google.com/open?id=1xkI_hIwQBPtIvEV8BdygSAuMOhhaA3_M</t>
  </si>
  <si>
    <t>https://drive.google.com/open?id=1zscq6sM1nnD-8c7RT2nT9pAxgSLY9L0C</t>
  </si>
  <si>
    <t>https://drive.google.com/open?id=1MNP7ydyPaw_L09nikAi0D2QYqirJ6SH3</t>
  </si>
  <si>
    <t>Muhammad Iriel Darwish Lim</t>
  </si>
  <si>
    <t>120416-02-1099</t>
  </si>
  <si>
    <t>SMK Bandar sungai petani</t>
  </si>
  <si>
    <t>SMK Bandar, Jalan Pahlawan, 08000, Sungai Petani Kedah</t>
  </si>
  <si>
    <t>MUHAMMAD IRIEL DARIWSH LIM</t>
  </si>
  <si>
    <t xml:space="preserve">Nor Hidayu </t>
  </si>
  <si>
    <t>Daniel Lim/father</t>
  </si>
  <si>
    <t>25-27jun</t>
  </si>
  <si>
    <t>Liew</t>
  </si>
  <si>
    <t>0138060737</t>
  </si>
  <si>
    <t>cynthialiew77@yahoo.co.uk</t>
  </si>
  <si>
    <t>Hannah Wong Ya Ting</t>
  </si>
  <si>
    <t>0195386664</t>
  </si>
  <si>
    <t>H71395081</t>
  </si>
  <si>
    <t>https://drive.google.com/open?id=1gstjbdK2kXX9WCrRjGhP9s8I_3EyvHOQ</t>
  </si>
  <si>
    <t>https://drive.google.com/open?id=12EqnfwarPxEJ8kvngi4O5nwJ8H9G4RjM</t>
  </si>
  <si>
    <t>https://drive.google.com/open?id=1Ck44dC1ntDeIK2SfdNvTaGT2hbMYBZ4z</t>
  </si>
  <si>
    <t>120716-12-0910</t>
  </si>
  <si>
    <t xml:space="preserve">Sekolah Menengah Sung Siew Sandakan </t>
  </si>
  <si>
    <t>Pusat Bandar Sandakan 90000 Sandakan, Sabah</t>
  </si>
  <si>
    <t>Cynthia Liew</t>
  </si>
  <si>
    <t>Cynthia Liew Sing Ti / Mother</t>
  </si>
  <si>
    <t>Sister house in Singapore</t>
  </si>
  <si>
    <t>21/06/2025</t>
  </si>
  <si>
    <t>Cynthia Liew 0138060737</t>
  </si>
  <si>
    <t>Mother 0138060737</t>
  </si>
  <si>
    <t>Siong Hui</t>
  </si>
  <si>
    <t>Pua</t>
  </si>
  <si>
    <t>0162100892</t>
  </si>
  <si>
    <t>george_pua@yahoo.com</t>
  </si>
  <si>
    <t>Eunice Pua Jia Hui</t>
  </si>
  <si>
    <t>12/01/2008</t>
  </si>
  <si>
    <t>01165402550</t>
  </si>
  <si>
    <t>eunicepua0112@gmail.com</t>
  </si>
  <si>
    <t>EUNICE PUA JIA HUI</t>
  </si>
  <si>
    <t>A59068792</t>
  </si>
  <si>
    <t>20/05/2028</t>
  </si>
  <si>
    <t>https://drive.google.com/open?id=1bnQ6r_ur_OnRiGSLZq_1cfZw_XMKrDQn</t>
  </si>
  <si>
    <t>https://drive.google.com/open?id=1kvkOw2AY5GFW4iDV5nFnTKGsX10JgjHH</t>
  </si>
  <si>
    <t>https://drive.google.com/open?id=14y6SmX-AXIk_fSbActSWhjrk1OUi9rQx</t>
  </si>
  <si>
    <t xml:space="preserve">EUNICE PUA JIA HUI </t>
  </si>
  <si>
    <t>080112-10-0448</t>
  </si>
  <si>
    <t>Sekolah Menengah Jenis Kebangsaan Chung Hwa</t>
  </si>
  <si>
    <t xml:space="preserve">1, JALAN NAGASARI 36/10, SEKSYEN 36, 40470 SHAH ALAM, SELANGOR </t>
  </si>
  <si>
    <t>George Pua</t>
  </si>
  <si>
    <t>George Pua - 0162100892</t>
  </si>
  <si>
    <t xml:space="preserve">Mother - Amy Wong - 0162133598 (Emergency Contact) </t>
  </si>
  <si>
    <t xml:space="preserve"> Samantha</t>
  </si>
  <si>
    <t>0123095207</t>
  </si>
  <si>
    <t>weist32@gmail.com</t>
  </si>
  <si>
    <t>Joelle Koo</t>
  </si>
  <si>
    <t>0129598269</t>
  </si>
  <si>
    <t>joellek360@gmail.com</t>
  </si>
  <si>
    <t>Koo Yu Qing Joelle</t>
  </si>
  <si>
    <t>A52907050</t>
  </si>
  <si>
    <t>https://drive.google.com/open?id=12OaTHwk8Ex87rU0_NklWekvmT7KFYslC</t>
  </si>
  <si>
    <t>https://drive.google.com/open?id=1iUBUSkri7LEk8oLsv4rB7If0ihMMdCcn</t>
  </si>
  <si>
    <t>https://drive.google.com/open?id=1PG8C5aqSd7wRvcesEKd9_OewnmqJrrVn</t>
  </si>
  <si>
    <t>Teoh Wei shien</t>
  </si>
  <si>
    <t>Mother / father / sibling</t>
  </si>
  <si>
    <t>Novotel hotel</t>
  </si>
  <si>
    <t>24/6</t>
  </si>
  <si>
    <t>Eileen</t>
  </si>
  <si>
    <t>+60124544590</t>
  </si>
  <si>
    <t>piggylim99@gmail.com</t>
  </si>
  <si>
    <t>Hannes Wan Khai Hern</t>
  </si>
  <si>
    <t>+60174747750</t>
  </si>
  <si>
    <t>hanneswan8828@gmail.com</t>
  </si>
  <si>
    <t>WAN KHAI HERN</t>
  </si>
  <si>
    <t>A58376797</t>
  </si>
  <si>
    <t>https://drive.google.com/open?id=1amvIQgW-dersLhrbyw0dTWY5gW6T6VG5</t>
  </si>
  <si>
    <t>https://drive.google.com/open?id=1SjPn78D5BycRaqcQmJQMZoUZ22JPosUs</t>
  </si>
  <si>
    <t>https://drive.google.com/open?id=1nylG8w_HZjQpZ6KUK5K1YV2zjqDtLPmA</t>
  </si>
  <si>
    <t>081015-07-0691</t>
  </si>
  <si>
    <t>SMJK Chung Ling</t>
  </si>
  <si>
    <t>23, Kampung Baharu, 11400 Ayer Item, Penang</t>
  </si>
  <si>
    <t>0174747750</t>
  </si>
  <si>
    <t>Eileen Lim</t>
  </si>
  <si>
    <t>0124544590</t>
  </si>
  <si>
    <t>Eileen Lim -Mother, Wan Cheng Aik-Father</t>
  </si>
  <si>
    <t>Bukit Merah</t>
  </si>
  <si>
    <t>24 June 2025</t>
  </si>
  <si>
    <t xml:space="preserve">Jacqueline </t>
  </si>
  <si>
    <t>012–2981100</t>
  </si>
  <si>
    <t>jacqngml@gmail.com</t>
  </si>
  <si>
    <t>Morgan Eleven Teo Kai Cheng</t>
  </si>
  <si>
    <t>0105021100</t>
  </si>
  <si>
    <t>morganeleventeo@gmail.com</t>
  </si>
  <si>
    <t>A55362230</t>
  </si>
  <si>
    <t>https://drive.google.com/open?id=1mOQyl17Mqi6IQ9-6ybDjhUbrU_FuHRuh</t>
  </si>
  <si>
    <t>https://drive.google.com/open?id=1TCo1P_UEw__AN2zTMUMTVficfPaEnDJR</t>
  </si>
  <si>
    <t>https://drive.google.com/open?id=1438_7rcTFxOU59XOngJyRIt_HV1Q8y2q</t>
  </si>
  <si>
    <t>Morgan Eleven</t>
  </si>
  <si>
    <t>010-5021100</t>
  </si>
  <si>
    <t>Jacqueline Ng (Mother)</t>
  </si>
  <si>
    <t>Ibis Hotel</t>
  </si>
  <si>
    <t>24-27 Junr</t>
  </si>
  <si>
    <t>Eleven Teo 012-3061100</t>
  </si>
  <si>
    <t>Michelle</t>
  </si>
  <si>
    <t>013-6494168</t>
  </si>
  <si>
    <t>mtsc9666@gmail.com</t>
  </si>
  <si>
    <t>Charissa Ang Yee Ting</t>
  </si>
  <si>
    <t>0108868840</t>
  </si>
  <si>
    <t>https://drive.google.com/open?id=1I26BKg_WVfPlouMaJkblNRXtT6sFbyzu</t>
  </si>
  <si>
    <t>https://drive.google.com/open?id=1hqPxasvUmKWL0k3ZEuur9j6D7t8sqNTP</t>
  </si>
  <si>
    <t>https://drive.google.com/open?id=1m_3D4X16xD2ZHSMTBA3eyz1Y1iYTaA1P</t>
  </si>
  <si>
    <t>120623-13-0722</t>
  </si>
  <si>
    <t>SMK GREEN ROAD</t>
  </si>
  <si>
    <t>JALAN GREEN, 93100, Kuching, Sarawak</t>
  </si>
  <si>
    <t>Charissa Ang Yee ting</t>
  </si>
  <si>
    <t>010-8868840</t>
  </si>
  <si>
    <t>Michelle Tan</t>
  </si>
  <si>
    <t>Michelle Tan Shoo Chin</t>
  </si>
  <si>
    <t xml:space="preserve">Home </t>
  </si>
  <si>
    <t xml:space="preserve">24 June </t>
  </si>
  <si>
    <t>Daniel Chen 010-7708778</t>
  </si>
  <si>
    <t>Uncle</t>
  </si>
  <si>
    <t xml:space="preserve">Monica </t>
  </si>
  <si>
    <t xml:space="preserve">Yoon </t>
  </si>
  <si>
    <t xml:space="preserve">019-4009993 </t>
  </si>
  <si>
    <t>Yoon.monica@yahoo.com</t>
  </si>
  <si>
    <t xml:space="preserve">Khew Zi Xian </t>
  </si>
  <si>
    <t xml:space="preserve">B2(MSN funding) </t>
  </si>
  <si>
    <t>11/06/2008</t>
  </si>
  <si>
    <t xml:space="preserve">012 227 8070 </t>
  </si>
  <si>
    <t>khewzixian@gmail.com</t>
  </si>
  <si>
    <t>A59193501</t>
  </si>
  <si>
    <t>https://drive.google.com/open?id=1A3ur4BgitUehUkyYQG-IuqqRD2gAo771</t>
  </si>
  <si>
    <t>https://drive.google.com/open?id=1DzbjmsIL5GsUi9FuEjhLE-oUTn-A0bxS</t>
  </si>
  <si>
    <t>https://drive.google.com/open?id=1tqw1udA8OXl77fGF_dcTUFy0j-d3Ehy7</t>
  </si>
  <si>
    <t xml:space="preserve">080611-10-1808 </t>
  </si>
  <si>
    <t>Sukan Sekolah Bukit Jalil</t>
  </si>
  <si>
    <t>Bukit Jalil, KL</t>
  </si>
  <si>
    <t xml:space="preserve">Monica 019-4009993 </t>
  </si>
  <si>
    <t xml:space="preserve">Pei Yong </t>
  </si>
  <si>
    <t>0126066706</t>
  </si>
  <si>
    <t>leepeiyong@yahoo.com</t>
  </si>
  <si>
    <t>Goh Li Jie</t>
  </si>
  <si>
    <t>MSN</t>
  </si>
  <si>
    <t>28-01-2008</t>
  </si>
  <si>
    <t>0107672113</t>
  </si>
  <si>
    <t>jaydengohlijie2325@gmail.com</t>
  </si>
  <si>
    <t>A58046469</t>
  </si>
  <si>
    <t>25-01-2028</t>
  </si>
  <si>
    <t>https://drive.google.com/open?id=145v_t0weZfirZwroOI5P2vK163wv88mQ</t>
  </si>
  <si>
    <t>https://drive.google.com/open?id=1cWGhk0qujRLGuLoFeqJezYbCk_JjfbWK</t>
  </si>
  <si>
    <t>https://drive.google.com/open?id=1z37jeTFZX8NJAdWUjXFcTwmc_jfU0HUw</t>
  </si>
  <si>
    <t>080128102325</t>
  </si>
  <si>
    <t>Sri Kuala Lumpur</t>
  </si>
  <si>
    <t>Jalan SS 15/7a, Ss 15, 47500 Subang Jaya, Selangor</t>
  </si>
  <si>
    <t>Lee Pei Yong</t>
  </si>
  <si>
    <t>Lee Pei Yong - mother
Henry Goh- sibling</t>
  </si>
  <si>
    <t>Goh Heng Aik</t>
  </si>
  <si>
    <t xml:space="preserve">Wong Kai Li </t>
  </si>
  <si>
    <t xml:space="preserve">Wong </t>
  </si>
  <si>
    <t>+971554722863</t>
  </si>
  <si>
    <t>wkl2@hotmail.com</t>
  </si>
  <si>
    <t xml:space="preserve">Nadia Lim </t>
  </si>
  <si>
    <t>00971554722863</t>
  </si>
  <si>
    <t>Nadia Lim</t>
  </si>
  <si>
    <t>A57314167</t>
  </si>
  <si>
    <t>https://drive.google.com/open?id=11diA2ko_1PHR6Nt-7qLO4pc9MRK6Dn9Q</t>
  </si>
  <si>
    <t>https://drive.google.com/open?id=18rtWxhfwM06MtINsr4-yfNOHm_0GHLN9</t>
  </si>
  <si>
    <t>https://drive.google.com/open?id=1GEZqfn3POgMcXxtyV8q7vEXp4tDXTcdS</t>
  </si>
  <si>
    <t>+971565229077</t>
  </si>
  <si>
    <t xml:space="preserve">Kelly Wong </t>
  </si>
  <si>
    <t xml:space="preserve">Wong Kai li ( mother ) , rania lim ( sibling) </t>
  </si>
  <si>
    <t>CONRAD SINGAPORE MARINA BAY (CONRAD HOTELS)
Phone 65--63348888
Two Temasek Boulevard.
Singapore SG 038982</t>
  </si>
  <si>
    <t xml:space="preserve">23 June 2025 to 29 June 2025 </t>
  </si>
  <si>
    <t>Nick lim +971509113918</t>
  </si>
  <si>
    <t xml:space="preserve">Jasmine </t>
  </si>
  <si>
    <t>0123037493</t>
  </si>
  <si>
    <t>jlim3133@yahoo.com</t>
  </si>
  <si>
    <t xml:space="preserve">Kayler Ngan Kang Yi </t>
  </si>
  <si>
    <t>01032012</t>
  </si>
  <si>
    <t>0163363302</t>
  </si>
  <si>
    <t>kaylerngan@yahoo.com</t>
  </si>
  <si>
    <t>Kayler Ngan Kang Yi</t>
  </si>
  <si>
    <t>A54750469</t>
  </si>
  <si>
    <t>16 Feb 2027</t>
  </si>
  <si>
    <t>https://drive.google.com/open?id=1IFOzkSYY88j1TfnbIwe_5dXY_-dz2MHk</t>
  </si>
  <si>
    <t>https://drive.google.com/open?id=1XOGJta8BCTnPUKbGzQ7JLdrKsErk-KZB</t>
  </si>
  <si>
    <t>https://drive.google.com/open?id=1gw2s1h2hIw1R_yxN11u7PrDEk1AFdb0h</t>
  </si>
  <si>
    <t xml:space="preserve">Sri KDU International School </t>
  </si>
  <si>
    <t>Sri KDU International School Kota Damansara</t>
  </si>
  <si>
    <t>Jasmine Lim</t>
  </si>
  <si>
    <t>Ngan Chen Yap (Father)
Jasmine Lim Soo Fung (Mother)
Bryan Ngan Kang Yu (Brother)</t>
  </si>
  <si>
    <t>No sure yet</t>
  </si>
  <si>
    <t>Ngan Chen Yap</t>
  </si>
  <si>
    <t>0123133493</t>
  </si>
  <si>
    <t>Mei Lin</t>
  </si>
  <si>
    <t>0124604166</t>
  </si>
  <si>
    <t>meilin.woo@gmail.com</t>
  </si>
  <si>
    <t>Taylor Mah</t>
  </si>
  <si>
    <t xml:space="preserve"> Lip Ming </t>
  </si>
  <si>
    <t xml:space="preserve">011-16053168 </t>
  </si>
  <si>
    <t>lipmingtan@gmail.com</t>
  </si>
  <si>
    <t xml:space="preserve">Elyna Boon </t>
  </si>
  <si>
    <t xml:space="preserve">011-16488011 </t>
  </si>
  <si>
    <t>m-13428834@moe-dl.edu.my</t>
  </si>
  <si>
    <t xml:space="preserve"> SHEN YUN</t>
  </si>
  <si>
    <t>GOH</t>
  </si>
  <si>
    <t>0128291019</t>
  </si>
  <si>
    <t>krystle_gsy@yahoo.com.tw</t>
  </si>
  <si>
    <t xml:space="preserve">IGNACIO WONG HAO ZHE </t>
  </si>
  <si>
    <t>0166670130</t>
  </si>
  <si>
    <t>Min Shin</t>
  </si>
  <si>
    <t>0124123334</t>
  </si>
  <si>
    <t>minshin72@gmail.com</t>
  </si>
  <si>
    <t>Chong Zhi Yang</t>
  </si>
  <si>
    <t>0123213644</t>
  </si>
  <si>
    <t>chongzhiyang166@gmail.com</t>
  </si>
  <si>
    <t>LAI BO ZHENG</t>
  </si>
  <si>
    <t>016-6203356</t>
  </si>
  <si>
    <t>jefflai081011@gmail.com</t>
  </si>
  <si>
    <t>A70685573</t>
  </si>
  <si>
    <t>28 OCT 2029</t>
  </si>
  <si>
    <t>https://drive.google.com/open?id=1-iRjymIs5CRHNI4mBEQbWs9aT-UoSfGt</t>
  </si>
  <si>
    <t>https://drive.google.com/open?id=1HHPtt72EEq0mC93LTmre4fYw4HT1VGWp</t>
  </si>
  <si>
    <t>https://drive.google.com/open?id=1XpS5MoKjxUVaJkUZXG6tOhvfJNxKBJba</t>
  </si>
  <si>
    <t>081011-01-1395</t>
  </si>
  <si>
    <t xml:space="preserve">REAL INTERNATIONAL SCHOOL </t>
  </si>
  <si>
    <t>2361,Persiaran Sri Plentong,Bandar Baru Permas Jaya,81750 Masai,Johor Darul Ta’zim</t>
  </si>
  <si>
    <t>TAN SAU MOI</t>
  </si>
  <si>
    <t>MOTHER - TAN SAU MOI
SIBLING - LAI SHI YU</t>
  </si>
  <si>
    <t>25/6/2025</t>
  </si>
  <si>
    <t>TAN SAU MOI (018-7851255)</t>
  </si>
  <si>
    <t>Lan Fong</t>
  </si>
  <si>
    <t>Wong</t>
  </si>
  <si>
    <t>0127133614</t>
  </si>
  <si>
    <t>wlanfong@gmail.com</t>
  </si>
  <si>
    <t>Saw Jia Xin</t>
  </si>
  <si>
    <t>SHEN YUN</t>
  </si>
  <si>
    <t>30 Jan 2009</t>
  </si>
  <si>
    <t>li li</t>
  </si>
  <si>
    <t>0127633969</t>
  </si>
  <si>
    <t>lilywong6396@yahoo.com</t>
  </si>
  <si>
    <t>Sarah ngo jia rong</t>
  </si>
  <si>
    <t>Peik Eik</t>
  </si>
  <si>
    <t>+60124709988</t>
  </si>
  <si>
    <t>peikeik988@gmail.com</t>
  </si>
  <si>
    <t>Yeoh Yun Xuan</t>
  </si>
  <si>
    <t>19/03/2009</t>
  </si>
  <si>
    <t>+60177920506</t>
  </si>
  <si>
    <t>yunxuan988@gmai.com</t>
  </si>
  <si>
    <t xml:space="preserve">YEN YEN </t>
  </si>
  <si>
    <t>0138280104</t>
  </si>
  <si>
    <t>chinyenyen@gmail.com</t>
  </si>
  <si>
    <t>ANGELIA CHAN JIA WEN</t>
  </si>
  <si>
    <t>05112012</t>
  </si>
  <si>
    <t>YEW CHONG</t>
  </si>
  <si>
    <t>KOH</t>
  </si>
  <si>
    <t>0122059391</t>
  </si>
  <si>
    <t>yewchong.serena@gmail.com</t>
  </si>
  <si>
    <t>KAYLEE KOH LEE SHEN</t>
  </si>
  <si>
    <t>0122180081</t>
  </si>
  <si>
    <t>serena.yewchong@gmail.com</t>
  </si>
  <si>
    <t>A55019015</t>
  </si>
  <si>
    <t>https://drive.google.com/open?id=11ZRVoFp15Y_rblPkOhLhMnsOSPac5Kc6</t>
  </si>
  <si>
    <t>https://drive.google.com/open?id=1p7T-fi9107pznOusxPvncd5GcVTcVia3</t>
  </si>
  <si>
    <t>https://drive.google.com/open?id=1JHgNzV3p9ULC5zhzn6CeXZ-B_2XpI2VA</t>
  </si>
  <si>
    <t>100818-10-1640</t>
  </si>
  <si>
    <t>SRI KUALA LUMPUR INTERNATIONAL SCHOOL</t>
  </si>
  <si>
    <t>NO. 1, JALAN SS15/7A, 47500 SUBANG JAYA, SELANGOR</t>
  </si>
  <si>
    <t>KOH YEW CHONG</t>
  </si>
  <si>
    <t>HUNG CHOON</t>
  </si>
  <si>
    <t>TIONG</t>
  </si>
  <si>
    <t>0109679168</t>
  </si>
  <si>
    <t>siong9160@hotmail.com</t>
  </si>
  <si>
    <t>ANSON CHIU WEI KIET</t>
  </si>
  <si>
    <t>Meng Koon</t>
  </si>
  <si>
    <t>0125016512</t>
  </si>
  <si>
    <t>angmengkoon@gmail.com</t>
  </si>
  <si>
    <t xml:space="preserve">Ang Yong Jun </t>
  </si>
  <si>
    <t>0182062222</t>
  </si>
  <si>
    <t>imyongjunang@gmail.com</t>
  </si>
  <si>
    <t>A57060131</t>
  </si>
  <si>
    <t>https://drive.google.com/open?id=1P-ZxuvrEAKksGXFdnP1OH2YW4HiLUIyv</t>
  </si>
  <si>
    <t>https://drive.google.com/open?id=1HGYHY3AKX90MEqiYxSosW8Lwsw7C5ogi</t>
  </si>
  <si>
    <t>https://drive.google.com/open?id=1LCsHDaOkNTn5EqP9cpwTJyGqdno7Buhk</t>
  </si>
  <si>
    <t>080321-08-1001</t>
  </si>
  <si>
    <t xml:space="preserve">SEKOLAH SRI TENBY IPOH </t>
  </si>
  <si>
    <t>16, Persiaran Meru Utama, Bandar Meru Raya, Ipoh, Perak</t>
  </si>
  <si>
    <t>Ang Meng Koon</t>
  </si>
  <si>
    <t>Ang Meng Koon (father)</t>
  </si>
  <si>
    <t>Ang Meng Koon 0125016512</t>
  </si>
  <si>
    <t>Yvonne</t>
  </si>
  <si>
    <t>Lau</t>
  </si>
  <si>
    <t>0122119610</t>
  </si>
  <si>
    <t>likeyvlau@gmail.com</t>
  </si>
  <si>
    <t>Henry Chan</t>
  </si>
  <si>
    <t>16/06/2008</t>
  </si>
  <si>
    <t>0172481116</t>
  </si>
  <si>
    <t>hchan4313@gmail.com</t>
  </si>
  <si>
    <t>Samuel</t>
  </si>
  <si>
    <t>Lai</t>
  </si>
  <si>
    <t>01116698631</t>
  </si>
  <si>
    <t>samlaichongweng@gmail.com</t>
  </si>
  <si>
    <t xml:space="preserve">Samuel Lai Chong Weng </t>
  </si>
  <si>
    <t>Samuel Lai Chong Weng</t>
  </si>
  <si>
    <t>K56615728</t>
  </si>
  <si>
    <t>https://drive.google.com/open?id=1vuOFOr6BLBqsjlm5UlJ9iQjH_Vt_mpbd</t>
  </si>
  <si>
    <t>https://drive.google.com/open?id=131u8eJtbxtGiJwTKI4lERsfUPLFJC72Y</t>
  </si>
  <si>
    <t>No spicy</t>
  </si>
  <si>
    <t>https://drive.google.com/open?id=1IgUBFFYH2GpF-uTFuDKOf2VrrJxNnI6q</t>
  </si>
  <si>
    <t>070823070231</t>
  </si>
  <si>
    <t>Methodist College Kuala Lumpur Pykett Campus</t>
  </si>
  <si>
    <t>Lebuhraya Pykett, 10400 George Town, Pulau Pinang</t>
  </si>
  <si>
    <t>Ku Eng Sing</t>
  </si>
  <si>
    <t>0124368976</t>
  </si>
  <si>
    <t>SING CHAN</t>
  </si>
  <si>
    <t>TIE</t>
  </si>
  <si>
    <t>0168506611</t>
  </si>
  <si>
    <t>tiesingchan@hotmail.com</t>
  </si>
  <si>
    <t>LOUIS TIE XUN RUI</t>
  </si>
  <si>
    <t xml:space="preserve">SITI ZAINAB </t>
  </si>
  <si>
    <t xml:space="preserve">BINTI ISMAIL SAUD </t>
  </si>
  <si>
    <t>01165656244</t>
  </si>
  <si>
    <t>qp6244mamaisha@gmail.com</t>
  </si>
  <si>
    <t xml:space="preserve">PUTRA ZAHIN AL-HAQQ BIN NORMAN </t>
  </si>
  <si>
    <t>19/01/2012</t>
  </si>
  <si>
    <t>0146056244</t>
  </si>
  <si>
    <t>normanhussin@gmail.com</t>
  </si>
  <si>
    <t>Teh</t>
  </si>
  <si>
    <t>01110950121</t>
  </si>
  <si>
    <t>carte81@ymail.com</t>
  </si>
  <si>
    <t>Ethren Ethanael Lim Churn</t>
  </si>
  <si>
    <t>08042011</t>
  </si>
  <si>
    <t xml:space="preserve">Mazura </t>
  </si>
  <si>
    <t>Abas</t>
  </si>
  <si>
    <t>0123450884</t>
  </si>
  <si>
    <t>mazura.abas@gmail.com</t>
  </si>
  <si>
    <t>Mohammad Aqeef Mohd Azlan</t>
  </si>
  <si>
    <t>State</t>
  </si>
  <si>
    <t>SGR</t>
  </si>
  <si>
    <t>0122278070</t>
  </si>
  <si>
    <t xml:space="preserve">0122278070 </t>
  </si>
  <si>
    <t>0172683252</t>
  </si>
  <si>
    <t>SABAH</t>
  </si>
  <si>
    <t>MLK</t>
  </si>
  <si>
    <t>012-3151898</t>
  </si>
  <si>
    <t>0122835838</t>
  </si>
  <si>
    <t>0122907035</t>
  </si>
  <si>
    <t>WPKL</t>
  </si>
  <si>
    <t>SARAWAK</t>
  </si>
  <si>
    <t>016-6836706</t>
  </si>
  <si>
    <t>0166836706</t>
  </si>
  <si>
    <t>PRK</t>
  </si>
  <si>
    <t>016-3113176</t>
  </si>
  <si>
    <t>NEGERI SEMBILAN</t>
  </si>
  <si>
    <t>0166909996</t>
  </si>
  <si>
    <t>0125951615</t>
  </si>
  <si>
    <t>PEN</t>
  </si>
  <si>
    <t>0125383012</t>
  </si>
  <si>
    <t>011-62688290</t>
  </si>
  <si>
    <t>0162003882</t>
  </si>
  <si>
    <t>011-61238934</t>
  </si>
  <si>
    <t>01161238934</t>
  </si>
  <si>
    <t>0103701997</t>
  </si>
  <si>
    <t>0126384804</t>
  </si>
  <si>
    <t>JHR</t>
  </si>
  <si>
    <t>0123452168</t>
  </si>
  <si>
    <t>011-62554256</t>
  </si>
  <si>
    <t>012-2148162</t>
  </si>
  <si>
    <t>0122148162</t>
  </si>
  <si>
    <t>0124017162</t>
  </si>
  <si>
    <t>0166203356</t>
  </si>
  <si>
    <t>018-2181151</t>
  </si>
  <si>
    <t>0107988281</t>
  </si>
  <si>
    <t>60178246968</t>
  </si>
  <si>
    <t>0108218615</t>
  </si>
  <si>
    <t>0138228615</t>
  </si>
  <si>
    <t>0103677410</t>
  </si>
  <si>
    <t>NSE</t>
  </si>
  <si>
    <t>0168916706</t>
  </si>
  <si>
    <t>0128131636</t>
  </si>
  <si>
    <t>0172412216</t>
  </si>
  <si>
    <t>0139659933</t>
  </si>
  <si>
    <t>0123362129</t>
  </si>
  <si>
    <t>60142063565</t>
  </si>
  <si>
    <t>0142063565</t>
  </si>
  <si>
    <t>47th SEA Aquatics Age Group Championships 2025 [SWIMMING]</t>
  </si>
  <si>
    <t>PLS UPDATE in this column if you require additional pax</t>
  </si>
  <si>
    <r>
      <rPr>
        <rFont val="Albert Sans"/>
        <b/>
        <color theme="1"/>
        <sz val="9.0"/>
      </rPr>
      <t xml:space="preserve">PLS UPDATE PICKUP ARRANGEMENTS </t>
    </r>
    <r>
      <rPr>
        <rFont val="Albert Sans"/>
        <b/>
        <color theme="1"/>
        <sz val="11.0"/>
      </rPr>
      <t>ASAP</t>
    </r>
    <r>
      <rPr>
        <rFont val="Albert Sans"/>
        <b/>
        <color theme="1"/>
        <sz val="9.0"/>
      </rPr>
      <t xml:space="preserve"> - TICKETS WILL BE PURCHASED SOON</t>
    </r>
  </si>
  <si>
    <t>25-27 June 2025</t>
  </si>
  <si>
    <r>
      <rPr>
        <rFont val="Albert Sans"/>
        <sz val="10.0"/>
      </rPr>
      <t>Instructions: 
1. GOOGLE FORM - Intention to Participate - PARENTS MUST SUBMIT THIS FOR THEIR CHILD *</t>
    </r>
    <r>
      <rPr>
        <rFont val="Albert Sans"/>
        <b/>
        <sz val="10.0"/>
      </rPr>
      <t>NO SUBMISSION</t>
    </r>
    <r>
      <rPr>
        <rFont val="Albert Sans"/>
        <sz val="10.0"/>
      </rPr>
      <t xml:space="preserve"> means you are DECLINE the offer 
</t>
    </r>
    <r>
      <rPr>
        <rFont val="Albert Sans"/>
        <color rgb="FF1155CC"/>
        <sz val="10.0"/>
        <u/>
      </rPr>
      <t>https://forms.gle/mGQEhR4TksVyxEo59</t>
    </r>
    <r>
      <rPr>
        <rFont val="Albert Sans"/>
        <sz val="10.0"/>
      </rPr>
      <t xml:space="preserve">
2. GOOGLE SHEET - Pls complete club name (if blank), coach name, cap name, tshirt size</t>
    </r>
  </si>
  <si>
    <t>max 2 coach names and must be the primary coaches</t>
  </si>
  <si>
    <t>MAXIMUM 8 CHARACTERS ONLY</t>
  </si>
  <si>
    <t>FOR MAS USE ONLY, 
PLEASE DO NOT EDIT</t>
  </si>
  <si>
    <r>
      <rPr>
        <rFont val="Albert Sans"/>
        <b/>
        <color theme="1"/>
        <sz val="10.0"/>
      </rPr>
      <t>Deadline:</t>
    </r>
    <r>
      <rPr>
        <rFont val="Albert Sans"/>
        <color theme="1"/>
        <sz val="10.0"/>
      </rPr>
      <t xml:space="preserve"> Friday 9th May 2025 9.00PM</t>
    </r>
  </si>
  <si>
    <t>ATHLETE NAME</t>
  </si>
  <si>
    <t>NAME ON CAP (in CAPITAL LETTERS - max. 8 characters)</t>
  </si>
  <si>
    <t>TRACKSUIT / T-SHIRT SIZE</t>
  </si>
  <si>
    <t>REQUIRE SCHOOL</t>
  </si>
  <si>
    <t>e-pelapasan / school leave letter completed</t>
  </si>
  <si>
    <t>additional parent supporters</t>
  </si>
  <si>
    <t>CAMP
22-23 Jun 2025</t>
  </si>
  <si>
    <t>Transport Arrangements on 24Jun2025</t>
  </si>
  <si>
    <t>Pickup Arrangements on 28Jun2025</t>
  </si>
  <si>
    <t>Comments</t>
  </si>
  <si>
    <t>S / M / L / XL / 2XL</t>
  </si>
  <si>
    <t>LEAVE LETTER</t>
  </si>
  <si>
    <t>PASSPORT +</t>
  </si>
  <si>
    <t>PARENT</t>
  </si>
  <si>
    <t>GENDER</t>
  </si>
  <si>
    <t>GRP</t>
  </si>
  <si>
    <t>CAT</t>
  </si>
  <si>
    <t>STATE</t>
  </si>
  <si>
    <t>CLUB</t>
  </si>
  <si>
    <t>COACH NAME</t>
  </si>
  <si>
    <t>PHOTO</t>
  </si>
  <si>
    <t>SUPPORTER</t>
  </si>
  <si>
    <t>LEE YUAN YUAN</t>
  </si>
  <si>
    <t>F</t>
  </si>
  <si>
    <t>B1</t>
  </si>
  <si>
    <t>KU RENANG</t>
  </si>
  <si>
    <t>ANGELYN SOONG JIA QI</t>
  </si>
  <si>
    <t>B1R</t>
  </si>
  <si>
    <t>ANG YONG JUN</t>
  </si>
  <si>
    <t>M</t>
  </si>
  <si>
    <t>C</t>
  </si>
  <si>
    <t>CHONG ZHI YANG</t>
  </si>
  <si>
    <t>B2</t>
  </si>
  <si>
    <t>PDT</t>
  </si>
  <si>
    <t>SAMUEL LAI</t>
  </si>
  <si>
    <t>JOHAN NG</t>
  </si>
  <si>
    <t>YEOH YUN XUAN</t>
  </si>
  <si>
    <t>WST</t>
  </si>
  <si>
    <t>NG LIN YU</t>
  </si>
  <si>
    <t>B2R</t>
  </si>
  <si>
    <t>ELYNA BOON</t>
  </si>
  <si>
    <t>ETHREN ETHANAEL LIM CHURN</t>
  </si>
  <si>
    <t>SWK</t>
  </si>
  <si>
    <t>SHANISE JAUWA ANAK JOSELINE ADONG</t>
  </si>
  <si>
    <t>KASA</t>
  </si>
  <si>
    <t>VITUS SO TENG HOE</t>
  </si>
  <si>
    <t>CR</t>
  </si>
  <si>
    <t>MELISSA NAILLY DARWIN</t>
  </si>
  <si>
    <t>DSA</t>
  </si>
  <si>
    <t>HEIDI CHONG ZI XIN</t>
  </si>
  <si>
    <t>IBSC</t>
  </si>
  <si>
    <t>ELSA EOW YENG YII</t>
  </si>
  <si>
    <t>LEE XIN TUNG</t>
  </si>
  <si>
    <t>ABDUL KARIM JAAFAR BIN AZHAR</t>
  </si>
  <si>
    <t>TRG</t>
  </si>
  <si>
    <t>PRAT</t>
  </si>
  <si>
    <t>EDWIN LOKE EU ZHE</t>
  </si>
  <si>
    <t>KDH</t>
  </si>
  <si>
    <t>SAW JIA XIN</t>
  </si>
  <si>
    <t>MATTHIEUMARS LEE</t>
  </si>
  <si>
    <t>SARAH NGO JIA RONG</t>
  </si>
  <si>
    <t>ARIEF SHAFIY RONISAFIHIN</t>
  </si>
  <si>
    <t>SBH</t>
  </si>
  <si>
    <t>PJMS</t>
  </si>
  <si>
    <t>IGNACIO WONG HAO ZHE</t>
  </si>
  <si>
    <t>HENRY CHAN</t>
  </si>
  <si>
    <t>EVAN CHUA MIN HAO</t>
  </si>
  <si>
    <t>LEE HONG JIE</t>
  </si>
  <si>
    <t>MUHAMMAD ISKANDAR ZULKARNAIN BIN MOHD ROSEMAILIE</t>
  </si>
  <si>
    <t>ASHA SITHAMPARAM</t>
  </si>
  <si>
    <t>TING ZE MIN</t>
  </si>
  <si>
    <t>NUR ELZAHRA ARISYA BINTI SYAHIZAT</t>
  </si>
  <si>
    <t>BONG RUI JIE</t>
  </si>
  <si>
    <t>AYDEN MAXIMILLIAN LIM</t>
  </si>
  <si>
    <t>KHEW MU HAN</t>
  </si>
  <si>
    <t>PADE SUPERSHARKZ</t>
  </si>
  <si>
    <t>MARK CHUA &amp; AME HO</t>
  </si>
  <si>
    <t>MOHAMMAD AQEEF MOHD AZLAN</t>
  </si>
  <si>
    <t>AQEEF</t>
  </si>
  <si>
    <t>CHEE WEN HONG</t>
  </si>
  <si>
    <t>ELIZA YEE JEN AI</t>
  </si>
  <si>
    <t>POK SIN YEE</t>
  </si>
  <si>
    <t>TAYLOR MAH</t>
  </si>
  <si>
    <t>PUTRA ZAHIN AL-HAQQ BIN NORMAN PUTRA</t>
  </si>
  <si>
    <t>TAI SZE WEI</t>
  </si>
  <si>
    <t>CHRISTINE CHONG SHU HAN</t>
  </si>
  <si>
    <t>CHAN ZLYNN</t>
  </si>
  <si>
    <t>TOTAL-</t>
  </si>
  <si>
    <t>A-12M 16F</t>
  </si>
  <si>
    <t>B1-27M 19F</t>
  </si>
  <si>
    <t>B2/B3-4M 2F</t>
  </si>
  <si>
    <t>C-9M 6F</t>
  </si>
  <si>
    <t>50m Butterfly *Invitation
100m Butterfly *Invitation</t>
  </si>
  <si>
    <t>100m Breaststroke
50m Breaststroke *Reserve4
200m Breaststroke *Reserve4</t>
  </si>
  <si>
    <t>50m Breaststroke *Reserve2</t>
  </si>
  <si>
    <t>1500m Freestyle</t>
  </si>
  <si>
    <t>1500m Freestyle
400m Freestyle *Invitation
200m Backstroke *Invitation
400m Ind. Medley *Invitation
200m Freestyle *Reserve1</t>
  </si>
  <si>
    <t>800m Freestyle
200m Breaststroke *Reserve1
400m Ind. Medley *Invite-R1
400m Freestyle *Invitation-R2</t>
  </si>
  <si>
    <t>800m Freestyle *Reserve2</t>
  </si>
  <si>
    <t>400m Ind. Medley *Invitation</t>
  </si>
  <si>
    <t>100m Butterfly *Invitation
200m Butterfly *Invitation</t>
  </si>
  <si>
    <t>100m Backstroke
200m Backstroke *Reserve1
50m Backstroke *Invitation-R2</t>
  </si>
  <si>
    <t>100m Freestyle *Invitation
100m Backstroke *Invitation
200m Backstroke *Invite-R1
50m Backstroke *Invitation-R2
200m Ind. Medley *Invite-R2</t>
  </si>
  <si>
    <t>50m Breaststroke *Invitation
100m Breaststroke *Invite-R1</t>
  </si>
  <si>
    <t>50m Freestyle *Invitation
100m Freestyle *Invitation-R1</t>
  </si>
  <si>
    <t>50m Breaststroke
200m Breaststroke
100m Breaststroke *Reserve1</t>
  </si>
  <si>
    <t>50m Backstroke *Reserve1
100m Backstroke *Invite-R2</t>
  </si>
  <si>
    <t>200m Breaststroke *Reserve2
100m Breaststroke *Reserve4</t>
  </si>
  <si>
    <t>100m Butterfly *Invitation</t>
  </si>
  <si>
    <t>50m Breaststroke *Reserve1
100m Breaststroke *Reserve2</t>
  </si>
  <si>
    <t>50m Freestyle *Invitation</t>
  </si>
  <si>
    <t>1500m Freestyle *Invitation</t>
  </si>
  <si>
    <t>200m Backstroke *Invitation
100m Backstroke *Invite-R1</t>
  </si>
  <si>
    <t>200m Backstroke *Invitation</t>
  </si>
  <si>
    <t>50m Butterfly *Invitation
100m Backstroke *Invite-R2</t>
  </si>
  <si>
    <r>
      <rPr>
        <rFont val="Albert Sans"/>
        <b/>
        <color theme="1"/>
        <sz val="9.0"/>
      </rPr>
      <t xml:space="preserve">PLS UPDATE PICKUP ARRANGEMENTS </t>
    </r>
    <r>
      <rPr>
        <rFont val="Albert Sans"/>
        <b/>
        <color theme="1"/>
        <sz val="11.0"/>
      </rPr>
      <t>ASAP</t>
    </r>
    <r>
      <rPr>
        <rFont val="Albert Sans"/>
        <b/>
        <color theme="1"/>
        <sz val="9.0"/>
      </rPr>
      <t xml:space="preserve"> - TICKETS WILL BE PURCHASED SOON</t>
    </r>
  </si>
  <si>
    <r>
      <rPr>
        <rFont val="Albert Sans"/>
        <sz val="10.0"/>
      </rPr>
      <t>Instructions: 
1. GOOGLE FORM - Intention to Participate - PARENTS MUST SUBMIT THIS FOR THEIR CHILD *</t>
    </r>
    <r>
      <rPr>
        <rFont val="Albert Sans"/>
        <b/>
        <sz val="10.0"/>
      </rPr>
      <t>NO SUBMISSION</t>
    </r>
    <r>
      <rPr>
        <rFont val="Albert Sans"/>
        <sz val="10.0"/>
      </rPr>
      <t xml:space="preserve"> means you are DECLINE the offer 
</t>
    </r>
    <r>
      <rPr>
        <rFont val="Albert Sans"/>
        <color rgb="FF1155CC"/>
        <sz val="10.0"/>
        <u/>
      </rPr>
      <t>https://forms.gle/mGQEhR4TksVyxEo59</t>
    </r>
    <r>
      <rPr>
        <rFont val="Albert Sans"/>
        <sz val="10.0"/>
      </rPr>
      <t xml:space="preserve">
2. GOOGLE SHEET - Pls complete club name (if blank), coach name, cap name, tshirt size</t>
    </r>
  </si>
  <si>
    <r>
      <rPr>
        <rFont val="Albert Sans"/>
        <b/>
        <color theme="1"/>
        <sz val="10.0"/>
      </rPr>
      <t>Deadline:</t>
    </r>
    <r>
      <rPr>
        <rFont val="Albert Sans"/>
        <color theme="1"/>
        <sz val="10.0"/>
      </rPr>
      <t xml:space="preserve"> Friday 9th May 2025 9.00PM</t>
    </r>
  </si>
  <si>
    <t>KAYLER NGAN KANG YI</t>
  </si>
  <si>
    <t>SRI KDU SUNBEARS</t>
  </si>
  <si>
    <t>Adrian Lim</t>
  </si>
  <si>
    <t xml:space="preserve">KAYLER </t>
  </si>
  <si>
    <t>S</t>
  </si>
  <si>
    <t>require school leave letter.  2parent supporter</t>
  </si>
  <si>
    <r>
      <rPr>
        <rFont val="Albert Sans"/>
        <b/>
        <color theme="1"/>
        <sz val="9.0"/>
      </rPr>
      <t xml:space="preserve">PLS UPDATE PICKUP ARRANGEMENTS </t>
    </r>
    <r>
      <rPr>
        <rFont val="Albert Sans"/>
        <b/>
        <color theme="1"/>
        <sz val="11.0"/>
      </rPr>
      <t>ASAP</t>
    </r>
    <r>
      <rPr>
        <rFont val="Albert Sans"/>
        <b/>
        <color theme="1"/>
        <sz val="9.0"/>
      </rPr>
      <t xml:space="preserve"> - TICKETS WILL BE PURCHASED SOON</t>
    </r>
  </si>
  <si>
    <r>
      <rPr>
        <rFont val="Albert Sans"/>
        <sz val="10.0"/>
      </rPr>
      <t>Instructions: 
1. GOOGLE FORM - Intention to Participate - PARENTS MUST SUBMIT THIS FOR THEIR CHILD *</t>
    </r>
    <r>
      <rPr>
        <rFont val="Albert Sans"/>
        <b/>
        <sz val="10.0"/>
      </rPr>
      <t>NO SUBMISSION</t>
    </r>
    <r>
      <rPr>
        <rFont val="Albert Sans"/>
        <sz val="10.0"/>
      </rPr>
      <t xml:space="preserve"> means you are DECLINE the offer 
</t>
    </r>
    <r>
      <rPr>
        <rFont val="Albert Sans"/>
        <color rgb="FF1155CC"/>
        <sz val="10.0"/>
        <u/>
      </rPr>
      <t>https://forms.gle/mGQEhR4TksVyxEo59</t>
    </r>
    <r>
      <rPr>
        <rFont val="Albert Sans"/>
        <sz val="10.0"/>
      </rPr>
      <t xml:space="preserve">
2. GOOGLE SHEET - Pls complete club name (if blank), coach name, cap name, tshirt size</t>
    </r>
  </si>
  <si>
    <r>
      <rPr>
        <rFont val="Albert Sans"/>
        <b/>
        <color theme="1"/>
        <sz val="10.0"/>
      </rPr>
      <t>Deadline:</t>
    </r>
    <r>
      <rPr>
        <rFont val="Albert Sans"/>
        <color theme="1"/>
        <sz val="10.0"/>
      </rPr>
      <t xml:space="preserve"> Friday 9th May 2025 9.00PM</t>
    </r>
  </si>
  <si>
    <t>EMMANUEL LOH YUNG MING</t>
  </si>
  <si>
    <t>A2</t>
  </si>
  <si>
    <t>SEA DRAGON</t>
  </si>
  <si>
    <t>TAMMY WONG</t>
  </si>
  <si>
    <t>E.LOH</t>
  </si>
  <si>
    <t>XL</t>
  </si>
  <si>
    <t>Y</t>
  </si>
  <si>
    <t>SPEED TITANS</t>
  </si>
  <si>
    <t>DYLAN</t>
  </si>
  <si>
    <t>MUHAMMAD DHUHA ZULFIKRY</t>
  </si>
  <si>
    <t>A3</t>
  </si>
  <si>
    <t>KELAB RENANG
MAS</t>
  </si>
  <si>
    <t>SUNG JUN HAO</t>
  </si>
  <si>
    <t>LYNNA YEOW</t>
  </si>
  <si>
    <t>KHOO SUE ENN</t>
  </si>
  <si>
    <t>MARK CHUA</t>
  </si>
  <si>
    <t>SUE ENN</t>
  </si>
  <si>
    <t>MISHYA KHOR YUE LYNN</t>
  </si>
  <si>
    <t>Mishya.K</t>
  </si>
  <si>
    <t>ERIC ANDERSON</t>
  </si>
  <si>
    <t>BUCKLEY</t>
  </si>
  <si>
    <t>L</t>
  </si>
  <si>
    <t>RAINNE FOO JIE XIN</t>
  </si>
  <si>
    <t>RAINNE</t>
  </si>
  <si>
    <t>SEAH SHU HUI</t>
  </si>
  <si>
    <t>SHU HUI</t>
  </si>
  <si>
    <t>N</t>
  </si>
  <si>
    <t>CHONG XIN LIN</t>
  </si>
  <si>
    <t>XIN LIN</t>
  </si>
  <si>
    <t>DANIEL BEGO</t>
  </si>
  <si>
    <t>SUYIN</t>
  </si>
  <si>
    <t>CH'NG SAW HUAI</t>
  </si>
  <si>
    <t>ALBERT YEAP</t>
  </si>
  <si>
    <t>SAW HUAI</t>
  </si>
  <si>
    <t>DAMIAN</t>
  </si>
  <si>
    <t>CHENG FENG</t>
  </si>
  <si>
    <t>KHONG ZI LIN</t>
  </si>
  <si>
    <t>A1</t>
  </si>
  <si>
    <t>CLARA &amp; KEVIN</t>
  </si>
  <si>
    <t>ZiLin</t>
  </si>
  <si>
    <t>MEGAN HO</t>
  </si>
  <si>
    <t>DICK ORBELL</t>
  </si>
  <si>
    <t>YT AW</t>
  </si>
  <si>
    <t>RUI NEE</t>
  </si>
  <si>
    <t>VIVIAN TEE XIN LING</t>
  </si>
  <si>
    <t xml:space="preserve">ALBERT YEAP </t>
  </si>
  <si>
    <t xml:space="preserve">VIVIAN TEE </t>
  </si>
  <si>
    <t>JEFFREY HO</t>
  </si>
  <si>
    <t>OLIVIA.S</t>
  </si>
  <si>
    <t>CHEREEN NGO YIRUI *</t>
  </si>
  <si>
    <t>PASC</t>
  </si>
  <si>
    <t>FREDERICK HERMOSO</t>
  </si>
  <si>
    <t>CHEREEN</t>
  </si>
  <si>
    <t>REQUIRED SCHOOL LEAVE LETTER</t>
  </si>
  <si>
    <t>SHANNON TAN YAN QING *</t>
  </si>
  <si>
    <t>DSAS</t>
  </si>
  <si>
    <t>MIGUEL ALVARADO</t>
  </si>
  <si>
    <t>S TAN</t>
  </si>
  <si>
    <t>LEE TC &amp; BRIAN YEAP</t>
  </si>
  <si>
    <t>JING NGUI</t>
  </si>
  <si>
    <t>GOH LI JIE</t>
  </si>
  <si>
    <t>KPGCC</t>
  </si>
  <si>
    <t xml:space="preserve">Li Jie </t>
  </si>
  <si>
    <t xml:space="preserve">Request school leave letter </t>
  </si>
  <si>
    <t>ASLAN ADNAN *</t>
  </si>
  <si>
    <t>JOELLE CHAN ZU EE</t>
  </si>
  <si>
    <t>JOELLE</t>
  </si>
  <si>
    <t>KAELYN CHEE WEI YI</t>
  </si>
  <si>
    <t>KAELYN</t>
  </si>
  <si>
    <t>Require school leave letter.</t>
  </si>
  <si>
    <t>AQUASPLASH</t>
  </si>
  <si>
    <t>LEOW</t>
  </si>
  <si>
    <t>EUNICE PUA</t>
  </si>
  <si>
    <t>MORGAN ELEVEN TEO</t>
  </si>
  <si>
    <t>MORGAN 11</t>
  </si>
  <si>
    <t>YOONG JIA JIA</t>
  </si>
  <si>
    <t>MARK CHUA ERIC ANDERSON</t>
  </si>
  <si>
    <t>JIA JIA</t>
  </si>
  <si>
    <t>NSH</t>
  </si>
  <si>
    <t>SHAHRUL</t>
  </si>
  <si>
    <t>BRANDON</t>
  </si>
  <si>
    <t>CAYDEN TEO KAE-C</t>
  </si>
  <si>
    <t>VITESSE</t>
  </si>
  <si>
    <t>THAI JIA WEI</t>
  </si>
  <si>
    <t>CAYDEN</t>
  </si>
  <si>
    <t>TOP SPEED</t>
  </si>
  <si>
    <t>DAVID CHUNG</t>
  </si>
  <si>
    <t>RYAN LIAW</t>
  </si>
  <si>
    <t>JOSHUA LIM JI-SHEN</t>
  </si>
  <si>
    <t>NEWAVE</t>
  </si>
  <si>
    <t>ALLEN ONG</t>
  </si>
  <si>
    <t>JOSHUA</t>
  </si>
  <si>
    <t>NISHAN MANUEL</t>
  </si>
  <si>
    <t>KELAB RENANG NEWAVE</t>
  </si>
  <si>
    <t>CINDY ONG</t>
  </si>
  <si>
    <t>NISHAN</t>
  </si>
  <si>
    <t>NADIA LIM</t>
  </si>
  <si>
    <t>KEVIN YEAP</t>
  </si>
  <si>
    <t>VICTOR TAN</t>
  </si>
  <si>
    <t>KAYLEIGH</t>
  </si>
  <si>
    <t>ANABELLE KONG SHU LI</t>
  </si>
  <si>
    <t>MUHAMMAD IRIEL DARWISH BIN MUHAMMAD DANIEL LIM</t>
  </si>
  <si>
    <t>DSPLASH</t>
  </si>
  <si>
    <t>IVAN LOH</t>
  </si>
  <si>
    <t>IRIEL LIM</t>
  </si>
  <si>
    <t xml:space="preserve">SEAN GOH </t>
  </si>
  <si>
    <t>JEFF LO</t>
  </si>
  <si>
    <t>SHEAMUS CHEW HENG YI *</t>
  </si>
  <si>
    <t>KSAS</t>
  </si>
  <si>
    <t xml:space="preserve">FREDERICK </t>
  </si>
  <si>
    <t>SHEAMUS</t>
  </si>
  <si>
    <t>CLUB - PASC</t>
  </si>
  <si>
    <t>JODIE YIP</t>
  </si>
  <si>
    <t>Require school letter</t>
  </si>
  <si>
    <t>XUE WEN</t>
  </si>
  <si>
    <t>ANNIS HIEW XIN TING</t>
  </si>
  <si>
    <t>ANNIS HIEW</t>
  </si>
  <si>
    <t>SOPHOCLES NG XIN XIAN</t>
  </si>
  <si>
    <t>EZY</t>
  </si>
  <si>
    <t>LOW XUE TING</t>
  </si>
  <si>
    <t>XINXIAN</t>
  </si>
  <si>
    <t>CSC</t>
  </si>
  <si>
    <t>NATALIYA SIMAK</t>
  </si>
  <si>
    <t>YUEN ZER</t>
  </si>
  <si>
    <t>HANNES WAN KHAI HERN</t>
  </si>
  <si>
    <t>HANNESZ</t>
  </si>
  <si>
    <t>YEN ERN</t>
  </si>
  <si>
    <t>KHEW ZI XIAN</t>
  </si>
  <si>
    <t>ZI XIAN_K</t>
  </si>
  <si>
    <t>T-shirt:L/Track:M</t>
  </si>
  <si>
    <t>MAX LIM JIA JUN</t>
  </si>
  <si>
    <t>ANDREW LIM</t>
  </si>
  <si>
    <t>MAX LIM</t>
  </si>
  <si>
    <t>HAYDEN ONG</t>
  </si>
  <si>
    <t xml:space="preserve">HAYDEN </t>
  </si>
  <si>
    <t>ZHEN KOK</t>
  </si>
  <si>
    <t>ADAM MALIK BIN AZIZUR RIZA</t>
  </si>
  <si>
    <t>A. MALIK</t>
  </si>
  <si>
    <t>JOELLE KOO YU QING</t>
  </si>
  <si>
    <t>Adul Latif Ismail</t>
  </si>
  <si>
    <t>BOZHENG L</t>
  </si>
  <si>
    <t>NG ZE HENG</t>
  </si>
  <si>
    <t>Sea dragon</t>
  </si>
  <si>
    <t>Lubrey Lim</t>
  </si>
  <si>
    <t>NG Z. H.</t>
  </si>
  <si>
    <t>protected cell. require school leave letter.  1 parent supporter.</t>
  </si>
  <si>
    <t>RYAN COLBY</t>
  </si>
  <si>
    <t>Speed Titans</t>
  </si>
  <si>
    <t>DARREN</t>
  </si>
  <si>
    <t>RYAN EE TIAN AYMES</t>
  </si>
  <si>
    <t>RYAN A</t>
  </si>
  <si>
    <t>OSWALD LIM</t>
  </si>
  <si>
    <t>TONY TAN YUN HUNG</t>
  </si>
  <si>
    <t>OSWALD</t>
  </si>
  <si>
    <t>Request school leave letter</t>
  </si>
  <si>
    <t>TEW HANG YONG</t>
  </si>
  <si>
    <t>HANG YONG</t>
  </si>
  <si>
    <t>FELICIA LEE QIAN HUI</t>
  </si>
  <si>
    <t>FELICIA LEE</t>
  </si>
  <si>
    <t>PENAMPANG PREPPIES</t>
  </si>
  <si>
    <t>BEN LEE</t>
  </si>
  <si>
    <t>LAURA LEE</t>
  </si>
  <si>
    <t>YUAN YI</t>
  </si>
  <si>
    <t>ONG YEE LERN</t>
  </si>
  <si>
    <t>SWIM ART</t>
  </si>
  <si>
    <t>GARY LAU</t>
  </si>
  <si>
    <t>YI XIANG</t>
  </si>
  <si>
    <t>Request School Leave Letter</t>
  </si>
  <si>
    <t>BRYSTON</t>
  </si>
  <si>
    <t>YES for leave letter</t>
  </si>
  <si>
    <t>HERMANN</t>
  </si>
  <si>
    <t>LEE E-AN</t>
  </si>
  <si>
    <t>Daniel Bego</t>
  </si>
  <si>
    <t>EAn LEE</t>
  </si>
  <si>
    <t>LIM CHEE WAI</t>
  </si>
  <si>
    <t>GIS</t>
  </si>
  <si>
    <t>CHEE WAI</t>
  </si>
  <si>
    <t>NATE</t>
  </si>
  <si>
    <t>NATASHA ONG YHA ROU</t>
  </si>
  <si>
    <t>NATASHA</t>
  </si>
  <si>
    <t>YAP KE HUI</t>
  </si>
  <si>
    <t>Celine Ooi</t>
  </si>
  <si>
    <t>KE HUI</t>
  </si>
  <si>
    <t>ISABELLE KAM</t>
  </si>
  <si>
    <t>New Wave Swimming Club</t>
  </si>
  <si>
    <t>ISABELLE</t>
  </si>
  <si>
    <t>AYAZ ZAHIN BIN AZHAR</t>
  </si>
  <si>
    <t>LIONG JEE XERC</t>
  </si>
  <si>
    <t>AYAZ</t>
  </si>
  <si>
    <t>PSC</t>
  </si>
  <si>
    <t>Eugene Yew</t>
  </si>
  <si>
    <t>AEDON LIM</t>
  </si>
  <si>
    <t>MAX</t>
  </si>
  <si>
    <t>Ethan Tan</t>
  </si>
  <si>
    <t>EU JUN LIN</t>
  </si>
  <si>
    <t>FOO QI WEI</t>
  </si>
  <si>
    <t xml:space="preserve">JEFFREY HO </t>
  </si>
  <si>
    <t xml:space="preserve">QI WEI </t>
  </si>
  <si>
    <t>SSC</t>
  </si>
  <si>
    <t>HENRY ANG</t>
  </si>
  <si>
    <t>DOMINIC</t>
  </si>
  <si>
    <t>ADAM LIM KENG JIN</t>
  </si>
  <si>
    <t>ADAM LIM</t>
  </si>
  <si>
    <t>ZECH CHAY</t>
  </si>
  <si>
    <t>iBSC</t>
  </si>
  <si>
    <t>HO ZHIJU</t>
  </si>
  <si>
    <t>NOAH ABDUL RIZAL</t>
  </si>
  <si>
    <t>NOAH</t>
  </si>
  <si>
    <t xml:space="preserve">CYRUS </t>
  </si>
  <si>
    <t>KELAB RENANG MAS</t>
  </si>
  <si>
    <t>NATALIE</t>
  </si>
  <si>
    <t>YUN YI</t>
  </si>
  <si>
    <t>AVERIE YUE SENG</t>
  </si>
  <si>
    <t>AVERIE SY</t>
  </si>
  <si>
    <t>VALERIE CHENG</t>
  </si>
  <si>
    <t>VALERIE</t>
  </si>
  <si>
    <t>JOVIAL CHAN ZEN EE</t>
  </si>
  <si>
    <t>JOVIAL</t>
  </si>
  <si>
    <t xml:space="preserve"> SEA DRAGON</t>
  </si>
  <si>
    <t>CAREYNA</t>
  </si>
  <si>
    <t>Require school leave letter. 2 parent supporter</t>
  </si>
  <si>
    <t>HANNAH WONG YA TING</t>
  </si>
  <si>
    <t>KELAB RENANG SSA SANDAKAN</t>
  </si>
  <si>
    <t>DEREK CHUI WUI JING</t>
  </si>
  <si>
    <t>HANNAH</t>
  </si>
  <si>
    <t>require school leave letter.  1 parent supporter</t>
  </si>
  <si>
    <t>CELESTINE BARU CHEN LIYSHA LIUNG</t>
  </si>
  <si>
    <t>LIYSHA</t>
  </si>
  <si>
    <t>ELISHA LEE ERN</t>
  </si>
  <si>
    <t>ELISHA.L</t>
  </si>
  <si>
    <t>SSMS</t>
  </si>
  <si>
    <t>YAP JIA JUN</t>
  </si>
  <si>
    <t>DEVEN</t>
  </si>
  <si>
    <t xml:space="preserve">ZALAH </t>
  </si>
  <si>
    <t>PARVIN</t>
  </si>
  <si>
    <t>JADEN ONG JUN XIAN</t>
  </si>
  <si>
    <t>JADEN ONG</t>
  </si>
  <si>
    <t xml:space="preserve">1 parent </t>
  </si>
  <si>
    <t>JXUEN</t>
  </si>
  <si>
    <t xml:space="preserve">L </t>
  </si>
  <si>
    <t>DAVID LEE BOON WEI</t>
  </si>
  <si>
    <t>DAVID</t>
  </si>
  <si>
    <t>JULIUS LAI JUN SHENG</t>
  </si>
  <si>
    <t>JULIUS</t>
  </si>
  <si>
    <t>CHIEW QIN LYNN</t>
  </si>
  <si>
    <t>Daniel BEGO</t>
  </si>
  <si>
    <t>QIN LYNN</t>
  </si>
  <si>
    <t>EVITA TAN EE LIN</t>
  </si>
  <si>
    <t>EVITA</t>
  </si>
  <si>
    <t>LEE DA YU</t>
  </si>
  <si>
    <t>ADRIAN LIM</t>
  </si>
  <si>
    <t>Hao Ran</t>
  </si>
  <si>
    <t>JIN BIN</t>
  </si>
  <si>
    <t>required school leave letter</t>
  </si>
  <si>
    <t>DARWISYAH INSYIRAH BINTI ZAMBERI</t>
  </si>
  <si>
    <t>RYANNE.Y</t>
  </si>
  <si>
    <t>CHARISSA ANG YEE TING</t>
  </si>
  <si>
    <t>FREDERICK</t>
  </si>
  <si>
    <t>CHARISSA</t>
  </si>
  <si>
    <t>KAMILA IRIS GHANI-SAYER</t>
  </si>
  <si>
    <t>KAMILA</t>
  </si>
  <si>
    <t>Require Leave Letter, 2 Parents Supporters</t>
  </si>
  <si>
    <t>AYLAH WANG</t>
  </si>
  <si>
    <t>*FOREIGNER-not eligible</t>
  </si>
  <si>
    <t>TEAM MANAGER</t>
  </si>
  <si>
    <t>COACH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</si>
</sst>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5">
    <font>
      <sz val="10.0"/>
      <color rgb="FF000000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strike/>
      <sz val="9.0"/>
      <color theme="1"/>
      <name val="Arial"/>
      <scheme val="minor"/>
    </font>
    <font>
      <strike/>
      <sz val="9.0"/>
      <color rgb="FF0000FF"/>
    </font>
    <font>
      <b/>
      <sz val="9.0"/>
      <color theme="1"/>
      <name val="Albert Sans"/>
    </font>
    <font>
      <b/>
      <sz val="14.0"/>
      <color theme="1"/>
      <name val="Albert Sans"/>
    </font>
    <font>
      <sz val="9.0"/>
      <color theme="1"/>
      <name val="Albert Sans"/>
    </font>
    <font>
      <u/>
      <sz val="10.0"/>
      <color rgb="FF0000FF"/>
      <name val="Albert Sans"/>
    </font>
    <font>
      <sz val="10.0"/>
      <color theme="1"/>
      <name val="Albert Sans"/>
    </font>
    <font>
      <b/>
      <sz val="9.0"/>
      <color theme="1"/>
      <name val="Be Vietnam Pro"/>
    </font>
    <font>
      <b/>
      <sz val="8.0"/>
      <color theme="1"/>
      <name val="Be Vietnam Pro"/>
    </font>
    <font>
      <b/>
      <sz val="9.0"/>
      <color theme="1"/>
      <name val="Arial"/>
      <scheme val="minor"/>
    </font>
    <font/>
    <font>
      <sz val="8.0"/>
      <color theme="1"/>
      <name val="Albert Sans"/>
    </font>
    <font>
      <strike/>
      <sz val="8.0"/>
      <color rgb="FF000000"/>
      <name val="Albert Sans"/>
    </font>
    <font>
      <sz val="8.0"/>
      <color rgb="FF000000"/>
      <name val="Albert Sans"/>
    </font>
    <font>
      <sz val="9.0"/>
      <color rgb="FF000000"/>
      <name val="Albert Sans"/>
    </font>
    <font>
      <sz val="9.0"/>
      <color rgb="FF1F1F1F"/>
      <name val="Albert Sans"/>
    </font>
    <font>
      <sz val="8.0"/>
      <color rgb="FF000000"/>
      <name val="&quot;Albert Sans&quot;"/>
    </font>
    <font>
      <strike/>
      <sz val="8.0"/>
      <color rgb="FF000000"/>
      <name val="&quot;Albert Sans&quot;"/>
    </font>
    <font>
      <strike/>
      <sz val="8.0"/>
      <color theme="1"/>
      <name val="Albert Sans"/>
    </font>
    <font>
      <color theme="1"/>
      <name val="Arial"/>
      <scheme val="minor"/>
    </font>
    <font>
      <b/>
      <sz val="8.0"/>
      <color theme="1"/>
      <name val="Albert Sans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434343"/>
        <bgColor rgb="FF434343"/>
      </patternFill>
    </fill>
  </fills>
  <borders count="14">
    <border/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2" fontId="4" numFmtId="0" xfId="0" applyAlignment="1" applyFont="1">
      <alignment readingOrder="0"/>
    </xf>
    <xf quotePrefix="1"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2" fontId="4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readingOrder="0" shrinkToFit="0" wrapText="0"/>
    </xf>
    <xf quotePrefix="1" borderId="0" fillId="3" fontId="1" numFmtId="0" xfId="0" applyAlignment="1" applyFill="1" applyFont="1">
      <alignment horizontal="right" readingOrder="0"/>
    </xf>
    <xf quotePrefix="1" borderId="0" fillId="4" fontId="1" numFmtId="0" xfId="0" applyAlignment="1" applyFill="1" applyFont="1">
      <alignment horizontal="right" readingOrder="0"/>
    </xf>
    <xf borderId="0" fillId="4" fontId="1" numFmtId="0" xfId="0" applyAlignment="1" applyFont="1">
      <alignment horizontal="right" readingOrder="0"/>
    </xf>
    <xf borderId="0" fillId="3" fontId="1" numFmtId="0" xfId="0" applyAlignment="1" applyFont="1">
      <alignment horizontal="right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/>
    </xf>
    <xf quotePrefix="1" borderId="0" fillId="0" fontId="4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quotePrefix="1" borderId="0" fillId="0" fontId="4" numFmtId="0" xfId="0" applyAlignment="1" applyFont="1">
      <alignment readingOrder="0"/>
    </xf>
    <xf quotePrefix="1" borderId="0" fillId="4" fontId="1" numFmtId="0" xfId="0" applyAlignment="1" applyFont="1">
      <alignment readingOrder="0"/>
    </xf>
    <xf borderId="0" fillId="3" fontId="4" numFmtId="0" xfId="0" applyAlignment="1" applyFont="1">
      <alignment horizontal="right"/>
    </xf>
    <xf quotePrefix="1" borderId="0" fillId="3" fontId="4" numFmtId="0" xfId="0" applyAlignment="1" applyFont="1">
      <alignment horizontal="right" readingOrder="0"/>
    </xf>
    <xf borderId="0" fillId="2" fontId="4" numFmtId="0" xfId="0" applyAlignment="1" applyFont="1">
      <alignment horizontal="center"/>
    </xf>
    <xf borderId="0" fillId="5" fontId="6" numFmtId="0" xfId="0" applyAlignment="1" applyFill="1" applyFont="1">
      <alignment horizontal="center" readingOrder="0"/>
    </xf>
    <xf borderId="0" fillId="5" fontId="7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5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6" fontId="6" numFmtId="0" xfId="0" applyAlignment="1" applyFill="1" applyFont="1">
      <alignment horizontal="center" readingOrder="0" shrinkToFit="0" wrapText="1"/>
    </xf>
    <xf borderId="0" fillId="0" fontId="6" numFmtId="0" xfId="0" applyAlignment="1" applyFont="1">
      <alignment horizontal="center"/>
    </xf>
    <xf borderId="0" fillId="2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/>
    </xf>
    <xf borderId="0" fillId="5" fontId="6" numFmtId="0" xfId="0" applyAlignment="1" applyFont="1">
      <alignment horizontal="center"/>
    </xf>
    <xf borderId="0" fillId="7" fontId="9" numFmtId="0" xfId="0" applyAlignment="1" applyFill="1" applyFont="1">
      <alignment horizontal="left" readingOrder="0"/>
    </xf>
    <xf borderId="0" fillId="7" fontId="6" numFmtId="0" xfId="0" applyAlignment="1" applyFont="1">
      <alignment horizontal="center" readingOrder="0"/>
    </xf>
    <xf borderId="0" fillId="7" fontId="6" numFmtId="0" xfId="0" applyAlignment="1" applyFont="1">
      <alignment horizontal="center" readingOrder="0" shrinkToFit="0" wrapText="1"/>
    </xf>
    <xf borderId="0" fillId="7" fontId="8" numFmtId="0" xfId="0" applyAlignment="1" applyFont="1">
      <alignment horizontal="center" readingOrder="0" shrinkToFit="0" wrapText="1"/>
    </xf>
    <xf borderId="0" fillId="7" fontId="10" numFmtId="0" xfId="0" applyAlignment="1" applyFont="1">
      <alignment horizontal="left" readingOrder="0"/>
    </xf>
    <xf borderId="0" fillId="2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left" readingOrder="0"/>
    </xf>
    <xf borderId="1" fillId="8" fontId="11" numFmtId="0" xfId="0" applyAlignment="1" applyBorder="1" applyFill="1" applyFont="1">
      <alignment horizontal="center"/>
    </xf>
    <xf borderId="2" fillId="8" fontId="11" numFmtId="0" xfId="0" applyAlignment="1" applyBorder="1" applyFont="1">
      <alignment horizontal="left" readingOrder="0"/>
    </xf>
    <xf borderId="0" fillId="8" fontId="11" numFmtId="0" xfId="0" applyAlignment="1" applyFont="1">
      <alignment horizontal="center" readingOrder="0"/>
    </xf>
    <xf borderId="2" fillId="8" fontId="11" numFmtId="0" xfId="0" applyAlignment="1" applyBorder="1" applyFont="1">
      <alignment horizontal="center" readingOrder="0" shrinkToFit="0" wrapText="1"/>
    </xf>
    <xf borderId="1" fillId="8" fontId="12" numFmtId="0" xfId="0" applyAlignment="1" applyBorder="1" applyFont="1">
      <alignment horizontal="center" readingOrder="0" shrinkToFit="0" wrapText="1"/>
    </xf>
    <xf borderId="1" fillId="8" fontId="12" numFmtId="0" xfId="0" applyAlignment="1" applyBorder="1" applyFont="1">
      <alignment horizontal="center" readingOrder="0"/>
    </xf>
    <xf borderId="3" fillId="8" fontId="12" numFmtId="0" xfId="0" applyAlignment="1" applyBorder="1" applyFont="1">
      <alignment horizontal="center" readingOrder="0"/>
    </xf>
    <xf borderId="0" fillId="8" fontId="11" numFmtId="0" xfId="0" applyAlignment="1" applyFont="1">
      <alignment horizontal="center" readingOrder="0" shrinkToFit="0" wrapText="1"/>
    </xf>
    <xf borderId="0" fillId="8" fontId="11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center"/>
    </xf>
    <xf borderId="4" fillId="0" fontId="14" numFmtId="0" xfId="0" applyBorder="1" applyFont="1"/>
    <xf borderId="5" fillId="8" fontId="12" numFmtId="0" xfId="0" applyAlignment="1" applyBorder="1" applyFont="1">
      <alignment horizontal="center" readingOrder="0" shrinkToFit="0" wrapText="1"/>
    </xf>
    <xf borderId="4" fillId="8" fontId="12" numFmtId="0" xfId="0" applyAlignment="1" applyBorder="1" applyFont="1">
      <alignment horizontal="center" readingOrder="0" shrinkToFit="0" wrapText="1"/>
    </xf>
    <xf borderId="4" fillId="8" fontId="12" numFmtId="0" xfId="0" applyAlignment="1" applyBorder="1" applyFont="1">
      <alignment horizontal="center" readingOrder="0"/>
    </xf>
    <xf borderId="5" fillId="8" fontId="12" numFmtId="0" xfId="0" applyAlignment="1" applyBorder="1" applyFont="1">
      <alignment horizontal="center" readingOrder="0"/>
    </xf>
    <xf borderId="6" fillId="0" fontId="14" numFmtId="0" xfId="0" applyBorder="1" applyFont="1"/>
    <xf borderId="7" fillId="0" fontId="14" numFmtId="0" xfId="0" applyBorder="1" applyFont="1"/>
    <xf borderId="8" fillId="0" fontId="14" numFmtId="0" xfId="0" applyBorder="1" applyFont="1"/>
    <xf borderId="9" fillId="0" fontId="15" numFmtId="0" xfId="0" applyAlignment="1" applyBorder="1" applyFont="1">
      <alignment horizontal="center" readingOrder="0"/>
    </xf>
    <xf borderId="9" fillId="0" fontId="16" numFmtId="0" xfId="0" applyAlignment="1" applyBorder="1" applyFont="1">
      <alignment horizontal="left" readingOrder="0" shrinkToFit="0" wrapText="1"/>
    </xf>
    <xf borderId="9" fillId="0" fontId="16" numFmtId="0" xfId="0" applyAlignment="1" applyBorder="1" applyFont="1">
      <alignment horizontal="center" readingOrder="0" shrinkToFit="0" wrapText="1"/>
    </xf>
    <xf borderId="9" fillId="0" fontId="17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horizontal="center" readingOrder="0" shrinkToFit="0" wrapText="1"/>
    </xf>
    <xf borderId="9" fillId="0" fontId="18" numFmtId="0" xfId="0" applyAlignment="1" applyBorder="1" applyFont="1">
      <alignment horizontal="center" readingOrder="0"/>
    </xf>
    <xf borderId="9" fillId="5" fontId="8" numFmtId="0" xfId="0" applyAlignment="1" applyBorder="1" applyFont="1">
      <alignment horizontal="center" readingOrder="0" shrinkToFit="0" wrapText="0"/>
    </xf>
    <xf borderId="9" fillId="0" fontId="8" numFmtId="0" xfId="0" applyAlignment="1" applyBorder="1" applyFont="1">
      <alignment horizontal="center" readingOrder="0" shrinkToFit="0" wrapText="0"/>
    </xf>
    <xf borderId="9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9" fillId="5" fontId="15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left" readingOrder="0" shrinkToFit="0" wrapText="1"/>
    </xf>
    <xf borderId="9" fillId="0" fontId="15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left"/>
    </xf>
    <xf borderId="9" fillId="0" fontId="19" numFmtId="0" xfId="0" applyAlignment="1" applyBorder="1" applyFont="1">
      <alignment horizontal="left" readingOrder="0"/>
    </xf>
    <xf borderId="9" fillId="0" fontId="15" numFmtId="0" xfId="0" applyAlignment="1" applyBorder="1" applyFont="1">
      <alignment horizontal="center" readingOrder="0" shrinkToFit="0" wrapText="1"/>
    </xf>
    <xf borderId="10" fillId="0" fontId="15" numFmtId="0" xfId="0" applyAlignment="1" applyBorder="1" applyFont="1">
      <alignment horizontal="center" readingOrder="0"/>
    </xf>
    <xf borderId="9" fillId="0" fontId="20" numFmtId="0" xfId="0" applyAlignment="1" applyBorder="1" applyFont="1">
      <alignment horizontal="center" readingOrder="0" shrinkToFit="0" wrapText="1"/>
    </xf>
    <xf borderId="9" fillId="0" fontId="21" numFmtId="0" xfId="0" applyAlignment="1" applyBorder="1" applyFont="1">
      <alignment horizontal="left" readingOrder="0" shrinkToFit="0" wrapText="1"/>
    </xf>
    <xf borderId="9" fillId="0" fontId="21" numFmtId="0" xfId="0" applyAlignment="1" applyBorder="1" applyFont="1">
      <alignment horizontal="center" readingOrder="0" shrinkToFit="0" wrapText="1"/>
    </xf>
    <xf borderId="9" fillId="0" fontId="20" numFmtId="0" xfId="0" applyAlignment="1" applyBorder="1" applyFont="1">
      <alignment horizontal="left" readingOrder="0" shrinkToFit="0" wrapText="1"/>
    </xf>
    <xf borderId="11" fillId="5" fontId="15" numFmtId="0" xfId="0" applyAlignment="1" applyBorder="1" applyFont="1">
      <alignment horizontal="center" readingOrder="0"/>
    </xf>
    <xf borderId="8" fillId="9" fontId="15" numFmtId="0" xfId="0" applyAlignment="1" applyBorder="1" applyFill="1" applyFont="1">
      <alignment horizontal="center" readingOrder="0"/>
    </xf>
    <xf borderId="8" fillId="9" fontId="15" numFmtId="0" xfId="0" applyAlignment="1" applyBorder="1" applyFont="1">
      <alignment readingOrder="0"/>
    </xf>
    <xf borderId="8" fillId="9" fontId="8" numFmtId="0" xfId="0" applyAlignment="1" applyBorder="1" applyFont="1">
      <alignment horizontal="center" readingOrder="0" shrinkToFit="0" wrapText="1"/>
    </xf>
    <xf borderId="8" fillId="9" fontId="8" numFmtId="0" xfId="0" applyAlignment="1" applyBorder="1" applyFont="1">
      <alignment horizontal="center" readingOrder="0"/>
    </xf>
    <xf borderId="8" fillId="9" fontId="8" numFmtId="0" xfId="0" applyAlignment="1" applyBorder="1" applyFont="1">
      <alignment horizontal="center" readingOrder="0" shrinkToFit="0" wrapText="0"/>
    </xf>
    <xf borderId="8" fillId="9" fontId="8" numFmtId="0" xfId="0" applyAlignment="1" applyBorder="1" applyFont="1">
      <alignment horizontal="left" readingOrder="0"/>
    </xf>
    <xf borderId="8" fillId="9" fontId="8" numFmtId="0" xfId="0" applyAlignment="1" applyBorder="1" applyFont="1">
      <alignment horizontal="left"/>
    </xf>
    <xf borderId="0" fillId="0" fontId="13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shrinkToFit="0" wrapText="1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1" numFmtId="0" xfId="0" applyAlignment="1" applyFont="1">
      <alignment horizontal="center" shrinkToFit="0" wrapText="1"/>
    </xf>
    <xf borderId="0" fillId="0" fontId="17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left" readingOrder="0" shrinkToFit="0" wrapText="1"/>
    </xf>
    <xf borderId="0" fillId="0" fontId="15" numFmtId="0" xfId="0" applyFont="1"/>
    <xf borderId="12" fillId="0" fontId="15" numFmtId="0" xfId="0" applyAlignment="1" applyBorder="1" applyFont="1">
      <alignment horizontal="center" readingOrder="0"/>
    </xf>
    <xf borderId="12" fillId="0" fontId="17" numFmtId="0" xfId="0" applyAlignment="1" applyBorder="1" applyFont="1">
      <alignment horizontal="left" readingOrder="0" shrinkToFit="0" wrapText="1"/>
    </xf>
    <xf borderId="12" fillId="0" fontId="17" numFmtId="0" xfId="0" applyAlignment="1" applyBorder="1" applyFont="1">
      <alignment horizontal="center" readingOrder="0" shrinkToFit="0" wrapText="1"/>
    </xf>
    <xf borderId="12" fillId="0" fontId="22" numFmtId="0" xfId="0" applyAlignment="1" applyBorder="1" applyFont="1">
      <alignment horizontal="center" readingOrder="0"/>
    </xf>
    <xf borderId="12" fillId="0" fontId="16" numFmtId="0" xfId="0" applyAlignment="1" applyBorder="1" applyFont="1">
      <alignment horizontal="left" readingOrder="0" shrinkToFit="0" wrapText="1"/>
    </xf>
    <xf borderId="12" fillId="0" fontId="16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12" fillId="0" fontId="15" numFmtId="0" xfId="0" applyAlignment="1" applyBorder="1" applyFont="1">
      <alignment horizontal="center" shrinkToFit="0" wrapText="1"/>
    </xf>
    <xf borderId="12" fillId="0" fontId="15" numFmtId="0" xfId="0" applyAlignment="1" applyBorder="1" applyFont="1">
      <alignment horizontal="center" shrinkToFit="0" wrapText="1"/>
    </xf>
    <xf borderId="12" fillId="0" fontId="15" numFmtId="0" xfId="0" applyBorder="1" applyFont="1"/>
    <xf borderId="12" fillId="0" fontId="15" numFmtId="0" xfId="0" applyAlignment="1" applyBorder="1" applyFont="1">
      <alignment horizontal="left"/>
    </xf>
    <xf borderId="12" fillId="0" fontId="22" numFmtId="0" xfId="0" applyAlignment="1" applyBorder="1" applyFont="1">
      <alignment horizontal="center" shrinkToFit="0" wrapText="1"/>
    </xf>
    <xf borderId="12" fillId="0" fontId="22" numFmtId="0" xfId="0" applyBorder="1" applyFont="1"/>
    <xf borderId="12" fillId="0" fontId="22" numFmtId="0" xfId="0" applyAlignment="1" applyBorder="1" applyFont="1">
      <alignment horizontal="left"/>
    </xf>
    <xf borderId="12" fillId="0" fontId="20" numFmtId="0" xfId="0" applyAlignment="1" applyBorder="1" applyFont="1">
      <alignment horizontal="left" readingOrder="0" shrinkToFit="0" wrapText="1"/>
    </xf>
    <xf borderId="12" fillId="0" fontId="20" numFmtId="0" xfId="0" applyAlignment="1" applyBorder="1" applyFont="1">
      <alignment horizontal="center" readingOrder="0" shrinkToFit="0" wrapText="1"/>
    </xf>
    <xf borderId="12" fillId="0" fontId="23" numFmtId="0" xfId="0" applyAlignment="1" applyBorder="1" applyFont="1">
      <alignment horizontal="center" shrinkToFit="0" wrapText="1"/>
    </xf>
    <xf borderId="12" fillId="5" fontId="15" numFmtId="0" xfId="0" applyAlignment="1" applyBorder="1" applyFont="1">
      <alignment horizontal="center" readingOrder="0"/>
    </xf>
    <xf borderId="12" fillId="0" fontId="23" numFmtId="0" xfId="0" applyAlignment="1" applyBorder="1" applyFont="1">
      <alignment horizontal="center" shrinkToFit="0" wrapText="1"/>
    </xf>
    <xf borderId="12" fillId="0" fontId="21" numFmtId="0" xfId="0" applyAlignment="1" applyBorder="1" applyFont="1">
      <alignment horizontal="left" readingOrder="0" shrinkToFit="0" wrapText="1"/>
    </xf>
    <xf borderId="12" fillId="0" fontId="21" numFmtId="0" xfId="0" applyAlignment="1" applyBorder="1" applyFont="1">
      <alignment horizontal="center" readingOrder="0" shrinkToFit="0" wrapText="1"/>
    </xf>
    <xf borderId="9" fillId="2" fontId="15" numFmtId="0" xfId="0" applyAlignment="1" applyBorder="1" applyFont="1">
      <alignment horizontal="center" readingOrder="0"/>
    </xf>
    <xf borderId="9" fillId="2" fontId="17" numFmtId="0" xfId="0" applyAlignment="1" applyBorder="1" applyFont="1">
      <alignment horizontal="left" readingOrder="0" shrinkToFit="0" wrapText="1"/>
    </xf>
    <xf borderId="9" fillId="2" fontId="17" numFmtId="0" xfId="0" applyAlignment="1" applyBorder="1" applyFont="1">
      <alignment horizontal="center" readingOrder="0" shrinkToFit="0" wrapText="1"/>
    </xf>
    <xf borderId="9" fillId="2" fontId="15" numFmtId="0" xfId="0" applyAlignment="1" applyBorder="1" applyFont="1">
      <alignment horizontal="center" readingOrder="0" shrinkToFit="0" wrapText="1"/>
    </xf>
    <xf borderId="9" fillId="2" fontId="20" numFmtId="0" xfId="0" applyAlignment="1" applyBorder="1" applyFont="1">
      <alignment horizontal="center" readingOrder="0" shrinkToFit="0" wrapText="1"/>
    </xf>
    <xf borderId="9" fillId="2" fontId="20" numFmtId="0" xfId="0" applyAlignment="1" applyBorder="1" applyFont="1">
      <alignment horizontal="left" readingOrder="0" shrinkToFit="0" wrapText="1"/>
    </xf>
    <xf borderId="10" fillId="2" fontId="15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left"/>
    </xf>
    <xf borderId="0" fillId="0" fontId="13" numFmtId="0" xfId="0" applyAlignment="1" applyFont="1">
      <alignment horizontal="left"/>
    </xf>
    <xf borderId="9" fillId="0" fontId="6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9" fillId="5" fontId="15" numFmtId="0" xfId="0" applyAlignment="1" applyBorder="1" applyFont="1">
      <alignment horizontal="center" readingOrder="0" shrinkToFit="0" wrapText="1"/>
    </xf>
    <xf borderId="9" fillId="0" fontId="17" numFmtId="0" xfId="0" applyAlignment="1" applyBorder="1" applyFont="1">
      <alignment horizontal="left" readingOrder="0"/>
    </xf>
    <xf borderId="0" fillId="0" fontId="23" numFmtId="0" xfId="0" applyAlignment="1" applyFont="1">
      <alignment horizontal="left"/>
    </xf>
    <xf borderId="9" fillId="0" fontId="8" numFmtId="0" xfId="0" applyAlignment="1" applyBorder="1" applyFont="1">
      <alignment horizontal="center" readingOrder="0" shrinkToFit="0" wrapText="1"/>
    </xf>
    <xf borderId="9" fillId="5" fontId="24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shrinkToFit="0" wrapText="1"/>
    </xf>
    <xf borderId="13" fillId="2" fontId="15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left" readingOrder="0" shrinkToFit="0" wrapText="1"/>
    </xf>
    <xf borderId="13" fillId="0" fontId="17" numFmtId="0" xfId="0" applyAlignment="1" applyBorder="1" applyFont="1">
      <alignment horizontal="center" readingOrder="0" shrinkToFit="0" wrapText="1"/>
    </xf>
    <xf borderId="13" fillId="5" fontId="15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left" readingOrder="0" shrinkToFit="0" wrapText="1"/>
    </xf>
    <xf borderId="10" fillId="0" fontId="17" numFmtId="0" xfId="0" applyAlignment="1" applyBorder="1" applyFont="1">
      <alignment horizontal="center" readingOrder="0" shrinkToFit="0" wrapText="1"/>
    </xf>
    <xf borderId="10" fillId="5" fontId="15" numFmtId="0" xfId="0" applyAlignment="1" applyBorder="1" applyFont="1">
      <alignment horizontal="center" readingOrder="0"/>
    </xf>
    <xf borderId="9" fillId="0" fontId="22" numFmtId="0" xfId="0" applyAlignment="1" applyBorder="1" applyFont="1">
      <alignment horizontal="center" readingOrder="0"/>
    </xf>
    <xf borderId="9" fillId="5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kbtbEW79tEdgGp0UAzlj3ceEUC9NW1o" TargetMode="External"/><Relationship Id="rId190" Type="http://schemas.openxmlformats.org/officeDocument/2006/relationships/hyperlink" Target="https://drive.google.com/open?id=106NMUH_26h6mGi-arodEfr7RG0fOghV5" TargetMode="External"/><Relationship Id="rId42" Type="http://schemas.openxmlformats.org/officeDocument/2006/relationships/hyperlink" Target="https://drive.google.com/open?id=1HhXuInc1RujztT5RrpUnEY7EzXw-Z_FN" TargetMode="External"/><Relationship Id="rId41" Type="http://schemas.openxmlformats.org/officeDocument/2006/relationships/hyperlink" Target="https://drive.google.com/open?id=1B611xILm8i582ziJA3vZBIfpNI64YGxj" TargetMode="External"/><Relationship Id="rId44" Type="http://schemas.openxmlformats.org/officeDocument/2006/relationships/hyperlink" Target="https://drive.google.com/open?id=1pIr0MbBrix-tqKhZoALuDrQz75tmKDat" TargetMode="External"/><Relationship Id="rId194" Type="http://schemas.openxmlformats.org/officeDocument/2006/relationships/hyperlink" Target="https://drive.google.com/open?id=1w7rrFzM36gM6-rYXBYrXV33_jUEUpD0d" TargetMode="External"/><Relationship Id="rId43" Type="http://schemas.openxmlformats.org/officeDocument/2006/relationships/hyperlink" Target="https://drive.google.com/open?id=1qSFR4h5waPUAAN5hSw0TJ8gsVKnbfLmm" TargetMode="External"/><Relationship Id="rId193" Type="http://schemas.openxmlformats.org/officeDocument/2006/relationships/hyperlink" Target="https://drive.google.com/open?id=1BxcdHyO5fn18ebNyHy07dwjDZytK1EW3" TargetMode="External"/><Relationship Id="rId46" Type="http://schemas.openxmlformats.org/officeDocument/2006/relationships/hyperlink" Target="https://drive.google.com/open?id=14qmRm1Y0xh6jlItEHJQlEyr9s6luqDae" TargetMode="External"/><Relationship Id="rId192" Type="http://schemas.openxmlformats.org/officeDocument/2006/relationships/hyperlink" Target="https://drive.google.com/open?id=17FUQT7pa6MD6OOuR_UlpcXXtt777iXcI" TargetMode="External"/><Relationship Id="rId45" Type="http://schemas.openxmlformats.org/officeDocument/2006/relationships/hyperlink" Target="https://drive.google.com/open?id=13bRJVwCLKh5OOosJAIJoBddXwppSEpko" TargetMode="External"/><Relationship Id="rId191" Type="http://schemas.openxmlformats.org/officeDocument/2006/relationships/hyperlink" Target="https://drive.google.com/open?id=1UpQrLg2btvcapC1gETPfbZtUq1tVV-4M" TargetMode="External"/><Relationship Id="rId48" Type="http://schemas.openxmlformats.org/officeDocument/2006/relationships/hyperlink" Target="https://drive.google.com/open?id=1atHICltnSMmbWqc5eYPY1VXrIOo3fL14" TargetMode="External"/><Relationship Id="rId187" Type="http://schemas.openxmlformats.org/officeDocument/2006/relationships/hyperlink" Target="https://drive.google.com/open?id=1itRXc66rKSMljDIIKsmIVp2JY9Thq22H" TargetMode="External"/><Relationship Id="rId47" Type="http://schemas.openxmlformats.org/officeDocument/2006/relationships/hyperlink" Target="https://drive.google.com/open?id=16apQkYHxTw_EQ5jbg1dMLsPjUVyTTz5_https://drive.google.com/open?id=14qmRm1Y0xh6jlItEHJQlEyr9s6luqDae" TargetMode="External"/><Relationship Id="rId186" Type="http://schemas.openxmlformats.org/officeDocument/2006/relationships/hyperlink" Target="https://drive.google.com/open?id=1CO7Y9eoR8zFw-LRf1oCe-MPG4SKWU2wx" TargetMode="External"/><Relationship Id="rId185" Type="http://schemas.openxmlformats.org/officeDocument/2006/relationships/hyperlink" Target="https://drive.google.com/open?id=1KLwv7sdCGobF5vvqgGGvGj85QqobsEPY" TargetMode="External"/><Relationship Id="rId49" Type="http://schemas.openxmlformats.org/officeDocument/2006/relationships/hyperlink" Target="https://drive.google.com/open?id=17qCWZU6zRE77b23d_sbtCLideQ23fHZi" TargetMode="External"/><Relationship Id="rId184" Type="http://schemas.openxmlformats.org/officeDocument/2006/relationships/hyperlink" Target="https://drive.google.com/open?id=1HhAkbCoy7rxWi-RWCABa-0yEQ8nidPWo" TargetMode="External"/><Relationship Id="rId189" Type="http://schemas.openxmlformats.org/officeDocument/2006/relationships/hyperlink" Target="https://drive.google.com/open?id=1TGu8esD_aPGYT7v2KaqVrxo6ODR-y4g0" TargetMode="External"/><Relationship Id="rId188" Type="http://schemas.openxmlformats.org/officeDocument/2006/relationships/hyperlink" Target="https://drive.google.com/open?id=1xqEEQbyQfBnVISs8EC4m1nwIXesdNqJ-" TargetMode="External"/><Relationship Id="rId31" Type="http://schemas.openxmlformats.org/officeDocument/2006/relationships/hyperlink" Target="https://drive.google.com/open?id=1CJqmCcprJfXHtfbNmLKySzCdDDzr2eJO" TargetMode="External"/><Relationship Id="rId30" Type="http://schemas.openxmlformats.org/officeDocument/2006/relationships/hyperlink" Target="https://drive.google.com/open?id=1slh9DjT99FpjwKG0x_UZqemHHN66ny6H" TargetMode="External"/><Relationship Id="rId33" Type="http://schemas.openxmlformats.org/officeDocument/2006/relationships/hyperlink" Target="https://drive.google.com/open?id=16xgdGw86qLBqR2vDC8W58DOqKWnk2x7u" TargetMode="External"/><Relationship Id="rId183" Type="http://schemas.openxmlformats.org/officeDocument/2006/relationships/hyperlink" Target="https://drive.google.com/open?id=12RWXAriXKRk3-7BNspVsngLqJAcr9f40" TargetMode="External"/><Relationship Id="rId32" Type="http://schemas.openxmlformats.org/officeDocument/2006/relationships/hyperlink" Target="https://drive.google.com/open?id=1mjeJusPP3MVReoqunBKPj5U6HWJv2zcK" TargetMode="External"/><Relationship Id="rId182" Type="http://schemas.openxmlformats.org/officeDocument/2006/relationships/hyperlink" Target="https://drive.google.com/open?id=1yjGV7id0mbX2dcXNMGmxUPHGuRFZMz0d" TargetMode="External"/><Relationship Id="rId35" Type="http://schemas.openxmlformats.org/officeDocument/2006/relationships/hyperlink" Target="https://drive.google.com/open?id=1GU88K-4q-UEppD-XOyZytuVCqOFPB8L5" TargetMode="External"/><Relationship Id="rId181" Type="http://schemas.openxmlformats.org/officeDocument/2006/relationships/hyperlink" Target="https://drive.google.com/open?id=101KcKUA-L-Bhizv0_OIqpcjiN7vX4alZ" TargetMode="External"/><Relationship Id="rId34" Type="http://schemas.openxmlformats.org/officeDocument/2006/relationships/hyperlink" Target="https://drive.google.com/open?id=1lQYuQcpBj7lZgUGPhaV7MBsRyvzVvTXW" TargetMode="External"/><Relationship Id="rId180" Type="http://schemas.openxmlformats.org/officeDocument/2006/relationships/hyperlink" Target="https://drive.google.com/open?id=1EvYhDEnXcpSCSDESQghShdEPhIjaWrnX" TargetMode="External"/><Relationship Id="rId37" Type="http://schemas.openxmlformats.org/officeDocument/2006/relationships/hyperlink" Target="https://drive.google.com/open?id=17DpeCYM08IdGh9q9lp0O6AqZqr_7KlKr" TargetMode="External"/><Relationship Id="rId176" Type="http://schemas.openxmlformats.org/officeDocument/2006/relationships/hyperlink" Target="https://drive.google.com/open?id=1BFnhGBP1isceNWTDmhXPu2Ewb2mDxaX0" TargetMode="External"/><Relationship Id="rId297" Type="http://schemas.openxmlformats.org/officeDocument/2006/relationships/hyperlink" Target="https://drive.google.com/open?id=19VPX7OU6NXUG6BbRL_amGL_Y-02OC9J_" TargetMode="External"/><Relationship Id="rId36" Type="http://schemas.openxmlformats.org/officeDocument/2006/relationships/hyperlink" Target="https://drive.google.com/open?id=1rEyt3nodwy-_3bSRj6JesVtn-dZjKKbC" TargetMode="External"/><Relationship Id="rId175" Type="http://schemas.openxmlformats.org/officeDocument/2006/relationships/hyperlink" Target="https://drive.google.com/open?id=1xQpXi1TOe66ta7mmm-IxRpNELTGJtP_A" TargetMode="External"/><Relationship Id="rId296" Type="http://schemas.openxmlformats.org/officeDocument/2006/relationships/hyperlink" Target="https://drive.google.com/open?id=1HbASSIlR9CW3HhcZDFk2qNrL5q0NFp1_" TargetMode="External"/><Relationship Id="rId39" Type="http://schemas.openxmlformats.org/officeDocument/2006/relationships/hyperlink" Target="https://drive.google.com/open?id=14Xw6MuLioeGZQhPQJOmJVpu_9wwm6xEv" TargetMode="External"/><Relationship Id="rId174" Type="http://schemas.openxmlformats.org/officeDocument/2006/relationships/hyperlink" Target="https://drive.google.com/open?id=1hJDB-MY-dwJZDnjY33q9gA-zgpGiERvX" TargetMode="External"/><Relationship Id="rId295" Type="http://schemas.openxmlformats.org/officeDocument/2006/relationships/hyperlink" Target="https://drive.google.com/open?id=1bc_1N0qJPh_45oc0SrQyP8MrOaqOz_Yp" TargetMode="External"/><Relationship Id="rId38" Type="http://schemas.openxmlformats.org/officeDocument/2006/relationships/hyperlink" Target="https://drive.google.com/open?id=1IpqrPkUiCWeUI_1Yewpjv8VSXtR0qMZ0" TargetMode="External"/><Relationship Id="rId173" Type="http://schemas.openxmlformats.org/officeDocument/2006/relationships/hyperlink" Target="https://drive.google.com/open?id=1sCJa7meY8uec50r8qDSJOoV-_9Wgyuam" TargetMode="External"/><Relationship Id="rId294" Type="http://schemas.openxmlformats.org/officeDocument/2006/relationships/hyperlink" Target="https://drive.google.com/open?id=1C3MNRMHUp9y7dPBuj-b0EvjKk7jDDB82" TargetMode="External"/><Relationship Id="rId179" Type="http://schemas.openxmlformats.org/officeDocument/2006/relationships/hyperlink" Target="https://drive.google.com/open?id=1Qk96BUbWVN1EVq7pc59NjtfIpFjynUIe" TargetMode="External"/><Relationship Id="rId178" Type="http://schemas.openxmlformats.org/officeDocument/2006/relationships/hyperlink" Target="https://drive.google.com/open?id=13CtzYnxIAOPmkR151Afrvyi3ky3dM543" TargetMode="External"/><Relationship Id="rId299" Type="http://schemas.openxmlformats.org/officeDocument/2006/relationships/hyperlink" Target="https://drive.google.com/open?id=1J67C2vKN7H9cBEIXZbJQBG-nicKLZLyP" TargetMode="External"/><Relationship Id="rId177" Type="http://schemas.openxmlformats.org/officeDocument/2006/relationships/hyperlink" Target="https://drive.google.com/open?id=1C1TyorswiNRepWXdRiyu0a04fT231e2k" TargetMode="External"/><Relationship Id="rId298" Type="http://schemas.openxmlformats.org/officeDocument/2006/relationships/hyperlink" Target="https://drive.google.com/open?id=1aR14mrKKQRO6LRgkg-MwejVY0hmLgRab" TargetMode="External"/><Relationship Id="rId20" Type="http://schemas.openxmlformats.org/officeDocument/2006/relationships/hyperlink" Target="https://drive.google.com/open?id=1nt49C2cAJJcCTI8e1yReQ5mH4B8ySWOh" TargetMode="External"/><Relationship Id="rId22" Type="http://schemas.openxmlformats.org/officeDocument/2006/relationships/hyperlink" Target="https://drive.google.com/open?id=1QOzQVm-AzJuA1p2-aux9XG8NMsdAvybo" TargetMode="External"/><Relationship Id="rId21" Type="http://schemas.openxmlformats.org/officeDocument/2006/relationships/hyperlink" Target="https://drive.google.com/open?id=12-KRCjJKsgfx4lNJHCOUBMFuTHIy8Am4" TargetMode="External"/><Relationship Id="rId24" Type="http://schemas.openxmlformats.org/officeDocument/2006/relationships/hyperlink" Target="https://drive.google.com/open?id=1BdQ_Ae5UWYtIMQuHY2Q8ObHSYhTLHFUo" TargetMode="External"/><Relationship Id="rId23" Type="http://schemas.openxmlformats.org/officeDocument/2006/relationships/hyperlink" Target="https://drive.google.com/open?id=13YQvmyowWXKfO8atw-012KNhXb8Hh6HN" TargetMode="External"/><Relationship Id="rId26" Type="http://schemas.openxmlformats.org/officeDocument/2006/relationships/hyperlink" Target="https://drive.google.com/open?id=17ztmcLbdFny2LvDvvKOv14_XTxb7sFTo" TargetMode="External"/><Relationship Id="rId25" Type="http://schemas.openxmlformats.org/officeDocument/2006/relationships/hyperlink" Target="https://drive.google.com/open?id=188xaZpcmHkQPY_x6ARfUtldDcD0d30SM" TargetMode="External"/><Relationship Id="rId28" Type="http://schemas.openxmlformats.org/officeDocument/2006/relationships/hyperlink" Target="https://drive.google.com/open?id=10XJ-zGJj9V8uZsUSfZiGLLpJ6-qKgoQT" TargetMode="External"/><Relationship Id="rId27" Type="http://schemas.openxmlformats.org/officeDocument/2006/relationships/hyperlink" Target="https://drive.google.com/open?id=1Z7XmF2ITPqIZ-9GnXaw-dRcF9Yi1fp7l" TargetMode="External"/><Relationship Id="rId29" Type="http://schemas.openxmlformats.org/officeDocument/2006/relationships/hyperlink" Target="https://drive.google.com/open?id=1evcrYV4y2mzo1PviizlO_adxMl-9KwEl" TargetMode="External"/><Relationship Id="rId11" Type="http://schemas.openxmlformats.org/officeDocument/2006/relationships/hyperlink" Target="https://drive.google.com/open?id=1zupyDAvI-xznYoEDHPvA7veJKR6tJ7a8" TargetMode="External"/><Relationship Id="rId10" Type="http://schemas.openxmlformats.org/officeDocument/2006/relationships/hyperlink" Target="https://drive.google.com/open?id=1MW3p6nW0zpa_IlgDxQ1emOxJCj7dh_bp" TargetMode="External"/><Relationship Id="rId13" Type="http://schemas.openxmlformats.org/officeDocument/2006/relationships/hyperlink" Target="https://drive.google.com/open?id=1kHA09d3V7J60MT_2Z1n_pjwOqQ_KPkKi" TargetMode="External"/><Relationship Id="rId12" Type="http://schemas.openxmlformats.org/officeDocument/2006/relationships/hyperlink" Target="https://drive.google.com/open?id=10MxzYOnSbWxtfT20wRPIQ8aSFbuDu6Qv" TargetMode="External"/><Relationship Id="rId15" Type="http://schemas.openxmlformats.org/officeDocument/2006/relationships/hyperlink" Target="https://drive.google.com/open?id=1zF_YA0e0G-2gqpqCXATzWwpYOp2Q-8dg" TargetMode="External"/><Relationship Id="rId198" Type="http://schemas.openxmlformats.org/officeDocument/2006/relationships/hyperlink" Target="https://drive.google.com/open?id=1QRf6z_gtj2I__7O7Ya8DwPtI3ga_SHbg" TargetMode="External"/><Relationship Id="rId14" Type="http://schemas.openxmlformats.org/officeDocument/2006/relationships/hyperlink" Target="https://drive.google.com/open?id=13vH6wrDjk-rOXsfGCBEv9GkcEwsqWlg_" TargetMode="External"/><Relationship Id="rId197" Type="http://schemas.openxmlformats.org/officeDocument/2006/relationships/hyperlink" Target="https://drive.google.com/open?id=1uR3rxz35tlOcC3BsLs0gKW9JnTBqQ7EA" TargetMode="External"/><Relationship Id="rId17" Type="http://schemas.openxmlformats.org/officeDocument/2006/relationships/hyperlink" Target="https://drive.google.com/open?id=10O5Fr8TNSs5fw7RvEONc8DwZ3209aos4" TargetMode="External"/><Relationship Id="rId196" Type="http://schemas.openxmlformats.org/officeDocument/2006/relationships/hyperlink" Target="https://drive.google.com/open?id=1rfAVZIIjuieHO9QzxpFIh7BQGPdLtsdb" TargetMode="External"/><Relationship Id="rId16" Type="http://schemas.openxmlformats.org/officeDocument/2006/relationships/hyperlink" Target="https://drive.google.com/open?id=1Zxcpr4sdKniI14Rzxozisa8wVE8xFhqt" TargetMode="External"/><Relationship Id="rId195" Type="http://schemas.openxmlformats.org/officeDocument/2006/relationships/hyperlink" Target="https://drive.google.com/open?id=1cSx9oV1P_hs6AvIcEDM1DbD0dMTwIe5I" TargetMode="External"/><Relationship Id="rId19" Type="http://schemas.openxmlformats.org/officeDocument/2006/relationships/hyperlink" Target="https://drive.google.com/open?id=1do_FMRe9GaWlZieFHVVLndAC530JPoP_" TargetMode="External"/><Relationship Id="rId18" Type="http://schemas.openxmlformats.org/officeDocument/2006/relationships/hyperlink" Target="https://drive.google.com/open?id=1-fVGAyy9hFZMuoGyAnaM8KH_ziYIHURi" TargetMode="External"/><Relationship Id="rId199" Type="http://schemas.openxmlformats.org/officeDocument/2006/relationships/hyperlink" Target="https://drive.google.com/open?id=1ENIe442SAmcbBfGiDVkoLiZFjlycBFup" TargetMode="External"/><Relationship Id="rId84" Type="http://schemas.openxmlformats.org/officeDocument/2006/relationships/hyperlink" Target="https://drive.google.com/open?id=1Ax1mHWa1MHz0Zo7GLpRE7ARC7houVUio" TargetMode="External"/><Relationship Id="rId83" Type="http://schemas.openxmlformats.org/officeDocument/2006/relationships/hyperlink" Target="https://drive.google.com/open?id=142L8JHWPFNn-e0D1FCKKNCBxNquF_05g" TargetMode="External"/><Relationship Id="rId86" Type="http://schemas.openxmlformats.org/officeDocument/2006/relationships/hyperlink" Target="https://drive.google.com/open?id=1mErckskn03okkwTUiy95cSqTzfDm363w" TargetMode="External"/><Relationship Id="rId85" Type="http://schemas.openxmlformats.org/officeDocument/2006/relationships/hyperlink" Target="https://drive.google.com/open?id=1xRS8Pr0jEC6tgwKhJZ-w5c-wSiLinqIl" TargetMode="External"/><Relationship Id="rId88" Type="http://schemas.openxmlformats.org/officeDocument/2006/relationships/hyperlink" Target="https://drive.google.com/open?id=1Udl5hilgT8IreNr1A-hPzNgDgS37OwBd" TargetMode="External"/><Relationship Id="rId150" Type="http://schemas.openxmlformats.org/officeDocument/2006/relationships/hyperlink" Target="https://drive.google.com/open?id=1Q7aBPve9R2k1aZh0nYhSfi3xMA607QeK" TargetMode="External"/><Relationship Id="rId271" Type="http://schemas.openxmlformats.org/officeDocument/2006/relationships/hyperlink" Target="https://drive.google.com/open?id=1bbJzzKNoKqFv-SeeqGalYeieBKvfJdqY" TargetMode="External"/><Relationship Id="rId87" Type="http://schemas.openxmlformats.org/officeDocument/2006/relationships/hyperlink" Target="https://drive.google.com/open?id=1EcP_sb5nFfYmb_mfVKr78aOeYYnQLrpE" TargetMode="External"/><Relationship Id="rId270" Type="http://schemas.openxmlformats.org/officeDocument/2006/relationships/hyperlink" Target="https://drive.google.com/open?id=1LEFZgJETtJYjSyBpWyhrIIA-V4ZX8miS" TargetMode="External"/><Relationship Id="rId89" Type="http://schemas.openxmlformats.org/officeDocument/2006/relationships/hyperlink" Target="https://drive.google.com/open?id=1XPBB4vaxsWE3V2xaJaiFp-cpXWaO0qiI" TargetMode="External"/><Relationship Id="rId80" Type="http://schemas.openxmlformats.org/officeDocument/2006/relationships/hyperlink" Target="https://drive.google.com/open?id=1PECBfq2GhK5BB32Eae9ACoMvPVtpyfhn" TargetMode="External"/><Relationship Id="rId82" Type="http://schemas.openxmlformats.org/officeDocument/2006/relationships/hyperlink" Target="https://drive.google.com/open?id=1j4qY-H66ecBgmFoHMNILfIH2e4t9_LXt" TargetMode="External"/><Relationship Id="rId81" Type="http://schemas.openxmlformats.org/officeDocument/2006/relationships/hyperlink" Target="https://drive.google.com/open?id=1Afq4VP8YUKNwnP9W22WAAdr0Z_04tuzK" TargetMode="External"/><Relationship Id="rId1" Type="http://schemas.openxmlformats.org/officeDocument/2006/relationships/hyperlink" Target="https://drive.google.com/open?id=1FkizstfK1hleRA5Y-VwHG0JpGRMaWs9m" TargetMode="External"/><Relationship Id="rId2" Type="http://schemas.openxmlformats.org/officeDocument/2006/relationships/hyperlink" Target="https://drive.google.com/open?id=1K5_qHKoRUbTcJ1VsSs-qfvmrQNjxRf_S" TargetMode="External"/><Relationship Id="rId3" Type="http://schemas.openxmlformats.org/officeDocument/2006/relationships/hyperlink" Target="https://drive.google.com/open?id=1Rdv8nm_zfc1t2rXUa6nOdZjFVE95qmvV" TargetMode="External"/><Relationship Id="rId149" Type="http://schemas.openxmlformats.org/officeDocument/2006/relationships/hyperlink" Target="https://drive.google.com/open?id=1nr8nE10Cr48C5w3y_6MUsiOHOGse3cuE" TargetMode="External"/><Relationship Id="rId4" Type="http://schemas.openxmlformats.org/officeDocument/2006/relationships/hyperlink" Target="https://drive.google.com/open?id=11HRj3joRgWQMRkK3w4ElWVKuLSTcrhXJ" TargetMode="External"/><Relationship Id="rId148" Type="http://schemas.openxmlformats.org/officeDocument/2006/relationships/hyperlink" Target="https://drive.google.com/open?id=16xKAUTC_mHPrSeEuxDmbrumuct3gWPxf" TargetMode="External"/><Relationship Id="rId269" Type="http://schemas.openxmlformats.org/officeDocument/2006/relationships/hyperlink" Target="https://drive.google.com/open?id=1w5Sdobg3uEPfxjBDiwGPOsUyU6s1oC03" TargetMode="External"/><Relationship Id="rId9" Type="http://schemas.openxmlformats.org/officeDocument/2006/relationships/hyperlink" Target="https://drive.google.com/open?id=14N0pKp-DEWgirwCRFfe4WO3ZFMNQGKB7" TargetMode="External"/><Relationship Id="rId143" Type="http://schemas.openxmlformats.org/officeDocument/2006/relationships/hyperlink" Target="https://drive.google.com/open?id=1v7k7LxZtsVLz2AefYEZLoW9pgTDkWKqd" TargetMode="External"/><Relationship Id="rId264" Type="http://schemas.openxmlformats.org/officeDocument/2006/relationships/hyperlink" Target="https://drive.google.com/open?id=1bDS8IaW5U8Q6c15niXUscd5rNVYluXo6" TargetMode="External"/><Relationship Id="rId142" Type="http://schemas.openxmlformats.org/officeDocument/2006/relationships/hyperlink" Target="https://drive.google.com/open?id=1Ojd20l07BXW8TRAAed7nVA0HElfTLSeJ" TargetMode="External"/><Relationship Id="rId263" Type="http://schemas.openxmlformats.org/officeDocument/2006/relationships/hyperlink" Target="https://drive.google.com/open?id=1OYvvs3WwTixAEl81i02tJ5rNM-EHZU_A" TargetMode="External"/><Relationship Id="rId141" Type="http://schemas.openxmlformats.org/officeDocument/2006/relationships/hyperlink" Target="https://drive.google.com/open?id=1PKEGL9hfx_Tp4IibEIwjFvpMiCglcnNA" TargetMode="External"/><Relationship Id="rId262" Type="http://schemas.openxmlformats.org/officeDocument/2006/relationships/hyperlink" Target="https://drive.google.com/open?id=1vLcHNv3wAOVT23PC0DmqaPK8W9xo_LuY" TargetMode="External"/><Relationship Id="rId140" Type="http://schemas.openxmlformats.org/officeDocument/2006/relationships/hyperlink" Target="https://drive.google.com/open?id=1elhFIi0d0UrrAaKH6UDz9GPSZuIdt5aY" TargetMode="External"/><Relationship Id="rId261" Type="http://schemas.openxmlformats.org/officeDocument/2006/relationships/hyperlink" Target="https://drive.google.com/open?id=1tZTivNdRRdq_7PKDFTyzw8v4QQT_L08w" TargetMode="External"/><Relationship Id="rId5" Type="http://schemas.openxmlformats.org/officeDocument/2006/relationships/hyperlink" Target="https://drive.google.com/open?id=1s2C31YHzNs-VL-WmRTUEXD7i3PUo9M58" TargetMode="External"/><Relationship Id="rId147" Type="http://schemas.openxmlformats.org/officeDocument/2006/relationships/hyperlink" Target="https://drive.google.com/open?id=1uHC3jiYgYs3aDMFfDAP5CZlG8u0NRsrD" TargetMode="External"/><Relationship Id="rId268" Type="http://schemas.openxmlformats.org/officeDocument/2006/relationships/hyperlink" Target="https://drive.google.com/open?id=1XEAKs19IkcLvqvestwxdsy8Sxrd11zYI" TargetMode="External"/><Relationship Id="rId6" Type="http://schemas.openxmlformats.org/officeDocument/2006/relationships/hyperlink" Target="https://drive.google.com/open?id=1zHOKhb5azl7fsBHSJC8CDJVSbYIaGuJD" TargetMode="External"/><Relationship Id="rId146" Type="http://schemas.openxmlformats.org/officeDocument/2006/relationships/hyperlink" Target="https://drive.google.com/open?id=1nHusLx_iYPtXdbQE599kqd8AG7PjSeMU" TargetMode="External"/><Relationship Id="rId267" Type="http://schemas.openxmlformats.org/officeDocument/2006/relationships/hyperlink" Target="https://drive.google.com/open?id=1PHDou2tyNBdAsNNcsRRttlPOl7M89AbD" TargetMode="External"/><Relationship Id="rId7" Type="http://schemas.openxmlformats.org/officeDocument/2006/relationships/hyperlink" Target="https://drive.google.com/open?id=1--I3jHWKPDrc7_8ELxFeHQPftoBefFEq" TargetMode="External"/><Relationship Id="rId145" Type="http://schemas.openxmlformats.org/officeDocument/2006/relationships/hyperlink" Target="https://drive.google.com/open?id=1RJH3SYiQZsDu_F7L5_ewXbr7pSc_yXEn" TargetMode="External"/><Relationship Id="rId266" Type="http://schemas.openxmlformats.org/officeDocument/2006/relationships/hyperlink" Target="https://drive.google.com/open?id=1ifA0kcP8sW-b6ypLt0uD4-y9Nl0gwhk6" TargetMode="External"/><Relationship Id="rId8" Type="http://schemas.openxmlformats.org/officeDocument/2006/relationships/hyperlink" Target="https://drive.google.com/open?id=195EU5ThNMQs67EhM3wQWQ0RygyGmACAt" TargetMode="External"/><Relationship Id="rId144" Type="http://schemas.openxmlformats.org/officeDocument/2006/relationships/hyperlink" Target="https://drive.google.com/open?id=1UnkqbJFKktD_NEB2fZ3wA0pQxWD7IG1j" TargetMode="External"/><Relationship Id="rId265" Type="http://schemas.openxmlformats.org/officeDocument/2006/relationships/hyperlink" Target="https://drive.google.com/open?id=1zATt99XW37vU7y7KESDj79oiaC3w3KdB" TargetMode="External"/><Relationship Id="rId73" Type="http://schemas.openxmlformats.org/officeDocument/2006/relationships/hyperlink" Target="https://drive.google.com/open?id=1yys809xMIp4Ezxd13TK3PXyOqUMNb2sa" TargetMode="External"/><Relationship Id="rId72" Type="http://schemas.openxmlformats.org/officeDocument/2006/relationships/hyperlink" Target="https://drive.google.com/open?id=1yyZIq1k0vVTPhLjBT6QnQNkpNIrdjz2X" TargetMode="External"/><Relationship Id="rId75" Type="http://schemas.openxmlformats.org/officeDocument/2006/relationships/hyperlink" Target="https://drive.google.com/open?id=1uuuc7n06gFs7EsQG7kOyQ95bgt8REg9A" TargetMode="External"/><Relationship Id="rId74" Type="http://schemas.openxmlformats.org/officeDocument/2006/relationships/hyperlink" Target="https://drive.google.com/open?id=1p_Ptz6v8zqgZunyKrFk_TFqgXV6fwzC2" TargetMode="External"/><Relationship Id="rId77" Type="http://schemas.openxmlformats.org/officeDocument/2006/relationships/hyperlink" Target="https://drive.google.com/open?id=1Vu_DceZlZZS_NYvR9QCcj0g3xsNFIf80" TargetMode="External"/><Relationship Id="rId260" Type="http://schemas.openxmlformats.org/officeDocument/2006/relationships/hyperlink" Target="https://drive.google.com/open?id=1BMQgPDGqYijbrjqvdZzG3wB8XbFL-R6z" TargetMode="External"/><Relationship Id="rId76" Type="http://schemas.openxmlformats.org/officeDocument/2006/relationships/hyperlink" Target="https://drive.google.com/open?id=1CLjPmDRS_MniJeFDPvPiEjUsy_kPHCzs" TargetMode="External"/><Relationship Id="rId79" Type="http://schemas.openxmlformats.org/officeDocument/2006/relationships/hyperlink" Target="https://drive.google.com/open?id=1ml9vvLOCOVn_I7BrgpII3PqWTn7OMV4w" TargetMode="External"/><Relationship Id="rId78" Type="http://schemas.openxmlformats.org/officeDocument/2006/relationships/hyperlink" Target="https://drive.google.com/open?id=1uZ-6jtCN_rL5TrGfVeley0i72KHMeg2k" TargetMode="External"/><Relationship Id="rId71" Type="http://schemas.openxmlformats.org/officeDocument/2006/relationships/hyperlink" Target="https://drive.google.com/open?id=1mj0n0pgnubU7kByqXBcYzkUEzOFmpNAu" TargetMode="External"/><Relationship Id="rId70" Type="http://schemas.openxmlformats.org/officeDocument/2006/relationships/hyperlink" Target="https://drive.google.com/open?id=1pfIN1w2EZka5MkaiRwoQxUzv8br_Uc_Z" TargetMode="External"/><Relationship Id="rId139" Type="http://schemas.openxmlformats.org/officeDocument/2006/relationships/hyperlink" Target="https://drive.google.com/open?id=1b7DRD2UpQYxLatlDeyiij5SOSEgoTbr6" TargetMode="External"/><Relationship Id="rId138" Type="http://schemas.openxmlformats.org/officeDocument/2006/relationships/hyperlink" Target="https://drive.google.com/open?id=1PhV3h7mBVRDoSjE4KqM2J08rF_oAQuBA" TargetMode="External"/><Relationship Id="rId259" Type="http://schemas.openxmlformats.org/officeDocument/2006/relationships/hyperlink" Target="https://drive.google.com/open?id=1QzDbrcb2wslDZ5V0mrgPqfSd5INYpKNB" TargetMode="External"/><Relationship Id="rId137" Type="http://schemas.openxmlformats.org/officeDocument/2006/relationships/hyperlink" Target="https://drive.google.com/open?id=1n67VoJs2tOUtMsO8L6jPORcTh3P58VCE" TargetMode="External"/><Relationship Id="rId258" Type="http://schemas.openxmlformats.org/officeDocument/2006/relationships/hyperlink" Target="https://drive.google.com/open?id=1UkDiNNq-bXGKQzRfiljcIBN_oWdlDzbJ" TargetMode="External"/><Relationship Id="rId132" Type="http://schemas.openxmlformats.org/officeDocument/2006/relationships/hyperlink" Target="https://drive.google.com/open?id=1TQ_SI6sVMBRys5YF7dZHVcr34aOok5w5" TargetMode="External"/><Relationship Id="rId253" Type="http://schemas.openxmlformats.org/officeDocument/2006/relationships/hyperlink" Target="https://drive.google.com/open?id=1COLhHqUgE27yRvQu6m9uFOPWZNZMG72b" TargetMode="External"/><Relationship Id="rId131" Type="http://schemas.openxmlformats.org/officeDocument/2006/relationships/hyperlink" Target="https://drive.google.com/open?id=1kGxVBJF3bNNAskNowKahVY3_oYHpjh9d" TargetMode="External"/><Relationship Id="rId252" Type="http://schemas.openxmlformats.org/officeDocument/2006/relationships/hyperlink" Target="https://drive.google.com/open?id=1zFNlUGkfW-3QJCN6DTcENLGXjiLhNvF_" TargetMode="External"/><Relationship Id="rId130" Type="http://schemas.openxmlformats.org/officeDocument/2006/relationships/hyperlink" Target="https://drive.google.com/open?id=18NGUUmUNgDavF97rwg-iG-f1JTjXjnOq" TargetMode="External"/><Relationship Id="rId251" Type="http://schemas.openxmlformats.org/officeDocument/2006/relationships/hyperlink" Target="https://drive.google.com/open?id=1RxXDUwkmL12rxhTZwXJxI5zBjLPmo31P" TargetMode="External"/><Relationship Id="rId250" Type="http://schemas.openxmlformats.org/officeDocument/2006/relationships/hyperlink" Target="https://drive.google.com/open?id=1ojE8EJB_zVdiuN7lEqsAzeOPUtb4EF3P" TargetMode="External"/><Relationship Id="rId136" Type="http://schemas.openxmlformats.org/officeDocument/2006/relationships/hyperlink" Target="https://drive.google.com/open?id=1HY6KQY8XtYD2_Ecpp0pm9ypCEkcaVHpY" TargetMode="External"/><Relationship Id="rId257" Type="http://schemas.openxmlformats.org/officeDocument/2006/relationships/hyperlink" Target="https://drive.google.com/open?id=1aHcme2mccfh_LAshGBpEqstcKSGo0KuP" TargetMode="External"/><Relationship Id="rId135" Type="http://schemas.openxmlformats.org/officeDocument/2006/relationships/hyperlink" Target="https://drive.google.com/open?id=1pViPLkFcfWxbNYLGR7ihpc_zgF9GSfU-" TargetMode="External"/><Relationship Id="rId256" Type="http://schemas.openxmlformats.org/officeDocument/2006/relationships/hyperlink" Target="https://drive.google.com/open?id=1bNdxOkk4TUEVIb2Irej5Yt9BedZ4oJEI" TargetMode="External"/><Relationship Id="rId134" Type="http://schemas.openxmlformats.org/officeDocument/2006/relationships/hyperlink" Target="https://drive.google.com/open?id=1K58vq-X3_D4sD85X8SWEhNq4-YRiNvAy" TargetMode="External"/><Relationship Id="rId255" Type="http://schemas.openxmlformats.org/officeDocument/2006/relationships/hyperlink" Target="https://drive.google.com/open?id=1suYZP2jC3rb38ERJbneaSJQqx39GEg2_" TargetMode="External"/><Relationship Id="rId133" Type="http://schemas.openxmlformats.org/officeDocument/2006/relationships/hyperlink" Target="https://drive.google.com/open?id=1kLlz2THMfCAbOZQ5-cUDHCAZy7LCP3q0" TargetMode="External"/><Relationship Id="rId254" Type="http://schemas.openxmlformats.org/officeDocument/2006/relationships/hyperlink" Target="https://drive.google.com/open?id=1hYji2xBgC5bkohW1IjSYLFGXc7S5FX7u" TargetMode="External"/><Relationship Id="rId62" Type="http://schemas.openxmlformats.org/officeDocument/2006/relationships/hyperlink" Target="https://drive.google.com/open?id=11q2A4S-a560m5SXvaXoI8WkuikkEKoXz" TargetMode="External"/><Relationship Id="rId61" Type="http://schemas.openxmlformats.org/officeDocument/2006/relationships/hyperlink" Target="https://drive.google.com/open?id=1u0KV81Bs_semyVm68GOOMR3RBrDwwzDs" TargetMode="External"/><Relationship Id="rId64" Type="http://schemas.openxmlformats.org/officeDocument/2006/relationships/hyperlink" Target="https://drive.google.com/open?id=1wAJJC5FKd4c3Pt9bV2ocEepQkNlHE1LP" TargetMode="External"/><Relationship Id="rId63" Type="http://schemas.openxmlformats.org/officeDocument/2006/relationships/hyperlink" Target="https://drive.google.com/open?id=1hSVQOn5vjrkjpo6hQ1wA9r9jyYmYPMkd" TargetMode="External"/><Relationship Id="rId66" Type="http://schemas.openxmlformats.org/officeDocument/2006/relationships/hyperlink" Target="https://drive.google.com/open?id=1vxUQ9hFPk702G4Yf2KFeBUweIh09TaZ3" TargetMode="External"/><Relationship Id="rId172" Type="http://schemas.openxmlformats.org/officeDocument/2006/relationships/hyperlink" Target="https://drive.google.com/open?id=1oECwMRoBeiwcOheRS0qm_bl9_cxCWc4I" TargetMode="External"/><Relationship Id="rId293" Type="http://schemas.openxmlformats.org/officeDocument/2006/relationships/hyperlink" Target="https://drive.google.com/open?id=1eHZQarREUlo2M4Y9ISzcPEFrF_0KaOpQ" TargetMode="External"/><Relationship Id="rId65" Type="http://schemas.openxmlformats.org/officeDocument/2006/relationships/hyperlink" Target="https://drive.google.com/open?id=1L3BlAm41S36OcerCltBuGA1bLjEmdJVn" TargetMode="External"/><Relationship Id="rId171" Type="http://schemas.openxmlformats.org/officeDocument/2006/relationships/hyperlink" Target="https://drive.google.com/open?id=1JPq1M73RwwETgH7CUWl05NSKXkHzZSDq" TargetMode="External"/><Relationship Id="rId292" Type="http://schemas.openxmlformats.org/officeDocument/2006/relationships/hyperlink" Target="https://drive.google.com/open?id=1n3588ttyRncXowfWtxOKXcL2EVi4WAuI" TargetMode="External"/><Relationship Id="rId68" Type="http://schemas.openxmlformats.org/officeDocument/2006/relationships/hyperlink" Target="https://drive.google.com/open?id=1QEH2ZIGwpzaaAJ5APWdhllHR1CPneixC" TargetMode="External"/><Relationship Id="rId170" Type="http://schemas.openxmlformats.org/officeDocument/2006/relationships/hyperlink" Target="https://drive.google.com/open?id=1cgIUF_EUcz6KmdUPZ8EJwBHs3IFpN4R3" TargetMode="External"/><Relationship Id="rId291" Type="http://schemas.openxmlformats.org/officeDocument/2006/relationships/hyperlink" Target="https://drive.google.com/open?id=1lCUattGk_geQ5SUZTM1K7KO8Rvuqb_QR" TargetMode="External"/><Relationship Id="rId67" Type="http://schemas.openxmlformats.org/officeDocument/2006/relationships/hyperlink" Target="https://drive.google.com/open?id=1VM6YYhbgKCuZYSY0icZYYE1feVR67WCf" TargetMode="External"/><Relationship Id="rId290" Type="http://schemas.openxmlformats.org/officeDocument/2006/relationships/hyperlink" Target="https://drive.google.com/open?id=1VFTaC1InHJ5PZe8tJmVnXssas7Tfb-v-" TargetMode="External"/><Relationship Id="rId60" Type="http://schemas.openxmlformats.org/officeDocument/2006/relationships/hyperlink" Target="https://drive.google.com/open?id=1orn8nKmFQgQw8Gvw469qL2TFkroyQDNr" TargetMode="External"/><Relationship Id="rId165" Type="http://schemas.openxmlformats.org/officeDocument/2006/relationships/hyperlink" Target="https://drive.google.com/open?id=1O9-Tc-bxiKr8friY7E5frBzipCMlrcuV" TargetMode="External"/><Relationship Id="rId286" Type="http://schemas.openxmlformats.org/officeDocument/2006/relationships/hyperlink" Target="https://drive.google.com/open?id=1wyqvn_EwN64-HR2U7bBy5laIdcuA3oaG" TargetMode="External"/><Relationship Id="rId69" Type="http://schemas.openxmlformats.org/officeDocument/2006/relationships/hyperlink" Target="https://drive.google.com/open?id=1oYaRzIH2mvuzYsWVmAdC1dVq36LyJvBJ" TargetMode="External"/><Relationship Id="rId164" Type="http://schemas.openxmlformats.org/officeDocument/2006/relationships/hyperlink" Target="https://drive.google.com/open?id=15RP6Al6Y9aqkRf_-NdlemPGrDkpVvCtp" TargetMode="External"/><Relationship Id="rId285" Type="http://schemas.openxmlformats.org/officeDocument/2006/relationships/hyperlink" Target="https://drive.google.com/open?id=1geNo0d8_9t1ALR4WpVIuEiTJt8s7PlXR" TargetMode="External"/><Relationship Id="rId163" Type="http://schemas.openxmlformats.org/officeDocument/2006/relationships/hyperlink" Target="https://drive.google.com/open?id=1mSXiK_Gv8BRiTywLqhXlcwaCWXwxE0gD" TargetMode="External"/><Relationship Id="rId284" Type="http://schemas.openxmlformats.org/officeDocument/2006/relationships/hyperlink" Target="https://drive.google.com/open?id=1qWA6_h2plQhMN0SZNZF5A5BWY1nOo2Za" TargetMode="External"/><Relationship Id="rId162" Type="http://schemas.openxmlformats.org/officeDocument/2006/relationships/hyperlink" Target="https://drive.google.com/open?id=1NtfdeGvhQ96uqe3gQQXfGowh7AN2chhT" TargetMode="External"/><Relationship Id="rId283" Type="http://schemas.openxmlformats.org/officeDocument/2006/relationships/hyperlink" Target="https://drive.google.com/open?id=1smFl4SX2vGY63UkYgQJFwlhdR89h0Qyq" TargetMode="External"/><Relationship Id="rId169" Type="http://schemas.openxmlformats.org/officeDocument/2006/relationships/hyperlink" Target="https://drive.google.com/open?id=1YknzceTKjyLn8iTpvwE-1_iqTFSSAvCS" TargetMode="External"/><Relationship Id="rId168" Type="http://schemas.openxmlformats.org/officeDocument/2006/relationships/hyperlink" Target="https://drive.google.com/open?id=1F5V9-Xa-BzyqAmdjXE_gt_lyE7A55fCN" TargetMode="External"/><Relationship Id="rId289" Type="http://schemas.openxmlformats.org/officeDocument/2006/relationships/hyperlink" Target="https://drive.google.com/open?id=1bwbwj0PcL2zUQ4jHXSzi3U4foTpdax_r" TargetMode="External"/><Relationship Id="rId167" Type="http://schemas.openxmlformats.org/officeDocument/2006/relationships/hyperlink" Target="https://drive.google.com/open?id=1H9iuLZ_3cL3pk7NWIlAJnHV9_io6xbVq" TargetMode="External"/><Relationship Id="rId288" Type="http://schemas.openxmlformats.org/officeDocument/2006/relationships/hyperlink" Target="https://drive.google.com/open?id=1Yh4FnaF7DTd0M_ypd_FRLT4gOltPW3mo" TargetMode="External"/><Relationship Id="rId166" Type="http://schemas.openxmlformats.org/officeDocument/2006/relationships/hyperlink" Target="https://drive.google.com/open?id=14tUVqAWrSWkxnHBYvv7RtFkst8VSw4G6" TargetMode="External"/><Relationship Id="rId287" Type="http://schemas.openxmlformats.org/officeDocument/2006/relationships/hyperlink" Target="https://drive.google.com/open?id=15uGdHVvbV9erXsDelT8wppr1Dp4Nc0GV" TargetMode="External"/><Relationship Id="rId51" Type="http://schemas.openxmlformats.org/officeDocument/2006/relationships/hyperlink" Target="https://drive.google.com/open?id=1giCiyMpjq83cvCex35Hh58-nNwvvrZ56" TargetMode="External"/><Relationship Id="rId50" Type="http://schemas.openxmlformats.org/officeDocument/2006/relationships/hyperlink" Target="https://drive.google.com/open?id=1UPBXGNTuqExpqQhq2_3iLRe3LHC_tIi4" TargetMode="External"/><Relationship Id="rId53" Type="http://schemas.openxmlformats.org/officeDocument/2006/relationships/hyperlink" Target="https://drive.google.com/open?id=14loeywxoTFas4tZd0AAvtVFHUriNMDnu" TargetMode="External"/><Relationship Id="rId52" Type="http://schemas.openxmlformats.org/officeDocument/2006/relationships/hyperlink" Target="https://drive.google.com/open?id=1TRBjU0sIUP8ZPBpsOYuE6Hg0ffPNpXqO" TargetMode="External"/><Relationship Id="rId55" Type="http://schemas.openxmlformats.org/officeDocument/2006/relationships/hyperlink" Target="https://drive.google.com/open?id=1saWdezcva4KHuqmG14qyzskUSlTGjUn3" TargetMode="External"/><Relationship Id="rId161" Type="http://schemas.openxmlformats.org/officeDocument/2006/relationships/hyperlink" Target="https://drive.google.com/open?id=1ZF9fO3PolkVwV2l_ajTzrQLd1wRDsKsT" TargetMode="External"/><Relationship Id="rId282" Type="http://schemas.openxmlformats.org/officeDocument/2006/relationships/hyperlink" Target="https://drive.google.com/open?id=1b0EqV1wlm0XUcDjE9IGjSglYuSKSBlUm" TargetMode="External"/><Relationship Id="rId54" Type="http://schemas.openxmlformats.org/officeDocument/2006/relationships/hyperlink" Target="https://drive.google.com/open?id=1WCcwYFtDLGYxGoTLXzujH9TfShkd4Ccx" TargetMode="External"/><Relationship Id="rId160" Type="http://schemas.openxmlformats.org/officeDocument/2006/relationships/hyperlink" Target="https://drive.google.com/open?id=1MaemvdGjJ1C2EB4WbnA66kogeqxIU7zz" TargetMode="External"/><Relationship Id="rId281" Type="http://schemas.openxmlformats.org/officeDocument/2006/relationships/hyperlink" Target="https://drive.google.com/open?id=19nAICaVxqKxnrMTRofq7EU9JE-VyvbIt" TargetMode="External"/><Relationship Id="rId57" Type="http://schemas.openxmlformats.org/officeDocument/2006/relationships/hyperlink" Target="https://drive.google.com/open?id=11bZfGffDX0suPUntPciXBBhyWpnlF1CQ" TargetMode="External"/><Relationship Id="rId280" Type="http://schemas.openxmlformats.org/officeDocument/2006/relationships/hyperlink" Target="https://drive.google.com/open?id=1JK_ig3gd-Oc7gm5SvJMODXWOH7Y1HFnA" TargetMode="External"/><Relationship Id="rId56" Type="http://schemas.openxmlformats.org/officeDocument/2006/relationships/hyperlink" Target="https://drive.google.com/open?id=1uqnxyDVGvuG4F2qYPEAPKnqM7_eoA78e" TargetMode="External"/><Relationship Id="rId159" Type="http://schemas.openxmlformats.org/officeDocument/2006/relationships/hyperlink" Target="https://drive.google.com/open?id=1JrNi8BoT8DMwZpb7YXu2DrT5HjQ8aihP" TargetMode="External"/><Relationship Id="rId59" Type="http://schemas.openxmlformats.org/officeDocument/2006/relationships/hyperlink" Target="https://drive.google.com/open?id=1eUKyD8kv7zn3jYem8WPUoXBDs0w3cZVL" TargetMode="External"/><Relationship Id="rId154" Type="http://schemas.openxmlformats.org/officeDocument/2006/relationships/hyperlink" Target="https://drive.google.com/open?id=1GSfSvvAUbuJ7bqFDpB5lgRhQksUVQZ33" TargetMode="External"/><Relationship Id="rId275" Type="http://schemas.openxmlformats.org/officeDocument/2006/relationships/hyperlink" Target="https://drive.google.com/open?id=1td8f5wgM01jd2aBGW7MHwst4JEl_0j3Q" TargetMode="External"/><Relationship Id="rId58" Type="http://schemas.openxmlformats.org/officeDocument/2006/relationships/hyperlink" Target="https://drive.google.com/open?id=1zqAXcrh6qxqxn7J-3vo_GtMF1UgX51j6" TargetMode="External"/><Relationship Id="rId153" Type="http://schemas.openxmlformats.org/officeDocument/2006/relationships/hyperlink" Target="https://drive.google.com/open?id=1nTa1VW6KcrCl4UckBQpZP_hrrZfv4RHl" TargetMode="External"/><Relationship Id="rId274" Type="http://schemas.openxmlformats.org/officeDocument/2006/relationships/hyperlink" Target="https://drive.google.com/open?id=1BFTRCedqU4YBM8wIzz7wuOppfrd8XS_Y" TargetMode="External"/><Relationship Id="rId152" Type="http://schemas.openxmlformats.org/officeDocument/2006/relationships/hyperlink" Target="https://drive.google.com/open?id=1kNNu9mSnVQwWUberDZGSN4B0rdmX_WrL" TargetMode="External"/><Relationship Id="rId273" Type="http://schemas.openxmlformats.org/officeDocument/2006/relationships/hyperlink" Target="https://drive.google.com/open?id=1D5zvHN5bJu1iWagQ8gsSpqABPG_PN-Y4" TargetMode="External"/><Relationship Id="rId151" Type="http://schemas.openxmlformats.org/officeDocument/2006/relationships/hyperlink" Target="https://drive.google.com/open?id=1F2vPOTyDXovCI2_46u_SdkKNY6NWiM8O" TargetMode="External"/><Relationship Id="rId272" Type="http://schemas.openxmlformats.org/officeDocument/2006/relationships/hyperlink" Target="https://drive.google.com/open?id=1dNAOjO1kVN9tYSovyEg0vwwSAqPyfSsT" TargetMode="External"/><Relationship Id="rId158" Type="http://schemas.openxmlformats.org/officeDocument/2006/relationships/hyperlink" Target="https://drive.google.com/open?id=1PtW2u2QauJXzMEnjy-moyzaB1vlRdwSO" TargetMode="External"/><Relationship Id="rId279" Type="http://schemas.openxmlformats.org/officeDocument/2006/relationships/hyperlink" Target="https://drive.google.com/open?id=1jCgnyLS5cy4AaCt-HC0CHmKdzyaV4Dx8" TargetMode="External"/><Relationship Id="rId157" Type="http://schemas.openxmlformats.org/officeDocument/2006/relationships/hyperlink" Target="https://drive.google.com/open?id=1cdE4BKX77erg1vn4erp-z6mfk6tFeqJj" TargetMode="External"/><Relationship Id="rId278" Type="http://schemas.openxmlformats.org/officeDocument/2006/relationships/hyperlink" Target="https://drive.google.com/open?id=1EDAUBB_w8CcTbG8DUtmj9bxewIUMywPs" TargetMode="External"/><Relationship Id="rId156" Type="http://schemas.openxmlformats.org/officeDocument/2006/relationships/hyperlink" Target="https://drive.google.com/open?id=1Z8H2aHe9FXxH12W2U3BtX70L179dkjGk" TargetMode="External"/><Relationship Id="rId277" Type="http://schemas.openxmlformats.org/officeDocument/2006/relationships/hyperlink" Target="https://drive.google.com/open?id=17hAuVjo98bw2I0ojdHB0Czk6NDEPSDD4" TargetMode="External"/><Relationship Id="rId155" Type="http://schemas.openxmlformats.org/officeDocument/2006/relationships/hyperlink" Target="https://drive.google.com/open?id=1lmPM-Zp-zPZGZscSldvCm-oqcknybxH_" TargetMode="External"/><Relationship Id="rId276" Type="http://schemas.openxmlformats.org/officeDocument/2006/relationships/hyperlink" Target="https://drive.google.com/open?id=1Vj9kIZ859INpvDcEwW69Y435zHU2F0AF" TargetMode="External"/><Relationship Id="rId107" Type="http://schemas.openxmlformats.org/officeDocument/2006/relationships/hyperlink" Target="https://drive.google.com/open?id=1XOAOWvmYcXyZzVWWn6dHMKqEQVw9Iccq" TargetMode="External"/><Relationship Id="rId228" Type="http://schemas.openxmlformats.org/officeDocument/2006/relationships/hyperlink" Target="https://drive.google.com/open?id=1nonuaUOC1hhwvPmV9iHi6GOb0FqbOxBg" TargetMode="External"/><Relationship Id="rId349" Type="http://schemas.openxmlformats.org/officeDocument/2006/relationships/hyperlink" Target="https://drive.google.com/open?id=1-iRjymIs5CRHNI4mBEQbWs9aT-UoSfGt" TargetMode="External"/><Relationship Id="rId106" Type="http://schemas.openxmlformats.org/officeDocument/2006/relationships/hyperlink" Target="https://drive.google.com/open?id=1hHPw7yhRQyIbkMcbhvL5QKWv7TDkHvMC" TargetMode="External"/><Relationship Id="rId227" Type="http://schemas.openxmlformats.org/officeDocument/2006/relationships/hyperlink" Target="https://drive.google.com/open?id=1-SbSXvPP40DodH_1-aEw0xZW5W6YIOqG" TargetMode="External"/><Relationship Id="rId348" Type="http://schemas.openxmlformats.org/officeDocument/2006/relationships/hyperlink" Target="https://drive.google.com/open?id=1gw2s1h2hIw1R_yxN11u7PrDEk1AFdb0h" TargetMode="External"/><Relationship Id="rId105" Type="http://schemas.openxmlformats.org/officeDocument/2006/relationships/hyperlink" Target="https://drive.google.com/open?id=1i6xOMv_oJ6Zkr2zD5J7H_UehSegCAXOc" TargetMode="External"/><Relationship Id="rId226" Type="http://schemas.openxmlformats.org/officeDocument/2006/relationships/hyperlink" Target="https://drive.google.com/open?id=1ZH9Tc9oCZqQWNaG_OLtGDNOQI0Ot82P_" TargetMode="External"/><Relationship Id="rId347" Type="http://schemas.openxmlformats.org/officeDocument/2006/relationships/hyperlink" Target="https://drive.google.com/open?id=1XOGJta8BCTnPUKbGzQ7JLdrKsErk-KZB" TargetMode="External"/><Relationship Id="rId104" Type="http://schemas.openxmlformats.org/officeDocument/2006/relationships/hyperlink" Target="https://drive.google.com/open?id=1gW5MVU9bH7-_scs0qDgneQy4NCjgvn6e" TargetMode="External"/><Relationship Id="rId225" Type="http://schemas.openxmlformats.org/officeDocument/2006/relationships/hyperlink" Target="https://drive.google.com/open?id=1TzBphwbArtGPcMknZKcwaAdRz5fapqcf" TargetMode="External"/><Relationship Id="rId346" Type="http://schemas.openxmlformats.org/officeDocument/2006/relationships/hyperlink" Target="https://drive.google.com/open?id=1IFOzkSYY88j1TfnbIwe_5dXY_-dz2MHk" TargetMode="External"/><Relationship Id="rId109" Type="http://schemas.openxmlformats.org/officeDocument/2006/relationships/hyperlink" Target="https://drive.google.com/open?id=1rRijY7r8veCK1gqZlsUeLiManq-B1SPp" TargetMode="External"/><Relationship Id="rId108" Type="http://schemas.openxmlformats.org/officeDocument/2006/relationships/hyperlink" Target="https://drive.google.com/open?id=1RmgxrEo0k00wJDLRiPGkS3NFJVpOdmV5" TargetMode="External"/><Relationship Id="rId229" Type="http://schemas.openxmlformats.org/officeDocument/2006/relationships/hyperlink" Target="https://drive.google.com/open?id=1nxJ_hyDN5_kJLq3TPs7Vl4-sPiDhjTt4" TargetMode="External"/><Relationship Id="rId220" Type="http://schemas.openxmlformats.org/officeDocument/2006/relationships/hyperlink" Target="https://drive.google.com/open?id=18A_3slnfUMjy5KwAYItqPIYDTuAYR8wk" TargetMode="External"/><Relationship Id="rId341" Type="http://schemas.openxmlformats.org/officeDocument/2006/relationships/hyperlink" Target="https://drive.google.com/open?id=1cWGhk0qujRLGuLoFeqJezYbCk_JjfbWK" TargetMode="External"/><Relationship Id="rId340" Type="http://schemas.openxmlformats.org/officeDocument/2006/relationships/hyperlink" Target="https://drive.google.com/open?id=145v_t0weZfirZwroOI5P2vK163wv88mQ" TargetMode="External"/><Relationship Id="rId103" Type="http://schemas.openxmlformats.org/officeDocument/2006/relationships/hyperlink" Target="https://drive.google.com/open?id=1DcBc4Vrl4xEtUlBGyKZNhmqPqQSjk9Jr" TargetMode="External"/><Relationship Id="rId224" Type="http://schemas.openxmlformats.org/officeDocument/2006/relationships/hyperlink" Target="https://drive.google.com/open?id=1YnTbC6SeMpXp6bbBoU_yGN-u7i4bV9zX" TargetMode="External"/><Relationship Id="rId345" Type="http://schemas.openxmlformats.org/officeDocument/2006/relationships/hyperlink" Target="https://drive.google.com/open?id=1GEZqfn3POgMcXxtyV8q7vEXp4tDXTcdS" TargetMode="External"/><Relationship Id="rId102" Type="http://schemas.openxmlformats.org/officeDocument/2006/relationships/hyperlink" Target="https://drive.google.com/open?id=1-Tzxkpa6oR9wOl9BBAbSS-QQaezB1Yfx" TargetMode="External"/><Relationship Id="rId223" Type="http://schemas.openxmlformats.org/officeDocument/2006/relationships/hyperlink" Target="https://drive.google.com/open?id=1cJABKYLLw483ki1n4FpsXUFyrOMNLwmx" TargetMode="External"/><Relationship Id="rId344" Type="http://schemas.openxmlformats.org/officeDocument/2006/relationships/hyperlink" Target="https://drive.google.com/open?id=18rtWxhfwM06MtINsr4-yfNOHm_0GHLN9" TargetMode="External"/><Relationship Id="rId101" Type="http://schemas.openxmlformats.org/officeDocument/2006/relationships/hyperlink" Target="https://drive.google.com/open?id=18WoQwIqoiRb7gl4nYRENoNTSfpgbMMi1" TargetMode="External"/><Relationship Id="rId222" Type="http://schemas.openxmlformats.org/officeDocument/2006/relationships/hyperlink" Target="https://drive.google.com/open?id=1eJWB14r1JXfPjhFrDe-4BBjWmU_vE6Bm" TargetMode="External"/><Relationship Id="rId343" Type="http://schemas.openxmlformats.org/officeDocument/2006/relationships/hyperlink" Target="https://drive.google.com/open?id=11diA2ko_1PHR6Nt-7qLO4pc9MRK6Dn9Q" TargetMode="External"/><Relationship Id="rId100" Type="http://schemas.openxmlformats.org/officeDocument/2006/relationships/hyperlink" Target="https://drive.google.com/open?id=15OurG0d6XBkI-GApGO22rlChiXcdW8Ab" TargetMode="External"/><Relationship Id="rId221" Type="http://schemas.openxmlformats.org/officeDocument/2006/relationships/hyperlink" Target="https://drive.google.com/open?id=1PhcEVl9aaqchDn9cyK9D5-ZV5R7E-TFj" TargetMode="External"/><Relationship Id="rId342" Type="http://schemas.openxmlformats.org/officeDocument/2006/relationships/hyperlink" Target="https://drive.google.com/open?id=1z37jeTFZX8NJAdWUjXFcTwmc_jfU0HUw" TargetMode="External"/><Relationship Id="rId217" Type="http://schemas.openxmlformats.org/officeDocument/2006/relationships/hyperlink" Target="https://drive.google.com/open?id=1JCC-kJgkCg-VjGEIAH9PwTB8SqliAL3M" TargetMode="External"/><Relationship Id="rId338" Type="http://schemas.openxmlformats.org/officeDocument/2006/relationships/hyperlink" Target="https://drive.google.com/open?id=1DzbjmsIL5GsUi9FuEjhLE-oUTn-A0bxS" TargetMode="External"/><Relationship Id="rId216" Type="http://schemas.openxmlformats.org/officeDocument/2006/relationships/hyperlink" Target="https://drive.google.com/open?id=1QQ4qsQB6OvPk8d9EL-A1-AakugjIQaPu" TargetMode="External"/><Relationship Id="rId337" Type="http://schemas.openxmlformats.org/officeDocument/2006/relationships/hyperlink" Target="https://drive.google.com/open?id=1A3ur4BgitUehUkyYQG-IuqqRD2gAo771" TargetMode="External"/><Relationship Id="rId215" Type="http://schemas.openxmlformats.org/officeDocument/2006/relationships/hyperlink" Target="https://drive.google.com/open?id=1S77zTjx1kb-2Mn_VPX-zI6mHg2VY2aUN" TargetMode="External"/><Relationship Id="rId336" Type="http://schemas.openxmlformats.org/officeDocument/2006/relationships/hyperlink" Target="https://drive.google.com/open?id=1m_3D4X16xD2ZHSMTBA3eyz1Y1iYTaA1P" TargetMode="External"/><Relationship Id="rId214" Type="http://schemas.openxmlformats.org/officeDocument/2006/relationships/hyperlink" Target="https://drive.google.com/open?id=1tCrRMljfqOY3BEkJbYaDY8oXMjRuklrq" TargetMode="External"/><Relationship Id="rId335" Type="http://schemas.openxmlformats.org/officeDocument/2006/relationships/hyperlink" Target="https://drive.google.com/open?id=1hqPxasvUmKWL0k3ZEuur9j6D7t8sqNTP" TargetMode="External"/><Relationship Id="rId219" Type="http://schemas.openxmlformats.org/officeDocument/2006/relationships/hyperlink" Target="https://drive.google.com/open?id=1InfwOS7UENuZBngPQ_-fnCsXKiJbCqVy" TargetMode="External"/><Relationship Id="rId218" Type="http://schemas.openxmlformats.org/officeDocument/2006/relationships/hyperlink" Target="https://drive.google.com/open?id=1lD_CKTyfQh6hNZYoMpvOzinFra_-GChT" TargetMode="External"/><Relationship Id="rId339" Type="http://schemas.openxmlformats.org/officeDocument/2006/relationships/hyperlink" Target="https://drive.google.com/open?id=1tqw1udA8OXl77fGF_dcTUFy0j-d3Ehy7" TargetMode="External"/><Relationship Id="rId330" Type="http://schemas.openxmlformats.org/officeDocument/2006/relationships/hyperlink" Target="https://drive.google.com/open?id=1nylG8w_HZjQpZ6KUK5K1YV2zjqDtLPmA" TargetMode="External"/><Relationship Id="rId213" Type="http://schemas.openxmlformats.org/officeDocument/2006/relationships/hyperlink" Target="https://drive.google.com/open?id=1KgSK4qTVUwrWtD_sOSmyNjTHX-CFS1IC" TargetMode="External"/><Relationship Id="rId334" Type="http://schemas.openxmlformats.org/officeDocument/2006/relationships/hyperlink" Target="https://drive.google.com/open?id=1I26BKg_WVfPlouMaJkblNRXtT6sFbyzu" TargetMode="External"/><Relationship Id="rId212" Type="http://schemas.openxmlformats.org/officeDocument/2006/relationships/hyperlink" Target="https://drive.google.com/open?id=1Px7ix8F6hRFwWBshwysycYv7UZLg6qnS" TargetMode="External"/><Relationship Id="rId333" Type="http://schemas.openxmlformats.org/officeDocument/2006/relationships/hyperlink" Target="https://drive.google.com/open?id=1438_7rcTFxOU59XOngJyRIt_HV1Q8y2q" TargetMode="External"/><Relationship Id="rId211" Type="http://schemas.openxmlformats.org/officeDocument/2006/relationships/hyperlink" Target="https://drive.google.com/open?id=1f8x3OQx6WDu10JCm4Xl6bKCzyRE8nj0I" TargetMode="External"/><Relationship Id="rId332" Type="http://schemas.openxmlformats.org/officeDocument/2006/relationships/hyperlink" Target="https://drive.google.com/open?id=1TCo1P_UEw__AN2zTMUMTVficfPaEnDJR" TargetMode="External"/><Relationship Id="rId210" Type="http://schemas.openxmlformats.org/officeDocument/2006/relationships/hyperlink" Target="https://drive.google.com/open?id=16MvCKJRTQ1gi18zUY5_ZLKTcUdS3JgUB" TargetMode="External"/><Relationship Id="rId331" Type="http://schemas.openxmlformats.org/officeDocument/2006/relationships/hyperlink" Target="https://drive.google.com/open?id=1mOQyl17Mqi6IQ9-6ybDjhUbrU_FuHRuh" TargetMode="External"/><Relationship Id="rId129" Type="http://schemas.openxmlformats.org/officeDocument/2006/relationships/hyperlink" Target="https://drive.google.com/open?id=1ie7vjWcVOP53zK2qAAqEpOgBSt6gmT5R" TargetMode="External"/><Relationship Id="rId128" Type="http://schemas.openxmlformats.org/officeDocument/2006/relationships/hyperlink" Target="https://drive.google.com/open?id=17oVNM7VPN4Sx37CCTLP7JYNsF0LqGh8p" TargetMode="External"/><Relationship Id="rId249" Type="http://schemas.openxmlformats.org/officeDocument/2006/relationships/hyperlink" Target="https://drive.google.com/open?id=1I3SBZZk7JBVLrUswTD8JZJ_Q2bcqzh1d" TargetMode="External"/><Relationship Id="rId127" Type="http://schemas.openxmlformats.org/officeDocument/2006/relationships/hyperlink" Target="https://drive.google.com/open?id=1YVnz4O1L6cJDOzkBl0tdweaates-mNrQ" TargetMode="External"/><Relationship Id="rId248" Type="http://schemas.openxmlformats.org/officeDocument/2006/relationships/hyperlink" Target="https://drive.google.com/open?id=1R2gfkNGmrRYPDu7V_hz87rOBkIhOtyiT" TargetMode="External"/><Relationship Id="rId126" Type="http://schemas.openxmlformats.org/officeDocument/2006/relationships/hyperlink" Target="https://drive.google.com/open?id=1oO6r9OW5_ICOhRRNGdzxhfIKAq-_h2IG" TargetMode="External"/><Relationship Id="rId247" Type="http://schemas.openxmlformats.org/officeDocument/2006/relationships/hyperlink" Target="https://drive.google.com/open?id=18YqMsglIX6tc634fbr5tmoxX_ItIDrP1" TargetMode="External"/><Relationship Id="rId121" Type="http://schemas.openxmlformats.org/officeDocument/2006/relationships/hyperlink" Target="https://drive.google.com/open?id=1crFnhfpO5eI87LaNFkrCm78-Z71RXXoJ" TargetMode="External"/><Relationship Id="rId242" Type="http://schemas.openxmlformats.org/officeDocument/2006/relationships/hyperlink" Target="https://drive.google.com/open?id=1pNY_DzrKH68fiyLlyPLsv1vMBCHy4Ak3" TargetMode="External"/><Relationship Id="rId120" Type="http://schemas.openxmlformats.org/officeDocument/2006/relationships/hyperlink" Target="https://drive.google.com/open?id=19U35xI3PVyU5kWdR0er_gkIMxRQl0uNJ" TargetMode="External"/><Relationship Id="rId241" Type="http://schemas.openxmlformats.org/officeDocument/2006/relationships/hyperlink" Target="https://drive.google.com/open?id=1q-tsb485w7_N0l4aSbdlgTeSL1q31YIg" TargetMode="External"/><Relationship Id="rId240" Type="http://schemas.openxmlformats.org/officeDocument/2006/relationships/hyperlink" Target="https://drive.google.com/file/d/1R1sf3RppVtEYJuSqK_lO8atofJOf9Ysl/view?usp=sharing" TargetMode="External"/><Relationship Id="rId361" Type="http://schemas.openxmlformats.org/officeDocument/2006/relationships/drawing" Target="../drawings/drawing1.xml"/><Relationship Id="rId360" Type="http://schemas.openxmlformats.org/officeDocument/2006/relationships/hyperlink" Target="https://drive.google.com/open?id=1IgUBFFYH2GpF-uTFuDKOf2VrrJxNnI6q" TargetMode="External"/><Relationship Id="rId125" Type="http://schemas.openxmlformats.org/officeDocument/2006/relationships/hyperlink" Target="https://drive.google.com/open?id=1Kd-NN07jpPLgmYVMRg9PdpDNozcgqsd_" TargetMode="External"/><Relationship Id="rId246" Type="http://schemas.openxmlformats.org/officeDocument/2006/relationships/hyperlink" Target="https://drive.google.com/open?id=1MekeWXFqrTzOX2YFv7sHPWvwrsf1hISl" TargetMode="External"/><Relationship Id="rId124" Type="http://schemas.openxmlformats.org/officeDocument/2006/relationships/hyperlink" Target="https://drive.google.com/open?id=1ELPcv7Co0aE6z0YVKmS9fng0NcL1h6Gy" TargetMode="External"/><Relationship Id="rId245" Type="http://schemas.openxmlformats.org/officeDocument/2006/relationships/hyperlink" Target="https://drive.google.com/open?id=14mklnHXKAvsS2KOOUkUW8AuJbgcPfNmI" TargetMode="External"/><Relationship Id="rId123" Type="http://schemas.openxmlformats.org/officeDocument/2006/relationships/hyperlink" Target="https://drive.google.com/open?id=1MqiuDvqq6lTlP-JYi8W461vSProArtL_" TargetMode="External"/><Relationship Id="rId244" Type="http://schemas.openxmlformats.org/officeDocument/2006/relationships/hyperlink" Target="https://drive.google.com/open?id=1hKNswMkxPINf9f4X1gzW4iw41FWwuHHK" TargetMode="External"/><Relationship Id="rId122" Type="http://schemas.openxmlformats.org/officeDocument/2006/relationships/hyperlink" Target="https://drive.google.com/open?id=1dTcl9k_XFcfw9FsWctmy1ajWzpX_1T6R" TargetMode="External"/><Relationship Id="rId243" Type="http://schemas.openxmlformats.org/officeDocument/2006/relationships/hyperlink" Target="https://drive.google.com/open?id=16kaRRJLD-e2TQOqbGClJ5_9mPAWHEkiL" TargetMode="External"/><Relationship Id="rId95" Type="http://schemas.openxmlformats.org/officeDocument/2006/relationships/hyperlink" Target="https://drive.google.com/open?id=19nU1AIW39Q_hYQOEJlz1iMCojtnxEHKn" TargetMode="External"/><Relationship Id="rId94" Type="http://schemas.openxmlformats.org/officeDocument/2006/relationships/hyperlink" Target="https://drive.google.com/open?id=1dL2Kc1E5vDAQetmvVP60muMI2FZ60ftT" TargetMode="External"/><Relationship Id="rId97" Type="http://schemas.openxmlformats.org/officeDocument/2006/relationships/hyperlink" Target="https://drive.google.com/open?id=1OUgt3Tal_kJ5U6lverSgPiQDT5fHK1vh" TargetMode="External"/><Relationship Id="rId96" Type="http://schemas.openxmlformats.org/officeDocument/2006/relationships/hyperlink" Target="https://drive.google.com/open?id=1Ha2sNPMLwhAX6L_3XjYPROi2UAzgqjwH" TargetMode="External"/><Relationship Id="rId99" Type="http://schemas.openxmlformats.org/officeDocument/2006/relationships/hyperlink" Target="https://drive.google.com/open?id=1MfOHXXKx5u0qmCgC7KYAwjuLZoQaYzPt" TargetMode="External"/><Relationship Id="rId98" Type="http://schemas.openxmlformats.org/officeDocument/2006/relationships/hyperlink" Target="https://drive.google.com/open?id=1pRSfGVlW_pNryH5M6NQqX9J2S83x_h7R" TargetMode="External"/><Relationship Id="rId91" Type="http://schemas.openxmlformats.org/officeDocument/2006/relationships/hyperlink" Target="https://drive.google.com/open?id=1lUZl-HSkO0XCXzUgxD1ZnYFz8h-BQ8oK" TargetMode="External"/><Relationship Id="rId90" Type="http://schemas.openxmlformats.org/officeDocument/2006/relationships/hyperlink" Target="https://drive.google.com/open?id=19Y6nMCebYxLVt7HmtnJxCut1NGAnZL-y" TargetMode="External"/><Relationship Id="rId93" Type="http://schemas.openxmlformats.org/officeDocument/2006/relationships/hyperlink" Target="https://drive.google.com/open?id=1RN9q2_4HueYDPT7TeRcWm2_5er1geg6V" TargetMode="External"/><Relationship Id="rId92" Type="http://schemas.openxmlformats.org/officeDocument/2006/relationships/hyperlink" Target="https://drive.google.com/open?id=1TV0TRvbFmUfMVOX1JI2ANTf0bcImdhYe" TargetMode="External"/><Relationship Id="rId118" Type="http://schemas.openxmlformats.org/officeDocument/2006/relationships/hyperlink" Target="https://drive.google.com/open?id=1dP-Nf6QjmSmycXDG0fYS-dNuHd5hkHpz" TargetMode="External"/><Relationship Id="rId239" Type="http://schemas.openxmlformats.org/officeDocument/2006/relationships/hyperlink" Target="https://drive.google.com/open?id=1NLVDx3gSBE8XY422HjNPEpaHeLSkjAoo" TargetMode="External"/><Relationship Id="rId117" Type="http://schemas.openxmlformats.org/officeDocument/2006/relationships/hyperlink" Target="https://drive.google.com/open?id=1n4kGD4OgD7Guq1MzwKdDHMFb2GhH2x9o" TargetMode="External"/><Relationship Id="rId238" Type="http://schemas.openxmlformats.org/officeDocument/2006/relationships/hyperlink" Target="https://drive.google.com/open?id=1yQew3pLjgkE9USLh3vdOT8m3xgG8GvqS" TargetMode="External"/><Relationship Id="rId359" Type="http://schemas.openxmlformats.org/officeDocument/2006/relationships/hyperlink" Target="https://drive.google.com/open?id=131u8eJtbxtGiJwTKI4lERsfUPLFJC72Y" TargetMode="External"/><Relationship Id="rId116" Type="http://schemas.openxmlformats.org/officeDocument/2006/relationships/hyperlink" Target="https://drive.google.com/open?id=1vE579m3vzSYcNeoGZArK8WOztFpU07tF" TargetMode="External"/><Relationship Id="rId237" Type="http://schemas.openxmlformats.org/officeDocument/2006/relationships/hyperlink" Target="https://drive.google.com/open?id=1_KjmvHsyVDwQTU56W-o4RMzW7sJbn7-s" TargetMode="External"/><Relationship Id="rId358" Type="http://schemas.openxmlformats.org/officeDocument/2006/relationships/hyperlink" Target="https://drive.google.com/open?id=1vuOFOr6BLBqsjlm5UlJ9iQjH_Vt_mpbd" TargetMode="External"/><Relationship Id="rId115" Type="http://schemas.openxmlformats.org/officeDocument/2006/relationships/hyperlink" Target="https://drive.google.com/open?id=1Mto3Qcz5BLglADKUgeNaJ-Ezde6AIyCx" TargetMode="External"/><Relationship Id="rId236" Type="http://schemas.openxmlformats.org/officeDocument/2006/relationships/hyperlink" Target="https://drive.google.com/open?id=1fKIMb-4ghuegNaky2_3cEvbI7fLbgv_g" TargetMode="External"/><Relationship Id="rId357" Type="http://schemas.openxmlformats.org/officeDocument/2006/relationships/hyperlink" Target="https://drive.google.com/open?id=1LCsHDaOkNTn5EqP9cpwTJyGqdno7Buhk" TargetMode="External"/><Relationship Id="rId119" Type="http://schemas.openxmlformats.org/officeDocument/2006/relationships/hyperlink" Target="https://drive.google.com/open?id=1jeJ00ZpLN1sBYw5WEHSKTQfoHbq218jR" TargetMode="External"/><Relationship Id="rId110" Type="http://schemas.openxmlformats.org/officeDocument/2006/relationships/hyperlink" Target="https://drive.google.com/open?id=1Dk7HuZWmiXTSJopziY0-n5YPfu7MR0h6" TargetMode="External"/><Relationship Id="rId231" Type="http://schemas.openxmlformats.org/officeDocument/2006/relationships/hyperlink" Target="https://drive.google.com/open?id=1vE3PGQEUrGVsctnIneHGhJ9M8okweaNF" TargetMode="External"/><Relationship Id="rId352" Type="http://schemas.openxmlformats.org/officeDocument/2006/relationships/hyperlink" Target="https://drive.google.com/open?id=11ZRVoFp15Y_rblPkOhLhMnsOSPac5Kc6" TargetMode="External"/><Relationship Id="rId230" Type="http://schemas.openxmlformats.org/officeDocument/2006/relationships/hyperlink" Target="https://drive.google.com/open?id=1VUp16rt6H3EuVnbSSP_Ub3MyzushvHaN" TargetMode="External"/><Relationship Id="rId351" Type="http://schemas.openxmlformats.org/officeDocument/2006/relationships/hyperlink" Target="https://drive.google.com/open?id=1XpS5MoKjxUVaJkUZXG6tOhvfJNxKBJba" TargetMode="External"/><Relationship Id="rId350" Type="http://schemas.openxmlformats.org/officeDocument/2006/relationships/hyperlink" Target="https://drive.google.com/open?id=1HHPtt72EEq0mC93LTmre4fYw4HT1VGWp" TargetMode="External"/><Relationship Id="rId114" Type="http://schemas.openxmlformats.org/officeDocument/2006/relationships/hyperlink" Target="https://drive.google.com/open?id=1jvVp9IvQxp8n5YjDmTGH4GwotOGYoTDl" TargetMode="External"/><Relationship Id="rId235" Type="http://schemas.openxmlformats.org/officeDocument/2006/relationships/hyperlink" Target="https://drive.google.com/open?id=15XU2Edg5hKgaGA36w2cPnJFhNkeJxpIL" TargetMode="External"/><Relationship Id="rId356" Type="http://schemas.openxmlformats.org/officeDocument/2006/relationships/hyperlink" Target="https://drive.google.com/open?id=1HGYHY3AKX90MEqiYxSosW8Lwsw7C5ogi" TargetMode="External"/><Relationship Id="rId113" Type="http://schemas.openxmlformats.org/officeDocument/2006/relationships/hyperlink" Target="https://drive.google.com/open?id=1WkZCRJd8qAkmKtWiCTQTpB2Ob4YXYnyT" TargetMode="External"/><Relationship Id="rId234" Type="http://schemas.openxmlformats.org/officeDocument/2006/relationships/hyperlink" Target="https://drive.google.com/open?id=1KNIEG6etVggPkI1JnYuOwMGPlOLEKYHO" TargetMode="External"/><Relationship Id="rId355" Type="http://schemas.openxmlformats.org/officeDocument/2006/relationships/hyperlink" Target="https://drive.google.com/open?id=1P-ZxuvrEAKksGXFdnP1OH2YW4HiLUIyv" TargetMode="External"/><Relationship Id="rId112" Type="http://schemas.openxmlformats.org/officeDocument/2006/relationships/hyperlink" Target="https://drive.google.com/open?id=13MPKfvHPEFT1H9mpm81Y_ljbrNm645ER" TargetMode="External"/><Relationship Id="rId233" Type="http://schemas.openxmlformats.org/officeDocument/2006/relationships/hyperlink" Target="https://drive.google.com/open?id=183JSz6WefVtsSV1bL-Euq18Ni4WCU7e8" TargetMode="External"/><Relationship Id="rId354" Type="http://schemas.openxmlformats.org/officeDocument/2006/relationships/hyperlink" Target="https://drive.google.com/open?id=1JHgNzV3p9ULC5zhzn6CeXZ-B_2XpI2VA" TargetMode="External"/><Relationship Id="rId111" Type="http://schemas.openxmlformats.org/officeDocument/2006/relationships/hyperlink" Target="https://drive.google.com/open?id=1co9EYbD_lmf6obZd9GoJFdW5NYroC4Ra" TargetMode="External"/><Relationship Id="rId232" Type="http://schemas.openxmlformats.org/officeDocument/2006/relationships/hyperlink" Target="https://drive.google.com/open?id=1eLNytA1Bq3B4CCgBltFwGY59mJLGuuAe" TargetMode="External"/><Relationship Id="rId353" Type="http://schemas.openxmlformats.org/officeDocument/2006/relationships/hyperlink" Target="https://drive.google.com/open?id=1p7T-fi9107pznOusxPvncd5GcVTcVia3" TargetMode="External"/><Relationship Id="rId305" Type="http://schemas.openxmlformats.org/officeDocument/2006/relationships/hyperlink" Target="https://drive.google.com/open?id=1oppJWJfWFAnYsS3YpVx9UllrjbA0J4Eh" TargetMode="External"/><Relationship Id="rId304" Type="http://schemas.openxmlformats.org/officeDocument/2006/relationships/hyperlink" Target="https://drive.google.com/open?id=1LhGBevzHugfyPt8SFRDog8NHQlrVR31S" TargetMode="External"/><Relationship Id="rId303" Type="http://schemas.openxmlformats.org/officeDocument/2006/relationships/hyperlink" Target="https://drive.google.com/open?id=1a7vJzkEZso83ALVP3cv57qPK_qdz_W-x" TargetMode="External"/><Relationship Id="rId302" Type="http://schemas.openxmlformats.org/officeDocument/2006/relationships/hyperlink" Target="https://drive.google.com/open?id=1aWiKIo0XrrEiM3wa6aEFqbv_Q-QNPC0r" TargetMode="External"/><Relationship Id="rId309" Type="http://schemas.openxmlformats.org/officeDocument/2006/relationships/hyperlink" Target="https://drive.google.com/open?id=1tTETiEudnu3MheB-mncknIhU6vyYn76-" TargetMode="External"/><Relationship Id="rId308" Type="http://schemas.openxmlformats.org/officeDocument/2006/relationships/hyperlink" Target="https://drive.google.com/open?id=1JS1lKDbgBZpl9B6vWKlvbmYIoNoPymKw" TargetMode="External"/><Relationship Id="rId307" Type="http://schemas.openxmlformats.org/officeDocument/2006/relationships/hyperlink" Target="https://drive.google.com/open?id=1w0fHx5844yZTHloAUAO1i9_bJ2iJ_ps7" TargetMode="External"/><Relationship Id="rId306" Type="http://schemas.openxmlformats.org/officeDocument/2006/relationships/hyperlink" Target="https://drive.google.com/open?id=1HSmnVDNLaYlYXIKXO38DiW3raZBUFaVv" TargetMode="External"/><Relationship Id="rId301" Type="http://schemas.openxmlformats.org/officeDocument/2006/relationships/hyperlink" Target="https://drive.google.com/open?id=1LU7tmkuarG3wxaeFt-Ooko4ho7PR7UAi" TargetMode="External"/><Relationship Id="rId300" Type="http://schemas.openxmlformats.org/officeDocument/2006/relationships/hyperlink" Target="https://drive.google.com/open?id=1Wl2wmGWRi3rsReO0oYNda8wnjldP9XkB" TargetMode="External"/><Relationship Id="rId206" Type="http://schemas.openxmlformats.org/officeDocument/2006/relationships/hyperlink" Target="https://drive.google.com/open?id=1469mQuqUYlNZ3rByO2nCaOHQCaNi_zCS" TargetMode="External"/><Relationship Id="rId327" Type="http://schemas.openxmlformats.org/officeDocument/2006/relationships/hyperlink" Target="https://drive.google.com/open?id=1PG8C5aqSd7wRvcesEKd9_OewnmqJrrVn" TargetMode="External"/><Relationship Id="rId205" Type="http://schemas.openxmlformats.org/officeDocument/2006/relationships/hyperlink" Target="https://drive.google.com/open?id=1i1VA5EEeF7jZOFIsmBibeh1QA5Jw_Ebx" TargetMode="External"/><Relationship Id="rId326" Type="http://schemas.openxmlformats.org/officeDocument/2006/relationships/hyperlink" Target="https://drive.google.com/open?id=1iUBUSkri7LEk8oLsv4rB7If0ihMMdCcn" TargetMode="External"/><Relationship Id="rId204" Type="http://schemas.openxmlformats.org/officeDocument/2006/relationships/hyperlink" Target="https://drive.google.com/open?id=1dnHvNAvALCW0uZ-oIdwdZnMcWzVMU18l" TargetMode="External"/><Relationship Id="rId325" Type="http://schemas.openxmlformats.org/officeDocument/2006/relationships/hyperlink" Target="https://drive.google.com/open?id=12OaTHwk8Ex87rU0_NklWekvmT7KFYslC" TargetMode="External"/><Relationship Id="rId203" Type="http://schemas.openxmlformats.org/officeDocument/2006/relationships/hyperlink" Target="https://drive.google.com/open?id=1yYncS4y7pHVQ7a6YjvrZXbvRVV31pn-5" TargetMode="External"/><Relationship Id="rId324" Type="http://schemas.openxmlformats.org/officeDocument/2006/relationships/hyperlink" Target="https://drive.google.com/open?id=14y6SmX-AXIk_fSbActSWhjrk1OUi9rQx" TargetMode="External"/><Relationship Id="rId209" Type="http://schemas.openxmlformats.org/officeDocument/2006/relationships/hyperlink" Target="https://drive.google.com/open?id=1yYF7eTjqaITMRxxqKU7Wwj5CWXPWbXtO" TargetMode="External"/><Relationship Id="rId208" Type="http://schemas.openxmlformats.org/officeDocument/2006/relationships/hyperlink" Target="https://drive.google.com/open?id=1gZFTwv88mK5emEMWS0uP3ig7G9Y5LCEU" TargetMode="External"/><Relationship Id="rId329" Type="http://schemas.openxmlformats.org/officeDocument/2006/relationships/hyperlink" Target="https://drive.google.com/open?id=1SjPn78D5BycRaqcQmJQMZoUZ22JPosUs" TargetMode="External"/><Relationship Id="rId207" Type="http://schemas.openxmlformats.org/officeDocument/2006/relationships/hyperlink" Target="https://drive.google.com/open?id=1wLw28C2LCzgdqCxET3VWP5sQ78s3odQY" TargetMode="External"/><Relationship Id="rId328" Type="http://schemas.openxmlformats.org/officeDocument/2006/relationships/hyperlink" Target="https://drive.google.com/open?id=1amvIQgW-dersLhrbyw0dTWY5gW6T6VG5" TargetMode="External"/><Relationship Id="rId202" Type="http://schemas.openxmlformats.org/officeDocument/2006/relationships/hyperlink" Target="https://drive.google.com/open?id=166lQYSYzbTCaugoAQgNlSjyl_rWLbSw2" TargetMode="External"/><Relationship Id="rId323" Type="http://schemas.openxmlformats.org/officeDocument/2006/relationships/hyperlink" Target="https://drive.google.com/open?id=1kvkOw2AY5GFW4iDV5nFnTKGsX10JgjHH" TargetMode="External"/><Relationship Id="rId201" Type="http://schemas.openxmlformats.org/officeDocument/2006/relationships/hyperlink" Target="https://drive.google.com/open?id=1iJva_lKWCkBkHRyRa5-mxpC8WSEfSZRU" TargetMode="External"/><Relationship Id="rId322" Type="http://schemas.openxmlformats.org/officeDocument/2006/relationships/hyperlink" Target="https://drive.google.com/open?id=1bnQ6r_ur_OnRiGSLZq_1cfZw_XMKrDQn" TargetMode="External"/><Relationship Id="rId200" Type="http://schemas.openxmlformats.org/officeDocument/2006/relationships/hyperlink" Target="https://drive.google.com/open?id=1RN6BLLeBN3ov8VuqeSePUHXycRvIV-t5" TargetMode="External"/><Relationship Id="rId321" Type="http://schemas.openxmlformats.org/officeDocument/2006/relationships/hyperlink" Target="https://drive.google.com/open?id=1Ck44dC1ntDeIK2SfdNvTaGT2hbMYBZ4z" TargetMode="External"/><Relationship Id="rId320" Type="http://schemas.openxmlformats.org/officeDocument/2006/relationships/hyperlink" Target="https://drive.google.com/open?id=12EqnfwarPxEJ8kvngi4O5nwJ8H9G4RjM" TargetMode="External"/><Relationship Id="rId316" Type="http://schemas.openxmlformats.org/officeDocument/2006/relationships/hyperlink" Target="https://drive.google.com/open?id=1xkI_hIwQBPtIvEV8BdygSAuMOhhaA3_M" TargetMode="External"/><Relationship Id="rId315" Type="http://schemas.openxmlformats.org/officeDocument/2006/relationships/hyperlink" Target="https://drive.google.com/open?id=1QUvQarZ5Un08uPYrey4IrJe2JlAvpAq2" TargetMode="External"/><Relationship Id="rId314" Type="http://schemas.openxmlformats.org/officeDocument/2006/relationships/hyperlink" Target="https://drive.google.com/open?id=1tZObZEXI29kWqjsdyteXrO9NwacWy_aY" TargetMode="External"/><Relationship Id="rId313" Type="http://schemas.openxmlformats.org/officeDocument/2006/relationships/hyperlink" Target="https://drive.google.com/open?id=1Soaa0XlZFkUqBV0RTGWVzseEcmcJDxqp" TargetMode="External"/><Relationship Id="rId319" Type="http://schemas.openxmlformats.org/officeDocument/2006/relationships/hyperlink" Target="https://drive.google.com/open?id=1gstjbdK2kXX9WCrRjGhP9s8I_3EyvHOQ" TargetMode="External"/><Relationship Id="rId318" Type="http://schemas.openxmlformats.org/officeDocument/2006/relationships/hyperlink" Target="https://drive.google.com/open?id=1MNP7ydyPaw_L09nikAi0D2QYqirJ6SH3" TargetMode="External"/><Relationship Id="rId317" Type="http://schemas.openxmlformats.org/officeDocument/2006/relationships/hyperlink" Target="https://drive.google.com/open?id=1zscq6sM1nnD-8c7RT2nT9pAxgSLY9L0C" TargetMode="External"/><Relationship Id="rId312" Type="http://schemas.openxmlformats.org/officeDocument/2006/relationships/hyperlink" Target="https://drive.google.com/open?id=1jTBmXqsE-WoKt-0vQoTWSVb0dhKa8ZRA" TargetMode="External"/><Relationship Id="rId311" Type="http://schemas.openxmlformats.org/officeDocument/2006/relationships/hyperlink" Target="https://drive.google.com/open?id=15pDB3Vp5o5DNSMMo4ktd6BET0_F4TTWQ" TargetMode="External"/><Relationship Id="rId310" Type="http://schemas.openxmlformats.org/officeDocument/2006/relationships/hyperlink" Target="https://drive.google.com/open?id=1kJ6mxF-61Qlp_vgb6c5wtJdaD7upH8n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o_FMRe9GaWlZieFHVVLndAC530JPoP_" TargetMode="External"/><Relationship Id="rId190" Type="http://schemas.openxmlformats.org/officeDocument/2006/relationships/hyperlink" Target="https://drive.google.com/open?id=1cJABKYLLw483ki1n4FpsXUFyrOMNLwmx" TargetMode="External"/><Relationship Id="rId42" Type="http://schemas.openxmlformats.org/officeDocument/2006/relationships/hyperlink" Target="https://drive.google.com/open?id=12-KRCjJKsgfx4lNJHCOUBMFuTHIy8Am4" TargetMode="External"/><Relationship Id="rId41" Type="http://schemas.openxmlformats.org/officeDocument/2006/relationships/hyperlink" Target="https://drive.google.com/open?id=1nt49C2cAJJcCTI8e1yReQ5mH4B8ySWOh" TargetMode="External"/><Relationship Id="rId44" Type="http://schemas.openxmlformats.org/officeDocument/2006/relationships/hyperlink" Target="https://drive.google.com/open?id=1Dk7HuZWmiXTSJopziY0-n5YPfu7MR0h6" TargetMode="External"/><Relationship Id="rId194" Type="http://schemas.openxmlformats.org/officeDocument/2006/relationships/hyperlink" Target="https://drive.google.com/open?id=1pRSfGVlW_pNryH5M6NQqX9J2S83x_h7R" TargetMode="External"/><Relationship Id="rId43" Type="http://schemas.openxmlformats.org/officeDocument/2006/relationships/hyperlink" Target="https://drive.google.com/open?id=1rRijY7r8veCK1gqZlsUeLiManq-B1SPp" TargetMode="External"/><Relationship Id="rId193" Type="http://schemas.openxmlformats.org/officeDocument/2006/relationships/hyperlink" Target="https://drive.google.com/open?id=1OUgt3Tal_kJ5U6lverSgPiQDT5fHK1vh" TargetMode="External"/><Relationship Id="rId46" Type="http://schemas.openxmlformats.org/officeDocument/2006/relationships/hyperlink" Target="https://drive.google.com/open?id=13MPKfvHPEFT1H9mpm81Y_ljbrNm645ER" TargetMode="External"/><Relationship Id="rId192" Type="http://schemas.openxmlformats.org/officeDocument/2006/relationships/hyperlink" Target="https://drive.google.com/open?id=1TzBphwbArtGPcMknZKcwaAdRz5fapqcf" TargetMode="External"/><Relationship Id="rId45" Type="http://schemas.openxmlformats.org/officeDocument/2006/relationships/hyperlink" Target="https://drive.google.com/open?id=1co9EYbD_lmf6obZd9GoJFdW5NYroC4Ra" TargetMode="External"/><Relationship Id="rId191" Type="http://schemas.openxmlformats.org/officeDocument/2006/relationships/hyperlink" Target="https://drive.google.com/open?id=1YnTbC6SeMpXp6bbBoU_yGN-u7i4bV9zX" TargetMode="External"/><Relationship Id="rId48" Type="http://schemas.openxmlformats.org/officeDocument/2006/relationships/hyperlink" Target="https://drive.google.com/open?id=1jvVp9IvQxp8n5YjDmTGH4GwotOGYoTDl" TargetMode="External"/><Relationship Id="rId187" Type="http://schemas.openxmlformats.org/officeDocument/2006/relationships/hyperlink" Target="https://drive.google.com/open?id=11diA2ko_1PHR6Nt-7qLO4pc9MRK6Dn9Q" TargetMode="External"/><Relationship Id="rId47" Type="http://schemas.openxmlformats.org/officeDocument/2006/relationships/hyperlink" Target="https://drive.google.com/open?id=1WkZCRJd8qAkmKtWiCTQTpB2Ob4YXYnyT" TargetMode="External"/><Relationship Id="rId186" Type="http://schemas.openxmlformats.org/officeDocument/2006/relationships/hyperlink" Target="https://drive.google.com/open?id=19Y6nMCebYxLVt7HmtnJxCut1NGAnZL-y" TargetMode="External"/><Relationship Id="rId185" Type="http://schemas.openxmlformats.org/officeDocument/2006/relationships/hyperlink" Target="https://drive.google.com/open?id=1XPBB4vaxsWE3V2xaJaiFp-cpXWaO0qiI" TargetMode="External"/><Relationship Id="rId49" Type="http://schemas.openxmlformats.org/officeDocument/2006/relationships/hyperlink" Target="https://drive.google.com/open?id=1vLcHNv3wAOVT23PC0DmqaPK8W9xo_LuY" TargetMode="External"/><Relationship Id="rId184" Type="http://schemas.openxmlformats.org/officeDocument/2006/relationships/hyperlink" Target="https://drive.google.com/open?id=1Udl5hilgT8IreNr1A-hPzNgDgS37OwBd" TargetMode="External"/><Relationship Id="rId189" Type="http://schemas.openxmlformats.org/officeDocument/2006/relationships/hyperlink" Target="https://drive.google.com/open?id=1GEZqfn3POgMcXxtyV8q7vEXp4tDXTcdS" TargetMode="External"/><Relationship Id="rId188" Type="http://schemas.openxmlformats.org/officeDocument/2006/relationships/hyperlink" Target="https://drive.google.com/open?id=18rtWxhfwM06MtINsr4-yfNOHm_0GHLN9" TargetMode="External"/><Relationship Id="rId31" Type="http://schemas.openxmlformats.org/officeDocument/2006/relationships/hyperlink" Target="https://drive.google.com/open?id=1i1VA5EEeF7jZOFIsmBibeh1QA5Jw_Ebx" TargetMode="External"/><Relationship Id="rId30" Type="http://schemas.openxmlformats.org/officeDocument/2006/relationships/hyperlink" Target="https://drive.google.com/open?id=11bZfGffDX0suPUntPciXBBhyWpnlF1CQ" TargetMode="External"/><Relationship Id="rId33" Type="http://schemas.openxmlformats.org/officeDocument/2006/relationships/hyperlink" Target="https://drive.google.com/open?id=1wLw28C2LCzgdqCxET3VWP5sQ78s3odQY" TargetMode="External"/><Relationship Id="rId183" Type="http://schemas.openxmlformats.org/officeDocument/2006/relationships/hyperlink" Target="https://drive.google.com/open?id=19U35xI3PVyU5kWdR0er_gkIMxRQl0uNJ" TargetMode="External"/><Relationship Id="rId32" Type="http://schemas.openxmlformats.org/officeDocument/2006/relationships/hyperlink" Target="https://drive.google.com/open?id=1469mQuqUYlNZ3rByO2nCaOHQCaNi_zCS" TargetMode="External"/><Relationship Id="rId182" Type="http://schemas.openxmlformats.org/officeDocument/2006/relationships/hyperlink" Target="https://drive.google.com/open?id=1jeJ00ZpLN1sBYw5WEHSKTQfoHbq218jR" TargetMode="External"/><Relationship Id="rId35" Type="http://schemas.openxmlformats.org/officeDocument/2006/relationships/hyperlink" Target="https://drive.google.com/open?id=1yYF7eTjqaITMRxxqKU7Wwj5CWXPWbXtO" TargetMode="External"/><Relationship Id="rId181" Type="http://schemas.openxmlformats.org/officeDocument/2006/relationships/hyperlink" Target="https://drive.google.com/open?id=1dP-Nf6QjmSmycXDG0fYS-dNuHd5hkHpz" TargetMode="External"/><Relationship Id="rId34" Type="http://schemas.openxmlformats.org/officeDocument/2006/relationships/hyperlink" Target="https://drive.google.com/open?id=1gZFTwv88mK5emEMWS0uP3ig7G9Y5LCEU" TargetMode="External"/><Relationship Id="rId180" Type="http://schemas.openxmlformats.org/officeDocument/2006/relationships/hyperlink" Target="https://drive.google.com/open?id=1Z7XmF2ITPqIZ-9GnXaw-dRcF9Yi1fp7l" TargetMode="External"/><Relationship Id="rId37" Type="http://schemas.openxmlformats.org/officeDocument/2006/relationships/hyperlink" Target="https://drive.google.com/open?id=1kHA09d3V7J60MT_2Z1n_pjwOqQ_KPkKi" TargetMode="External"/><Relationship Id="rId176" Type="http://schemas.openxmlformats.org/officeDocument/2006/relationships/hyperlink" Target="https://drive.google.com/open?id=1s2C31YHzNs-VL-WmRTUEXD7i3PUo9M58" TargetMode="External"/><Relationship Id="rId297" Type="http://schemas.openxmlformats.org/officeDocument/2006/relationships/hyperlink" Target="https://drive.google.com/open?id=1a7vJzkEZso83ALVP3cv57qPK_qdz_W-x" TargetMode="External"/><Relationship Id="rId36" Type="http://schemas.openxmlformats.org/officeDocument/2006/relationships/hyperlink" Target="https://drive.google.com/open?id=16MvCKJRTQ1gi18zUY5_ZLKTcUdS3JgUB" TargetMode="External"/><Relationship Id="rId175" Type="http://schemas.openxmlformats.org/officeDocument/2006/relationships/hyperlink" Target="https://drive.google.com/open?id=11HRj3joRgWQMRkK3w4ElWVKuLSTcrhXJ" TargetMode="External"/><Relationship Id="rId296" Type="http://schemas.openxmlformats.org/officeDocument/2006/relationships/hyperlink" Target="https://drive.google.com/open?id=1aWiKIo0XrrEiM3wa6aEFqbv_Q-QNPC0r" TargetMode="External"/><Relationship Id="rId39" Type="http://schemas.openxmlformats.org/officeDocument/2006/relationships/hyperlink" Target="https://drive.google.com/open?id=1zF_YA0e0G-2gqpqCXATzWwpYOp2Q-8dg" TargetMode="External"/><Relationship Id="rId174" Type="http://schemas.openxmlformats.org/officeDocument/2006/relationships/hyperlink" Target="https://drive.google.com/open?id=1uHC3jiYgYs3aDMFfDAP5CZlG8u0NRsrD" TargetMode="External"/><Relationship Id="rId295" Type="http://schemas.openxmlformats.org/officeDocument/2006/relationships/hyperlink" Target="https://drive.google.com/open?id=1LU7tmkuarG3wxaeFt-Ooko4ho7PR7UAi" TargetMode="External"/><Relationship Id="rId38" Type="http://schemas.openxmlformats.org/officeDocument/2006/relationships/hyperlink" Target="https://drive.google.com/open?id=13vH6wrDjk-rOXsfGCBEv9GkcEwsqWlg_" TargetMode="External"/><Relationship Id="rId173" Type="http://schemas.openxmlformats.org/officeDocument/2006/relationships/hyperlink" Target="https://drive.google.com/open?id=1nHusLx_iYPtXdbQE599kqd8AG7PjSeMU" TargetMode="External"/><Relationship Id="rId294" Type="http://schemas.openxmlformats.org/officeDocument/2006/relationships/hyperlink" Target="https://drive.google.com/open?id=1C3MNRMHUp9y7dPBuj-b0EvjKk7jDDB82" TargetMode="External"/><Relationship Id="rId179" Type="http://schemas.openxmlformats.org/officeDocument/2006/relationships/hyperlink" Target="https://drive.google.com/open?id=17ztmcLbdFny2LvDvvKOv14_XTxb7sFTo" TargetMode="External"/><Relationship Id="rId178" Type="http://schemas.openxmlformats.org/officeDocument/2006/relationships/hyperlink" Target="https://drive.google.com/open?id=188xaZpcmHkQPY_x6ARfUtldDcD0d30SM" TargetMode="External"/><Relationship Id="rId299" Type="http://schemas.openxmlformats.org/officeDocument/2006/relationships/hyperlink" Target="https://drive.google.com/open?id=1pNY_DzrKH68fiyLlyPLsv1vMBCHy4Ak3" TargetMode="External"/><Relationship Id="rId177" Type="http://schemas.openxmlformats.org/officeDocument/2006/relationships/hyperlink" Target="https://drive.google.com/open?id=1zHOKhb5azl7fsBHSJC8CDJVSbYIaGuJD" TargetMode="External"/><Relationship Id="rId298" Type="http://schemas.openxmlformats.org/officeDocument/2006/relationships/hyperlink" Target="https://drive.google.com/open?id=1q-tsb485w7_N0l4aSbdlgTeSL1q31YIg" TargetMode="External"/><Relationship Id="rId20" Type="http://schemas.openxmlformats.org/officeDocument/2006/relationships/hyperlink" Target="https://drive.google.com/open?id=1RN6BLLeBN3ov8VuqeSePUHXycRvIV-t5" TargetMode="External"/><Relationship Id="rId22" Type="http://schemas.openxmlformats.org/officeDocument/2006/relationships/hyperlink" Target="https://drive.google.com/open?id=1VM6YYhbgKCuZYSY0icZYYE1feVR67WCf" TargetMode="External"/><Relationship Id="rId21" Type="http://schemas.openxmlformats.org/officeDocument/2006/relationships/hyperlink" Target="https://drive.google.com/open?id=1iJva_lKWCkBkHRyRa5-mxpC8WSEfSZRU" TargetMode="External"/><Relationship Id="rId24" Type="http://schemas.openxmlformats.org/officeDocument/2006/relationships/hyperlink" Target="https://drive.google.com/open?id=1oYaRzIH2mvuzYsWVmAdC1dVq36LyJvBJ" TargetMode="External"/><Relationship Id="rId23" Type="http://schemas.openxmlformats.org/officeDocument/2006/relationships/hyperlink" Target="https://drive.google.com/open?id=1QEH2ZIGwpzaaAJ5APWdhllHR1CPneixC" TargetMode="External"/><Relationship Id="rId26" Type="http://schemas.openxmlformats.org/officeDocument/2006/relationships/hyperlink" Target="https://drive.google.com/open?id=1K5_qHKoRUbTcJ1VsSs-qfvmrQNjxRf_S" TargetMode="External"/><Relationship Id="rId25" Type="http://schemas.openxmlformats.org/officeDocument/2006/relationships/hyperlink" Target="https://drive.google.com/open?id=1FkizstfK1hleRA5Y-VwHG0JpGRMaWs9m" TargetMode="External"/><Relationship Id="rId28" Type="http://schemas.openxmlformats.org/officeDocument/2006/relationships/hyperlink" Target="https://drive.google.com/open?id=1saWdezcva4KHuqmG14qyzskUSlTGjUn3" TargetMode="External"/><Relationship Id="rId27" Type="http://schemas.openxmlformats.org/officeDocument/2006/relationships/hyperlink" Target="https://drive.google.com/open?id=1Rdv8nm_zfc1t2rXUa6nOdZjFVE95qmvV" TargetMode="External"/><Relationship Id="rId29" Type="http://schemas.openxmlformats.org/officeDocument/2006/relationships/hyperlink" Target="https://drive.google.com/open?id=1uqnxyDVGvuG4F2qYPEAPKnqM7_eoA78e" TargetMode="External"/><Relationship Id="rId11" Type="http://schemas.openxmlformats.org/officeDocument/2006/relationships/hyperlink" Target="https://drive.google.com/open?id=1zupyDAvI-xznYoEDHPvA7veJKR6tJ7a8" TargetMode="External"/><Relationship Id="rId10" Type="http://schemas.openxmlformats.org/officeDocument/2006/relationships/hyperlink" Target="https://drive.google.com/open?id=1MW3p6nW0zpa_IlgDxQ1emOxJCj7dh_bp" TargetMode="External"/><Relationship Id="rId13" Type="http://schemas.openxmlformats.org/officeDocument/2006/relationships/hyperlink" Target="https://drive.google.com/open?id=1cdE4BKX77erg1vn4erp-z6mfk6tFeqJj" TargetMode="External"/><Relationship Id="rId12" Type="http://schemas.openxmlformats.org/officeDocument/2006/relationships/hyperlink" Target="https://drive.google.com/open?id=10MxzYOnSbWxtfT20wRPIQ8aSFbuDu6Qv" TargetMode="External"/><Relationship Id="rId15" Type="http://schemas.openxmlformats.org/officeDocument/2006/relationships/hyperlink" Target="https://drive.google.com/open?id=1JrNi8BoT8DMwZpb7YXu2DrT5HjQ8aihP" TargetMode="External"/><Relationship Id="rId198" Type="http://schemas.openxmlformats.org/officeDocument/2006/relationships/hyperlink" Target="https://drive.google.com/open?id=1F5V9-Xa-BzyqAmdjXE_gt_lyE7A55fCN" TargetMode="External"/><Relationship Id="rId14" Type="http://schemas.openxmlformats.org/officeDocument/2006/relationships/hyperlink" Target="https://drive.google.com/open?id=1PtW2u2QauJXzMEnjy-moyzaB1vlRdwSO" TargetMode="External"/><Relationship Id="rId197" Type="http://schemas.openxmlformats.org/officeDocument/2006/relationships/hyperlink" Target="https://drive.google.com/open?id=1H9iuLZ_3cL3pk7NWIlAJnHV9_io6xbVq" TargetMode="External"/><Relationship Id="rId17" Type="http://schemas.openxmlformats.org/officeDocument/2006/relationships/hyperlink" Target="https://drive.google.com/open?id=10O5Fr8TNSs5fw7RvEONc8DwZ3209aos4" TargetMode="External"/><Relationship Id="rId196" Type="http://schemas.openxmlformats.org/officeDocument/2006/relationships/hyperlink" Target="https://drive.google.com/open?id=14tUVqAWrSWkxnHBYvv7RtFkst8VSw4G6" TargetMode="External"/><Relationship Id="rId16" Type="http://schemas.openxmlformats.org/officeDocument/2006/relationships/hyperlink" Target="https://drive.google.com/open?id=1Zxcpr4sdKniI14Rzxozisa8wVE8xFhqt" TargetMode="External"/><Relationship Id="rId195" Type="http://schemas.openxmlformats.org/officeDocument/2006/relationships/hyperlink" Target="https://drive.google.com/open?id=1MfOHXXKx5u0qmCgC7KYAwjuLZoQaYzPt" TargetMode="External"/><Relationship Id="rId19" Type="http://schemas.openxmlformats.org/officeDocument/2006/relationships/hyperlink" Target="https://drive.google.com/open?id=1ENIe442SAmcbBfGiDVkoLiZFjlycBFup" TargetMode="External"/><Relationship Id="rId18" Type="http://schemas.openxmlformats.org/officeDocument/2006/relationships/hyperlink" Target="https://drive.google.com/open?id=1-fVGAyy9hFZMuoGyAnaM8KH_ziYIHURi" TargetMode="External"/><Relationship Id="rId199" Type="http://schemas.openxmlformats.org/officeDocument/2006/relationships/hyperlink" Target="https://drive.google.com/open?id=1yys809xMIp4Ezxd13TK3PXyOqUMNb2sa" TargetMode="External"/><Relationship Id="rId84" Type="http://schemas.openxmlformats.org/officeDocument/2006/relationships/hyperlink" Target="https://drive.google.com/open?id=1Ax1mHWa1MHz0Zo7GLpRE7ARC7houVUio" TargetMode="External"/><Relationship Id="rId83" Type="http://schemas.openxmlformats.org/officeDocument/2006/relationships/hyperlink" Target="https://drive.google.com/open?id=142L8JHWPFNn-e0D1FCKKNCBxNquF_05g" TargetMode="External"/><Relationship Id="rId86" Type="http://schemas.openxmlformats.org/officeDocument/2006/relationships/hyperlink" Target="https://drive.google.com/open?id=1n67VoJs2tOUtMsO8L6jPORcTh3P58VCE" TargetMode="External"/><Relationship Id="rId85" Type="http://schemas.openxmlformats.org/officeDocument/2006/relationships/hyperlink" Target="https://drive.google.com/open?id=1HY6KQY8XtYD2_Ecpp0pm9ypCEkcaVHpY" TargetMode="External"/><Relationship Id="rId88" Type="http://schemas.openxmlformats.org/officeDocument/2006/relationships/hyperlink" Target="https://drive.google.com/open?id=106NMUH_26h6mGi-arodEfr7RG0fOghV5" TargetMode="External"/><Relationship Id="rId150" Type="http://schemas.openxmlformats.org/officeDocument/2006/relationships/hyperlink" Target="https://drive.google.com/open?id=1yyZIq1k0vVTPhLjBT6QnQNkpNIrdjz2X" TargetMode="External"/><Relationship Id="rId271" Type="http://schemas.openxmlformats.org/officeDocument/2006/relationships/hyperlink" Target="https://drive.google.com/open?id=1aR14mrKKQRO6LRgkg-MwejVY0hmLgRab" TargetMode="External"/><Relationship Id="rId87" Type="http://schemas.openxmlformats.org/officeDocument/2006/relationships/hyperlink" Target="https://drive.google.com/open?id=1PhV3h7mBVRDoSjE4KqM2J08rF_oAQuBA" TargetMode="External"/><Relationship Id="rId270" Type="http://schemas.openxmlformats.org/officeDocument/2006/relationships/hyperlink" Target="https://drive.google.com/open?id=1giCiyMpjq83cvCex35Hh58-nNwvvrZ56" TargetMode="External"/><Relationship Id="rId89" Type="http://schemas.openxmlformats.org/officeDocument/2006/relationships/hyperlink" Target="https://drive.google.com/open?id=1UpQrLg2btvcapC1gETPfbZtUq1tVV-4M" TargetMode="External"/><Relationship Id="rId80" Type="http://schemas.openxmlformats.org/officeDocument/2006/relationships/hyperlink" Target="https://drive.google.com/open?id=1aHcme2mccfh_LAshGBpEqstcKSGo0KuP" TargetMode="External"/><Relationship Id="rId82" Type="http://schemas.openxmlformats.org/officeDocument/2006/relationships/hyperlink" Target="https://drive.google.com/open?id=1j4qY-H66ecBgmFoHMNILfIH2e4t9_LXt" TargetMode="External"/><Relationship Id="rId81" Type="http://schemas.openxmlformats.org/officeDocument/2006/relationships/hyperlink" Target="https://drive.google.com/open?id=1UkDiNNq-bXGKQzRfiljcIBN_oWdlDzbJ" TargetMode="External"/><Relationship Id="rId1" Type="http://schemas.openxmlformats.org/officeDocument/2006/relationships/hyperlink" Target="https://drive.google.com/open?id=1A3ur4BgitUehUkyYQG-IuqqRD2gAo771" TargetMode="External"/><Relationship Id="rId2" Type="http://schemas.openxmlformats.org/officeDocument/2006/relationships/hyperlink" Target="https://drive.google.com/open?id=1DzbjmsIL5GsUi9FuEjhLE-oUTn-A0bxS" TargetMode="External"/><Relationship Id="rId3" Type="http://schemas.openxmlformats.org/officeDocument/2006/relationships/hyperlink" Target="https://drive.google.com/open?id=1tqw1udA8OXl77fGF_dcTUFy0j-d3Ehy7" TargetMode="External"/><Relationship Id="rId149" Type="http://schemas.openxmlformats.org/officeDocument/2006/relationships/hyperlink" Target="https://drive.google.com/open?id=1mj0n0pgnubU7kByqXBcYzkUEzOFmpNAu" TargetMode="External"/><Relationship Id="rId4" Type="http://schemas.openxmlformats.org/officeDocument/2006/relationships/hyperlink" Target="https://drive.google.com/open?id=17DpeCYM08IdGh9q9lp0O6AqZqr_7KlKr" TargetMode="External"/><Relationship Id="rId148" Type="http://schemas.openxmlformats.org/officeDocument/2006/relationships/hyperlink" Target="https://drive.google.com/open?id=1pfIN1w2EZka5MkaiRwoQxUzv8br_Uc_Z" TargetMode="External"/><Relationship Id="rId269" Type="http://schemas.openxmlformats.org/officeDocument/2006/relationships/hyperlink" Target="https://drive.google.com/open?id=1UPBXGNTuqExpqQhq2_3iLRe3LHC_tIi4" TargetMode="External"/><Relationship Id="rId9" Type="http://schemas.openxmlformats.org/officeDocument/2006/relationships/hyperlink" Target="https://drive.google.com/open?id=14N0pKp-DEWgirwCRFfe4WO3ZFMNQGKB7" TargetMode="External"/><Relationship Id="rId143" Type="http://schemas.openxmlformats.org/officeDocument/2006/relationships/hyperlink" Target="https://drive.google.com/open?id=1xqEEQbyQfBnVISs8EC4m1nwIXesdNqJ-" TargetMode="External"/><Relationship Id="rId264" Type="http://schemas.openxmlformats.org/officeDocument/2006/relationships/hyperlink" Target="https://drive.google.com/open?id=1ie7vjWcVOP53zK2qAAqEpOgBSt6gmT5R" TargetMode="External"/><Relationship Id="rId142" Type="http://schemas.openxmlformats.org/officeDocument/2006/relationships/hyperlink" Target="https://drive.google.com/open?id=1itRXc66rKSMljDIIKsmIVp2JY9Thq22H" TargetMode="External"/><Relationship Id="rId263" Type="http://schemas.openxmlformats.org/officeDocument/2006/relationships/hyperlink" Target="https://drive.google.com/open?id=17oVNM7VPN4Sx37CCTLP7JYNsF0LqGh8p" TargetMode="External"/><Relationship Id="rId141" Type="http://schemas.openxmlformats.org/officeDocument/2006/relationships/hyperlink" Target="https://drive.google.com/open?id=1C1TyorswiNRepWXdRiyu0a04fT231e2k" TargetMode="External"/><Relationship Id="rId262" Type="http://schemas.openxmlformats.org/officeDocument/2006/relationships/hyperlink" Target="https://drive.google.com/open?id=1YVnz4O1L6cJDOzkBl0tdweaates-mNrQ" TargetMode="External"/><Relationship Id="rId140" Type="http://schemas.openxmlformats.org/officeDocument/2006/relationships/hyperlink" Target="https://drive.google.com/open?id=1BFnhGBP1isceNWTDmhXPu2Ewb2mDxaX0" TargetMode="External"/><Relationship Id="rId261" Type="http://schemas.openxmlformats.org/officeDocument/2006/relationships/hyperlink" Target="https://drive.google.com/open?id=1PHDou2tyNBdAsNNcsRRttlPOl7M89AbD" TargetMode="External"/><Relationship Id="rId5" Type="http://schemas.openxmlformats.org/officeDocument/2006/relationships/hyperlink" Target="https://drive.google.com/open?id=1IpqrPkUiCWeUI_1Yewpjv8VSXtR0qMZ0" TargetMode="External"/><Relationship Id="rId147" Type="http://schemas.openxmlformats.org/officeDocument/2006/relationships/hyperlink" Target="https://drive.google.com/open?id=1Q7aBPve9R2k1aZh0nYhSfi3xMA607QeK" TargetMode="External"/><Relationship Id="rId268" Type="http://schemas.openxmlformats.org/officeDocument/2006/relationships/hyperlink" Target="https://drive.google.com/open?id=17qCWZU6zRE77b23d_sbtCLideQ23fHZi" TargetMode="External"/><Relationship Id="rId6" Type="http://schemas.openxmlformats.org/officeDocument/2006/relationships/hyperlink" Target="https://drive.google.com/open?id=14Xw6MuLioeGZQhPQJOmJVpu_9wwm6xEv" TargetMode="External"/><Relationship Id="rId146" Type="http://schemas.openxmlformats.org/officeDocument/2006/relationships/hyperlink" Target="https://drive.google.com/open?id=1nr8nE10Cr48C5w3y_6MUsiOHOGse3cuE" TargetMode="External"/><Relationship Id="rId267" Type="http://schemas.openxmlformats.org/officeDocument/2006/relationships/hyperlink" Target="https://drive.google.com/open?id=1LEFZgJETtJYjSyBpWyhrIIA-V4ZX8miS" TargetMode="External"/><Relationship Id="rId7" Type="http://schemas.openxmlformats.org/officeDocument/2006/relationships/hyperlink" Target="https://drive.google.com/open?id=1--I3jHWKPDrc7_8ELxFeHQPftoBefFEq" TargetMode="External"/><Relationship Id="rId145" Type="http://schemas.openxmlformats.org/officeDocument/2006/relationships/hyperlink" Target="https://drive.google.com/open?id=16xKAUTC_mHPrSeEuxDmbrumuct3gWPxf" TargetMode="External"/><Relationship Id="rId266" Type="http://schemas.openxmlformats.org/officeDocument/2006/relationships/hyperlink" Target="https://drive.google.com/open?id=1w5Sdobg3uEPfxjBDiwGPOsUyU6s1oC03" TargetMode="External"/><Relationship Id="rId8" Type="http://schemas.openxmlformats.org/officeDocument/2006/relationships/hyperlink" Target="https://drive.google.com/open?id=195EU5ThNMQs67EhM3wQWQ0RygyGmACAt" TargetMode="External"/><Relationship Id="rId144" Type="http://schemas.openxmlformats.org/officeDocument/2006/relationships/hyperlink" Target="https://drive.google.com/open?id=1TGu8esD_aPGYT7v2KaqVrxo6ODR-y4g0" TargetMode="External"/><Relationship Id="rId265" Type="http://schemas.openxmlformats.org/officeDocument/2006/relationships/hyperlink" Target="https://drive.google.com/open?id=1XEAKs19IkcLvqvestwxdsy8Sxrd11zYI" TargetMode="External"/><Relationship Id="rId73" Type="http://schemas.openxmlformats.org/officeDocument/2006/relationships/hyperlink" Target="https://drive.google.com/open?id=1mOQyl17Mqi6IQ9-6ybDjhUbrU_FuHRuh" TargetMode="External"/><Relationship Id="rId72" Type="http://schemas.openxmlformats.org/officeDocument/2006/relationships/hyperlink" Target="https://drive.google.com/open?id=1Ha2sNPMLwhAX6L_3XjYPROi2UAzgqjwH" TargetMode="External"/><Relationship Id="rId75" Type="http://schemas.openxmlformats.org/officeDocument/2006/relationships/hyperlink" Target="https://drive.google.com/open?id=1438_7rcTFxOU59XOngJyRIt_HV1Q8y2q" TargetMode="External"/><Relationship Id="rId74" Type="http://schemas.openxmlformats.org/officeDocument/2006/relationships/hyperlink" Target="https://drive.google.com/open?id=1TCo1P_UEw__AN2zTMUMTVficfPaEnDJR" TargetMode="External"/><Relationship Id="rId77" Type="http://schemas.openxmlformats.org/officeDocument/2006/relationships/hyperlink" Target="https://drive.google.com/open?id=1Vu_DceZlZZS_NYvR9QCcj0g3xsNFIf80" TargetMode="External"/><Relationship Id="rId260" Type="http://schemas.openxmlformats.org/officeDocument/2006/relationships/hyperlink" Target="https://drive.google.com/open?id=1ifA0kcP8sW-b6ypLt0uD4-y9Nl0gwhk6" TargetMode="External"/><Relationship Id="rId76" Type="http://schemas.openxmlformats.org/officeDocument/2006/relationships/hyperlink" Target="https://drive.google.com/open?id=1CLjPmDRS_MniJeFDPvPiEjUsy_kPHCzs" TargetMode="External"/><Relationship Id="rId79" Type="http://schemas.openxmlformats.org/officeDocument/2006/relationships/hyperlink" Target="https://drive.google.com/open?id=1bNdxOkk4TUEVIb2Irej5Yt9BedZ4oJEI" TargetMode="External"/><Relationship Id="rId78" Type="http://schemas.openxmlformats.org/officeDocument/2006/relationships/hyperlink" Target="https://drive.google.com/open?id=1uZ-6jtCN_rL5TrGfVeley0i72KHMeg2k" TargetMode="External"/><Relationship Id="rId71" Type="http://schemas.openxmlformats.org/officeDocument/2006/relationships/hyperlink" Target="https://drive.google.com/open?id=19nU1AIW39Q_hYQOEJlz1iMCojtnxEHKn" TargetMode="External"/><Relationship Id="rId70" Type="http://schemas.openxmlformats.org/officeDocument/2006/relationships/hyperlink" Target="https://drive.google.com/open?id=1dL2Kc1E5vDAQetmvVP60muMI2FZ60ftT" TargetMode="External"/><Relationship Id="rId139" Type="http://schemas.openxmlformats.org/officeDocument/2006/relationships/hyperlink" Target="https://drive.google.com/open?id=1xQpXi1TOe66ta7mmm-IxRpNELTGJtP_A" TargetMode="External"/><Relationship Id="rId138" Type="http://schemas.openxmlformats.org/officeDocument/2006/relationships/hyperlink" Target="https://drive.google.com/open?id=1PKEGL9hfx_Tp4IibEIwjFvpMiCglcnNA" TargetMode="External"/><Relationship Id="rId259" Type="http://schemas.openxmlformats.org/officeDocument/2006/relationships/hyperlink" Target="https://drive.google.com/open?id=1zATt99XW37vU7y7KESDj79oiaC3w3KdB" TargetMode="External"/><Relationship Id="rId137" Type="http://schemas.openxmlformats.org/officeDocument/2006/relationships/hyperlink" Target="https://drive.google.com/open?id=1elhFIi0d0UrrAaKH6UDz9GPSZuIdt5aY" TargetMode="External"/><Relationship Id="rId258" Type="http://schemas.openxmlformats.org/officeDocument/2006/relationships/hyperlink" Target="https://drive.google.com/open?id=1MekeWXFqrTzOX2YFv7sHPWvwrsf1hISl" TargetMode="External"/><Relationship Id="rId132" Type="http://schemas.openxmlformats.org/officeDocument/2006/relationships/hyperlink" Target="https://drive.google.com/open?id=1TQ_SI6sVMBRys5YF7dZHVcr34aOok5w5" TargetMode="External"/><Relationship Id="rId253" Type="http://schemas.openxmlformats.org/officeDocument/2006/relationships/hyperlink" Target="https://drive.google.com/open?id=1QzDbrcb2wslDZ5V0mrgPqfSd5INYpKNB" TargetMode="External"/><Relationship Id="rId131" Type="http://schemas.openxmlformats.org/officeDocument/2006/relationships/hyperlink" Target="https://drive.google.com/open?id=1kGxVBJF3bNNAskNowKahVY3_oYHpjh9d" TargetMode="External"/><Relationship Id="rId252" Type="http://schemas.openxmlformats.org/officeDocument/2006/relationships/hyperlink" Target="https://drive.google.com/open?id=1i6xOMv_oJ6Zkr2zD5J7H_UehSegCAXOc" TargetMode="External"/><Relationship Id="rId130" Type="http://schemas.openxmlformats.org/officeDocument/2006/relationships/hyperlink" Target="https://drive.google.com/open?id=18NGUUmUNgDavF97rwg-iG-f1JTjXjnOq" TargetMode="External"/><Relationship Id="rId251" Type="http://schemas.openxmlformats.org/officeDocument/2006/relationships/hyperlink" Target="https://drive.google.com/open?id=1gW5MVU9bH7-_scs0qDgneQy4NCjgvn6e" TargetMode="External"/><Relationship Id="rId250" Type="http://schemas.openxmlformats.org/officeDocument/2006/relationships/hyperlink" Target="https://drive.google.com/open?id=1DcBc4Vrl4xEtUlBGyKZNhmqPqQSjk9Jr" TargetMode="External"/><Relationship Id="rId136" Type="http://schemas.openxmlformats.org/officeDocument/2006/relationships/hyperlink" Target="https://drive.google.com/open?id=1b7DRD2UpQYxLatlDeyiij5SOSEgoTbr6" TargetMode="External"/><Relationship Id="rId257" Type="http://schemas.openxmlformats.org/officeDocument/2006/relationships/hyperlink" Target="https://drive.google.com/open?id=14mklnHXKAvsS2KOOUkUW8AuJbgcPfNmI" TargetMode="External"/><Relationship Id="rId135" Type="http://schemas.openxmlformats.org/officeDocument/2006/relationships/hyperlink" Target="https://drive.google.com/open?id=1WCcwYFtDLGYxGoTLXzujH9TfShkd4Ccx" TargetMode="External"/><Relationship Id="rId256" Type="http://schemas.openxmlformats.org/officeDocument/2006/relationships/hyperlink" Target="https://drive.google.com/open?id=1hKNswMkxPINf9f4X1gzW4iw41FWwuHHK" TargetMode="External"/><Relationship Id="rId134" Type="http://schemas.openxmlformats.org/officeDocument/2006/relationships/hyperlink" Target="https://drive.google.com/open?id=14loeywxoTFas4tZd0AAvtVFHUriNMDnu" TargetMode="External"/><Relationship Id="rId255" Type="http://schemas.openxmlformats.org/officeDocument/2006/relationships/hyperlink" Target="https://drive.google.com/open?id=1tZTivNdRRdq_7PKDFTyzw8v4QQT_L08w" TargetMode="External"/><Relationship Id="rId133" Type="http://schemas.openxmlformats.org/officeDocument/2006/relationships/hyperlink" Target="https://drive.google.com/open?id=1TRBjU0sIUP8ZPBpsOYuE6Hg0ffPNpXqO" TargetMode="External"/><Relationship Id="rId254" Type="http://schemas.openxmlformats.org/officeDocument/2006/relationships/hyperlink" Target="https://drive.google.com/open?id=1BMQgPDGqYijbrjqvdZzG3wB8XbFL-R6z" TargetMode="External"/><Relationship Id="rId62" Type="http://schemas.openxmlformats.org/officeDocument/2006/relationships/hyperlink" Target="https://drive.google.com/open?id=183JSz6WefVtsSV1bL-Euq18Ni4WCU7e8" TargetMode="External"/><Relationship Id="rId61" Type="http://schemas.openxmlformats.org/officeDocument/2006/relationships/hyperlink" Target="https://drive.google.com/open?id=1eLNytA1Bq3B4CCgBltFwGY59mJLGuuAe" TargetMode="External"/><Relationship Id="rId64" Type="http://schemas.openxmlformats.org/officeDocument/2006/relationships/hyperlink" Target="https://drive.google.com/open?id=1bbJzzKNoKqFv-SeeqGalYeieBKvfJdqY" TargetMode="External"/><Relationship Id="rId63" Type="http://schemas.openxmlformats.org/officeDocument/2006/relationships/hyperlink" Target="https://drive.google.com/open?id=1KNIEG6etVggPkI1JnYuOwMGPlOLEKYHO" TargetMode="External"/><Relationship Id="rId66" Type="http://schemas.openxmlformats.org/officeDocument/2006/relationships/hyperlink" Target="https://drive.google.com/open?id=1D5zvHN5bJu1iWagQ8gsSpqABPG_PN-Y4" TargetMode="External"/><Relationship Id="rId172" Type="http://schemas.openxmlformats.org/officeDocument/2006/relationships/hyperlink" Target="https://drive.google.com/open?id=1RJH3SYiQZsDu_F7L5_ewXbr7pSc_yXEn" TargetMode="External"/><Relationship Id="rId293" Type="http://schemas.openxmlformats.org/officeDocument/2006/relationships/hyperlink" Target="https://drive.google.com/open?id=1eHZQarREUlo2M4Y9ISzcPEFrF_0KaOpQ" TargetMode="External"/><Relationship Id="rId65" Type="http://schemas.openxmlformats.org/officeDocument/2006/relationships/hyperlink" Target="https://drive.google.com/open?id=1dNAOjO1kVN9tYSovyEg0vwwSAqPyfSsT" TargetMode="External"/><Relationship Id="rId171" Type="http://schemas.openxmlformats.org/officeDocument/2006/relationships/hyperlink" Target="https://drive.google.com/open?id=1Afq4VP8YUKNwnP9W22WAAdr0Z_04tuzK" TargetMode="External"/><Relationship Id="rId292" Type="http://schemas.openxmlformats.org/officeDocument/2006/relationships/hyperlink" Target="https://drive.google.com/open?id=1n3588ttyRncXowfWtxOKXcL2EVi4WAuI" TargetMode="External"/><Relationship Id="rId68" Type="http://schemas.openxmlformats.org/officeDocument/2006/relationships/hyperlink" Target="https://drive.google.com/open?id=1kvkOw2AY5GFW4iDV5nFnTKGsX10JgjHH" TargetMode="External"/><Relationship Id="rId170" Type="http://schemas.openxmlformats.org/officeDocument/2006/relationships/hyperlink" Target="https://drive.google.com/open?id=1PECBfq2GhK5BB32Eae9ACoMvPVtpyfhn" TargetMode="External"/><Relationship Id="rId291" Type="http://schemas.openxmlformats.org/officeDocument/2006/relationships/hyperlink" Target="https://drive.google.com/open?id=1QRf6z_gtj2I__7O7Ya8DwPtI3ga_SHbg" TargetMode="External"/><Relationship Id="rId67" Type="http://schemas.openxmlformats.org/officeDocument/2006/relationships/hyperlink" Target="https://drive.google.com/open?id=1bnQ6r_ur_OnRiGSLZq_1cfZw_XMKrDQn" TargetMode="External"/><Relationship Id="rId290" Type="http://schemas.openxmlformats.org/officeDocument/2006/relationships/hyperlink" Target="https://drive.google.com/open?id=1uR3rxz35tlOcC3BsLs0gKW9JnTBqQ7EA" TargetMode="External"/><Relationship Id="rId60" Type="http://schemas.openxmlformats.org/officeDocument/2006/relationships/hyperlink" Target="https://drive.google.com/open?id=1orn8nKmFQgQw8Gvw469qL2TFkroyQDNr" TargetMode="External"/><Relationship Id="rId165" Type="http://schemas.openxmlformats.org/officeDocument/2006/relationships/hyperlink" Target="https://drive.google.com/open?id=1IgUBFFYH2GpF-uTFuDKOf2VrrJxNnI6q" TargetMode="External"/><Relationship Id="rId286" Type="http://schemas.openxmlformats.org/officeDocument/2006/relationships/hyperlink" Target="https://drive.google.com/open?id=1smFl4SX2vGY63UkYgQJFwlhdR89h0Qyq" TargetMode="External"/><Relationship Id="rId69" Type="http://schemas.openxmlformats.org/officeDocument/2006/relationships/hyperlink" Target="https://drive.google.com/open?id=14y6SmX-AXIk_fSbActSWhjrk1OUi9rQx" TargetMode="External"/><Relationship Id="rId164" Type="http://schemas.openxmlformats.org/officeDocument/2006/relationships/hyperlink" Target="https://drive.google.com/open?id=131u8eJtbxtGiJwTKI4lERsfUPLFJC72Y" TargetMode="External"/><Relationship Id="rId285" Type="http://schemas.openxmlformats.org/officeDocument/2006/relationships/hyperlink" Target="https://drive.google.com/open?id=1KgSK4qTVUwrWtD_sOSmyNjTHX-CFS1IC" TargetMode="External"/><Relationship Id="rId163" Type="http://schemas.openxmlformats.org/officeDocument/2006/relationships/hyperlink" Target="https://drive.google.com/open?id=1vuOFOr6BLBqsjlm5UlJ9iQjH_Vt_mpbd" TargetMode="External"/><Relationship Id="rId284" Type="http://schemas.openxmlformats.org/officeDocument/2006/relationships/hyperlink" Target="https://drive.google.com/open?id=1Px7ix8F6hRFwWBshwysycYv7UZLg6qnS" TargetMode="External"/><Relationship Id="rId162" Type="http://schemas.openxmlformats.org/officeDocument/2006/relationships/hyperlink" Target="https://drive.google.com/open?id=1nylG8w_HZjQpZ6KUK5K1YV2zjqDtLPmA" TargetMode="External"/><Relationship Id="rId283" Type="http://schemas.openxmlformats.org/officeDocument/2006/relationships/hyperlink" Target="https://drive.google.com/open?id=1f8x3OQx6WDu10JCm4Xl6bKCzyRE8nj0I" TargetMode="External"/><Relationship Id="rId169" Type="http://schemas.openxmlformats.org/officeDocument/2006/relationships/hyperlink" Target="https://drive.google.com/open?id=1ml9vvLOCOVn_I7BrgpII3PqWTn7OMV4w" TargetMode="External"/><Relationship Id="rId168" Type="http://schemas.openxmlformats.org/officeDocument/2006/relationships/hyperlink" Target="https://drive.google.com/open?id=1hJDB-MY-dwJZDnjY33q9gA-zgpGiERvX" TargetMode="External"/><Relationship Id="rId289" Type="http://schemas.openxmlformats.org/officeDocument/2006/relationships/hyperlink" Target="https://drive.google.com/open?id=1rfAVZIIjuieHO9QzxpFIh7BQGPdLtsdb" TargetMode="External"/><Relationship Id="rId167" Type="http://schemas.openxmlformats.org/officeDocument/2006/relationships/hyperlink" Target="https://drive.google.com/open?id=1sCJa7meY8uec50r8qDSJOoV-_9Wgyuam" TargetMode="External"/><Relationship Id="rId288" Type="http://schemas.openxmlformats.org/officeDocument/2006/relationships/hyperlink" Target="https://drive.google.com/open?id=1geNo0d8_9t1ALR4WpVIuEiTJt8s7PlXR" TargetMode="External"/><Relationship Id="rId166" Type="http://schemas.openxmlformats.org/officeDocument/2006/relationships/hyperlink" Target="https://drive.google.com/open?id=1oECwMRoBeiwcOheRS0qm_bl9_cxCWc4I" TargetMode="External"/><Relationship Id="rId287" Type="http://schemas.openxmlformats.org/officeDocument/2006/relationships/hyperlink" Target="https://drive.google.com/open?id=1qWA6_h2plQhMN0SZNZF5A5BWY1nOo2Za" TargetMode="External"/><Relationship Id="rId51" Type="http://schemas.openxmlformats.org/officeDocument/2006/relationships/hyperlink" Target="https://drive.google.com/open?id=1bDS8IaW5U8Q6c15niXUscd5rNVYluXo6" TargetMode="External"/><Relationship Id="rId50" Type="http://schemas.openxmlformats.org/officeDocument/2006/relationships/hyperlink" Target="https://drive.google.com/open?id=1OYvvs3WwTixAEl81i02tJ5rNM-EHZU_A" TargetMode="External"/><Relationship Id="rId53" Type="http://schemas.openxmlformats.org/officeDocument/2006/relationships/hyperlink" Target="https://drive.google.com/open?id=1XOAOWvmYcXyZzVWWn6dHMKqEQVw9Iccq" TargetMode="External"/><Relationship Id="rId52" Type="http://schemas.openxmlformats.org/officeDocument/2006/relationships/hyperlink" Target="https://drive.google.com/open?id=1hHPw7yhRQyIbkMcbhvL5QKWv7TDkHvMC" TargetMode="External"/><Relationship Id="rId55" Type="http://schemas.openxmlformats.org/officeDocument/2006/relationships/hyperlink" Target="https://drive.google.com/open?id=1HhAkbCoy7rxWi-RWCABa-0yEQ8nidPWo" TargetMode="External"/><Relationship Id="rId161" Type="http://schemas.openxmlformats.org/officeDocument/2006/relationships/hyperlink" Target="https://drive.google.com/open?id=1SjPn78D5BycRaqcQmJQMZoUZ22JPosUs" TargetMode="External"/><Relationship Id="rId282" Type="http://schemas.openxmlformats.org/officeDocument/2006/relationships/hyperlink" Target="https://drive.google.com/open?id=1_KjmvHsyVDwQTU56W-o4RMzW7sJbn7-s" TargetMode="External"/><Relationship Id="rId54" Type="http://schemas.openxmlformats.org/officeDocument/2006/relationships/hyperlink" Target="https://drive.google.com/open?id=1RmgxrEo0k00wJDLRiPGkS3NFJVpOdmV5" TargetMode="External"/><Relationship Id="rId160" Type="http://schemas.openxmlformats.org/officeDocument/2006/relationships/hyperlink" Target="https://drive.google.com/open?id=1amvIQgW-dersLhrbyw0dTWY5gW6T6VG5" TargetMode="External"/><Relationship Id="rId281" Type="http://schemas.openxmlformats.org/officeDocument/2006/relationships/hyperlink" Target="https://drive.google.com/open?id=1fKIMb-4ghuegNaky2_3cEvbI7fLbgv_g" TargetMode="External"/><Relationship Id="rId57" Type="http://schemas.openxmlformats.org/officeDocument/2006/relationships/hyperlink" Target="https://drive.google.com/open?id=1CO7Y9eoR8zFw-LRf1oCe-MPG4SKWU2wx" TargetMode="External"/><Relationship Id="rId280" Type="http://schemas.openxmlformats.org/officeDocument/2006/relationships/hyperlink" Target="https://drive.google.com/open?id=15XU2Edg5hKgaGA36w2cPnJFhNkeJxpIL" TargetMode="External"/><Relationship Id="rId56" Type="http://schemas.openxmlformats.org/officeDocument/2006/relationships/hyperlink" Target="https://drive.google.com/open?id=1KLwv7sdCGobF5vvqgGGvGj85QqobsEPY" TargetMode="External"/><Relationship Id="rId159" Type="http://schemas.openxmlformats.org/officeDocument/2006/relationships/hyperlink" Target="https://drive.google.com/open?id=1nonuaUOC1hhwvPmV9iHi6GOb0FqbOxBg" TargetMode="External"/><Relationship Id="rId59" Type="http://schemas.openxmlformats.org/officeDocument/2006/relationships/hyperlink" Target="https://drive.google.com/open?id=1eUKyD8kv7zn3jYem8WPUoXBDs0w3cZVL" TargetMode="External"/><Relationship Id="rId154" Type="http://schemas.openxmlformats.org/officeDocument/2006/relationships/hyperlink" Target="https://drive.google.com/open?id=10XJ-zGJj9V8uZsUSfZiGLLpJ6-qKgoQT" TargetMode="External"/><Relationship Id="rId275" Type="http://schemas.openxmlformats.org/officeDocument/2006/relationships/hyperlink" Target="https://drive.google.com/open?id=1cgIUF_EUcz6KmdUPZ8EJwBHs3IFpN4R3" TargetMode="External"/><Relationship Id="rId58" Type="http://schemas.openxmlformats.org/officeDocument/2006/relationships/hyperlink" Target="https://drive.google.com/open?id=1zqAXcrh6qxqxn7J-3vo_GtMF1UgX51j6" TargetMode="External"/><Relationship Id="rId153" Type="http://schemas.openxmlformats.org/officeDocument/2006/relationships/hyperlink" Target="https://drive.google.com/open?id=1Z8H2aHe9FXxH12W2U3BtX70L179dkjGk" TargetMode="External"/><Relationship Id="rId274" Type="http://schemas.openxmlformats.org/officeDocument/2006/relationships/hyperlink" Target="https://drive.google.com/open?id=1YknzceTKjyLn8iTpvwE-1_iqTFSSAvCS" TargetMode="External"/><Relationship Id="rId152" Type="http://schemas.openxmlformats.org/officeDocument/2006/relationships/hyperlink" Target="https://drive.google.com/open?id=1lmPM-Zp-zPZGZscSldvCm-oqcknybxH_" TargetMode="External"/><Relationship Id="rId273" Type="http://schemas.openxmlformats.org/officeDocument/2006/relationships/hyperlink" Target="https://drive.google.com/open?id=1Wl2wmGWRi3rsReO0oYNda8wnjldP9XkB" TargetMode="External"/><Relationship Id="rId151" Type="http://schemas.openxmlformats.org/officeDocument/2006/relationships/hyperlink" Target="https://drive.google.com/open?id=1GSfSvvAUbuJ7bqFDpB5lgRhQksUVQZ33" TargetMode="External"/><Relationship Id="rId272" Type="http://schemas.openxmlformats.org/officeDocument/2006/relationships/hyperlink" Target="https://drive.google.com/open?id=1J67C2vKN7H9cBEIXZbJQBG-nicKLZLyP" TargetMode="External"/><Relationship Id="rId158" Type="http://schemas.openxmlformats.org/officeDocument/2006/relationships/hyperlink" Target="https://drive.google.com/open?id=1-SbSXvPP40DodH_1-aEw0xZW5W6YIOqG" TargetMode="External"/><Relationship Id="rId279" Type="http://schemas.openxmlformats.org/officeDocument/2006/relationships/hyperlink" Target="https://drive.google.com/open?id=1UnkqbJFKktD_NEB2fZ3wA0pQxWD7IG1j" TargetMode="External"/><Relationship Id="rId157" Type="http://schemas.openxmlformats.org/officeDocument/2006/relationships/hyperlink" Target="https://drive.google.com/open?id=1ZH9Tc9oCZqQWNaG_OLtGDNOQI0Ot82P_" TargetMode="External"/><Relationship Id="rId278" Type="http://schemas.openxmlformats.org/officeDocument/2006/relationships/hyperlink" Target="https://drive.google.com/open?id=1v7k7LxZtsVLz2AefYEZLoW9pgTDkWKqd" TargetMode="External"/><Relationship Id="rId156" Type="http://schemas.openxmlformats.org/officeDocument/2006/relationships/hyperlink" Target="https://drive.google.com/open?id=1slh9DjT99FpjwKG0x_UZqemHHN66ny6H" TargetMode="External"/><Relationship Id="rId277" Type="http://schemas.openxmlformats.org/officeDocument/2006/relationships/hyperlink" Target="https://drive.google.com/open?id=1Ojd20l07BXW8TRAAed7nVA0HElfTLSeJ" TargetMode="External"/><Relationship Id="rId155" Type="http://schemas.openxmlformats.org/officeDocument/2006/relationships/hyperlink" Target="https://drive.google.com/open?id=1evcrYV4y2mzo1PviizlO_adxMl-9KwEl" TargetMode="External"/><Relationship Id="rId276" Type="http://schemas.openxmlformats.org/officeDocument/2006/relationships/hyperlink" Target="https://drive.google.com/open?id=1JPq1M73RwwETgH7CUWl05NSKXkHzZSDq" TargetMode="External"/><Relationship Id="rId107" Type="http://schemas.openxmlformats.org/officeDocument/2006/relationships/hyperlink" Target="https://drive.google.com/open?id=1JS1lKDbgBZpl9B6vWKlvbmYIoNoPymKw" TargetMode="External"/><Relationship Id="rId228" Type="http://schemas.openxmlformats.org/officeDocument/2006/relationships/hyperlink" Target="https://drive.google.com/open?id=1eJWB14r1JXfPjhFrDe-4BBjWmU_vE6Bm" TargetMode="External"/><Relationship Id="rId349" Type="http://schemas.openxmlformats.org/officeDocument/2006/relationships/hyperlink" Target="https://drive.google.com/open?id=1wyqvn_EwN64-HR2U7bBy5laIdcuA3oaG" TargetMode="External"/><Relationship Id="rId106" Type="http://schemas.openxmlformats.org/officeDocument/2006/relationships/hyperlink" Target="https://drive.google.com/open?id=1w0fHx5844yZTHloAUAO1i9_bJ2iJ_ps7" TargetMode="External"/><Relationship Id="rId227" Type="http://schemas.openxmlformats.org/officeDocument/2006/relationships/hyperlink" Target="https://drive.google.com/open?id=1PhcEVl9aaqchDn9cyK9D5-ZV5R7E-TFj" TargetMode="External"/><Relationship Id="rId348" Type="http://schemas.openxmlformats.org/officeDocument/2006/relationships/hyperlink" Target="https://drive.google.com/open?id=1jCgnyLS5cy4AaCt-HC0CHmKdzyaV4Dx8" TargetMode="External"/><Relationship Id="rId105" Type="http://schemas.openxmlformats.org/officeDocument/2006/relationships/hyperlink" Target="https://drive.google.com/open?id=1Vj9kIZ859INpvDcEwW69Y435zHU2F0AF" TargetMode="External"/><Relationship Id="rId226" Type="http://schemas.openxmlformats.org/officeDocument/2006/relationships/hyperlink" Target="https://drive.google.com/open?id=18A_3slnfUMjy5KwAYItqPIYDTuAYR8wk" TargetMode="External"/><Relationship Id="rId347" Type="http://schemas.openxmlformats.org/officeDocument/2006/relationships/hyperlink" Target="https://drive.google.com/open?id=1EDAUBB_w8CcTbG8DUtmj9bxewIUMywPs" TargetMode="External"/><Relationship Id="rId104" Type="http://schemas.openxmlformats.org/officeDocument/2006/relationships/hyperlink" Target="https://drive.google.com/open?id=1td8f5wgM01jd2aBGW7MHwst4JEl_0j3Q" TargetMode="External"/><Relationship Id="rId225" Type="http://schemas.openxmlformats.org/officeDocument/2006/relationships/hyperlink" Target="https://drive.google.com/open?id=1vE3PGQEUrGVsctnIneHGhJ9M8okweaNF" TargetMode="External"/><Relationship Id="rId346" Type="http://schemas.openxmlformats.org/officeDocument/2006/relationships/hyperlink" Target="https://drive.google.com/open?id=17hAuVjo98bw2I0ojdHB0Czk6NDEPSDD4" TargetMode="External"/><Relationship Id="rId109" Type="http://schemas.openxmlformats.org/officeDocument/2006/relationships/hyperlink" Target="https://drive.google.com/open?id=1lQYuQcpBj7lZgUGPhaV7MBsRyvzVvTXW" TargetMode="External"/><Relationship Id="rId108" Type="http://schemas.openxmlformats.org/officeDocument/2006/relationships/hyperlink" Target="https://drive.google.com/open?id=1tTETiEudnu3MheB-mncknIhU6vyYn76-" TargetMode="External"/><Relationship Id="rId229" Type="http://schemas.openxmlformats.org/officeDocument/2006/relationships/hyperlink" Target="https://drive.google.com/open?id=1P-ZxuvrEAKksGXFdnP1OH2YW4HiLUIyv" TargetMode="External"/><Relationship Id="rId220" Type="http://schemas.openxmlformats.org/officeDocument/2006/relationships/hyperlink" Target="https://drive.google.com/open?id=1MaemvdGjJ1C2EB4WbnA66kogeqxIU7zz" TargetMode="External"/><Relationship Id="rId341" Type="http://schemas.openxmlformats.org/officeDocument/2006/relationships/hyperlink" Target="https://drive.google.com/open?id=18WoQwIqoiRb7gl4nYRENoNTSfpgbMMi1" TargetMode="External"/><Relationship Id="rId340" Type="http://schemas.openxmlformats.org/officeDocument/2006/relationships/hyperlink" Target="https://drive.google.com/open?id=15OurG0d6XBkI-GApGO22rlChiXcdW8Ab" TargetMode="External"/><Relationship Id="rId103" Type="http://schemas.openxmlformats.org/officeDocument/2006/relationships/hyperlink" Target="https://drive.google.com/open?id=1BFTRCedqU4YBM8wIzz7wuOppfrd8XS_Y" TargetMode="External"/><Relationship Id="rId224" Type="http://schemas.openxmlformats.org/officeDocument/2006/relationships/hyperlink" Target="https://drive.google.com/open?id=1VUp16rt6H3EuVnbSSP_Ub3MyzushvHaN" TargetMode="External"/><Relationship Id="rId345" Type="http://schemas.openxmlformats.org/officeDocument/2006/relationships/hyperlink" Target="https://drive.google.com/open?id=1HSmnVDNLaYlYXIKXO38DiW3raZBUFaVv" TargetMode="External"/><Relationship Id="rId102" Type="http://schemas.openxmlformats.org/officeDocument/2006/relationships/hyperlink" Target="https://drive.google.com/open?id=1PG8C5aqSd7wRvcesEKd9_OewnmqJrrVn" TargetMode="External"/><Relationship Id="rId223" Type="http://schemas.openxmlformats.org/officeDocument/2006/relationships/hyperlink" Target="https://drive.google.com/open?id=1nxJ_hyDN5_kJLq3TPs7Vl4-sPiDhjTt4" TargetMode="External"/><Relationship Id="rId344" Type="http://schemas.openxmlformats.org/officeDocument/2006/relationships/hyperlink" Target="https://drive.google.com/open?id=1oppJWJfWFAnYsS3YpVx9UllrjbA0J4Eh" TargetMode="External"/><Relationship Id="rId101" Type="http://schemas.openxmlformats.org/officeDocument/2006/relationships/hyperlink" Target="https://drive.google.com/open?id=1iUBUSkri7LEk8oLsv4rB7If0ihMMdCcn" TargetMode="External"/><Relationship Id="rId222" Type="http://schemas.openxmlformats.org/officeDocument/2006/relationships/hyperlink" Target="https://drive.google.com/open?id=1NtfdeGvhQ96uqe3gQQXfGowh7AN2chhT" TargetMode="External"/><Relationship Id="rId343" Type="http://schemas.openxmlformats.org/officeDocument/2006/relationships/hyperlink" Target="https://drive.google.com/open?id=1LhGBevzHugfyPt8SFRDog8NHQlrVR31S" TargetMode="External"/><Relationship Id="rId100" Type="http://schemas.openxmlformats.org/officeDocument/2006/relationships/hyperlink" Target="https://drive.google.com/open?id=12OaTHwk8Ex87rU0_NklWekvmT7KFYslC" TargetMode="External"/><Relationship Id="rId221" Type="http://schemas.openxmlformats.org/officeDocument/2006/relationships/hyperlink" Target="https://drive.google.com/open?id=1ZF9fO3PolkVwV2l_ajTzrQLd1wRDsKsT" TargetMode="External"/><Relationship Id="rId342" Type="http://schemas.openxmlformats.org/officeDocument/2006/relationships/hyperlink" Target="https://drive.google.com/open?id=1-Tzxkpa6oR9wOl9BBAbSS-QQaezB1Yfx" TargetMode="External"/><Relationship Id="rId217" Type="http://schemas.openxmlformats.org/officeDocument/2006/relationships/hyperlink" Target="https://drive.google.com/open?id=1CJqmCcprJfXHtfbNmLKySzCdDDzr2eJO" TargetMode="External"/><Relationship Id="rId338" Type="http://schemas.openxmlformats.org/officeDocument/2006/relationships/hyperlink" Target="https://drive.google.com/open?id=1K58vq-X3_D4sD85X8SWEhNq4-YRiNvAy" TargetMode="External"/><Relationship Id="rId216" Type="http://schemas.openxmlformats.org/officeDocument/2006/relationships/hyperlink" Target="https://drive.google.com/open?id=1BdQ_Ae5UWYtIMQuHY2Q8ObHSYhTLHFUo" TargetMode="External"/><Relationship Id="rId337" Type="http://schemas.openxmlformats.org/officeDocument/2006/relationships/hyperlink" Target="https://drive.google.com/open?id=1kLlz2THMfCAbOZQ5-cUDHCAZy7LCP3q0" TargetMode="External"/><Relationship Id="rId215" Type="http://schemas.openxmlformats.org/officeDocument/2006/relationships/hyperlink" Target="https://drive.google.com/open?id=13YQvmyowWXKfO8atw-012KNhXb8Hh6HN" TargetMode="External"/><Relationship Id="rId336" Type="http://schemas.openxmlformats.org/officeDocument/2006/relationships/hyperlink" Target="https://drive.google.com/open?id=1RN9q2_4HueYDPT7TeRcWm2_5er1geg6V" TargetMode="External"/><Relationship Id="rId214" Type="http://schemas.openxmlformats.org/officeDocument/2006/relationships/hyperlink" Target="https://drive.google.com/open?id=1QOzQVm-AzJuA1p2-aux9XG8NMsdAvybo" TargetMode="External"/><Relationship Id="rId335" Type="http://schemas.openxmlformats.org/officeDocument/2006/relationships/hyperlink" Target="https://drive.google.com/open?id=1TV0TRvbFmUfMVOX1JI2ANTf0bcImdhYe" TargetMode="External"/><Relationship Id="rId219" Type="http://schemas.openxmlformats.org/officeDocument/2006/relationships/hyperlink" Target="https://drive.google.com/open?id=16xgdGw86qLBqR2vDC8W58DOqKWnk2x7u" TargetMode="External"/><Relationship Id="rId218" Type="http://schemas.openxmlformats.org/officeDocument/2006/relationships/hyperlink" Target="https://drive.google.com/open?id=1mjeJusPP3MVReoqunBKPj5U6HWJv2zcK" TargetMode="External"/><Relationship Id="rId339" Type="http://schemas.openxmlformats.org/officeDocument/2006/relationships/hyperlink" Target="https://drive.google.com/open?id=1pViPLkFcfWxbNYLGR7ihpc_zgF9GSfU-" TargetMode="External"/><Relationship Id="rId330" Type="http://schemas.openxmlformats.org/officeDocument/2006/relationships/hyperlink" Target="https://drive.google.com/open?id=1cSx9oV1P_hs6AvIcEDM1DbD0dMTwIe5I" TargetMode="External"/><Relationship Id="rId213" Type="http://schemas.openxmlformats.org/officeDocument/2006/relationships/hyperlink" Target="https://drive.google.com/open?id=1InfwOS7UENuZBngPQ_-fnCsXKiJbCqVy" TargetMode="External"/><Relationship Id="rId334" Type="http://schemas.openxmlformats.org/officeDocument/2006/relationships/hyperlink" Target="https://drive.google.com/open?id=1lUZl-HSkO0XCXzUgxD1ZnYFz8h-BQ8oK" TargetMode="External"/><Relationship Id="rId212" Type="http://schemas.openxmlformats.org/officeDocument/2006/relationships/hyperlink" Target="https://drive.google.com/open?id=1lD_CKTyfQh6hNZYoMpvOzinFra_-GChT" TargetMode="External"/><Relationship Id="rId333" Type="http://schemas.openxmlformats.org/officeDocument/2006/relationships/hyperlink" Target="https://drive.google.com/open?id=1hSVQOn5vjrkjpo6hQ1wA9r9jyYmYPMkd" TargetMode="External"/><Relationship Id="rId211" Type="http://schemas.openxmlformats.org/officeDocument/2006/relationships/hyperlink" Target="https://drive.google.com/open?id=1JCC-kJgkCg-VjGEIAH9PwTB8SqliAL3M" TargetMode="External"/><Relationship Id="rId332" Type="http://schemas.openxmlformats.org/officeDocument/2006/relationships/hyperlink" Target="https://drive.google.com/open?id=11q2A4S-a560m5SXvaXoI8WkuikkEKoXz" TargetMode="External"/><Relationship Id="rId210" Type="http://schemas.openxmlformats.org/officeDocument/2006/relationships/hyperlink" Target="https://drive.google.com/open?id=1nTa1VW6KcrCl4UckBQpZP_hrrZfv4RHl" TargetMode="External"/><Relationship Id="rId331" Type="http://schemas.openxmlformats.org/officeDocument/2006/relationships/hyperlink" Target="https://drive.google.com/open?id=1u0KV81Bs_semyVm68GOOMR3RBrDwwzDs" TargetMode="External"/><Relationship Id="rId129" Type="http://schemas.openxmlformats.org/officeDocument/2006/relationships/hyperlink" Target="https://drive.google.com/open?id=1b0EqV1wlm0XUcDjE9IGjSglYuSKSBlUm" TargetMode="External"/><Relationship Id="rId128" Type="http://schemas.openxmlformats.org/officeDocument/2006/relationships/hyperlink" Target="https://drive.google.com/open?id=19nAICaVxqKxnrMTRofq7EU9JE-VyvbIt" TargetMode="External"/><Relationship Id="rId249" Type="http://schemas.openxmlformats.org/officeDocument/2006/relationships/hyperlink" Target="https://drive.google.com/open?id=1QQ4qsQB6OvPk8d9EL-A1-AakugjIQaPu" TargetMode="External"/><Relationship Id="rId127" Type="http://schemas.openxmlformats.org/officeDocument/2006/relationships/hyperlink" Target="https://drive.google.com/open?id=1JK_ig3gd-Oc7gm5SvJMODXWOH7Y1HFnA" TargetMode="External"/><Relationship Id="rId248" Type="http://schemas.openxmlformats.org/officeDocument/2006/relationships/hyperlink" Target="https://drive.google.com/open?id=1S77zTjx1kb-2Mn_VPX-zI6mHg2VY2aUN" TargetMode="External"/><Relationship Id="rId126" Type="http://schemas.openxmlformats.org/officeDocument/2006/relationships/hyperlink" Target="https://drive.google.com/open?id=1HhXuInc1RujztT5RrpUnEY7EzXw-Z_FN" TargetMode="External"/><Relationship Id="rId247" Type="http://schemas.openxmlformats.org/officeDocument/2006/relationships/hyperlink" Target="https://drive.google.com/open?id=1tCrRMljfqOY3BEkJbYaDY8oXMjRuklrq" TargetMode="External"/><Relationship Id="rId121" Type="http://schemas.openxmlformats.org/officeDocument/2006/relationships/hyperlink" Target="https://drive.google.com/open?id=1crFnhfpO5eI87LaNFkrCm78-Z71RXXoJ" TargetMode="External"/><Relationship Id="rId242" Type="http://schemas.openxmlformats.org/officeDocument/2006/relationships/hyperlink" Target="https://drive.google.com/open?id=1R2gfkNGmrRYPDu7V_hz87rOBkIhOtyiT" TargetMode="External"/><Relationship Id="rId120" Type="http://schemas.openxmlformats.org/officeDocument/2006/relationships/hyperlink" Target="https://drive.google.com/open?id=1O9-Tc-bxiKr8friY7E5frBzipCMlrcuV" TargetMode="External"/><Relationship Id="rId241" Type="http://schemas.openxmlformats.org/officeDocument/2006/relationships/hyperlink" Target="https://drive.google.com/open?id=18YqMsglIX6tc634fbr5tmoxX_ItIDrP1" TargetMode="External"/><Relationship Id="rId240" Type="http://schemas.openxmlformats.org/officeDocument/2006/relationships/hyperlink" Target="https://drive.google.com/open?id=1gw2s1h2hIw1R_yxN11u7PrDEk1AFdb0h" TargetMode="External"/><Relationship Id="rId361" Type="http://schemas.openxmlformats.org/officeDocument/2006/relationships/drawing" Target="../drawings/drawing2.xml"/><Relationship Id="rId360" Type="http://schemas.openxmlformats.org/officeDocument/2006/relationships/hyperlink" Target="https://drive.google.com/open?id=1z37jeTFZX8NJAdWUjXFcTwmc_jfU0HUw" TargetMode="External"/><Relationship Id="rId125" Type="http://schemas.openxmlformats.org/officeDocument/2006/relationships/hyperlink" Target="https://drive.google.com/open?id=1B611xILm8i582ziJA3vZBIfpNI64YGxj" TargetMode="External"/><Relationship Id="rId246" Type="http://schemas.openxmlformats.org/officeDocument/2006/relationships/hyperlink" Target="https://drive.google.com/open?id=1zFNlUGkfW-3QJCN6DTcENLGXjiLhNvF_" TargetMode="External"/><Relationship Id="rId124" Type="http://schemas.openxmlformats.org/officeDocument/2006/relationships/hyperlink" Target="https://drive.google.com/open?id=1SkbtbEW79tEdgGp0UAzlj3ceEUC9NW1o" TargetMode="External"/><Relationship Id="rId245" Type="http://schemas.openxmlformats.org/officeDocument/2006/relationships/hyperlink" Target="https://drive.google.com/open?id=1RxXDUwkmL12rxhTZwXJxI5zBjLPmo31P" TargetMode="External"/><Relationship Id="rId123" Type="http://schemas.openxmlformats.org/officeDocument/2006/relationships/hyperlink" Target="https://drive.google.com/open?id=1MqiuDvqq6lTlP-JYi8W461vSProArtL_" TargetMode="External"/><Relationship Id="rId244" Type="http://schemas.openxmlformats.org/officeDocument/2006/relationships/hyperlink" Target="https://drive.google.com/open?id=1ojE8EJB_zVdiuN7lEqsAzeOPUtb4EF3P" TargetMode="External"/><Relationship Id="rId122" Type="http://schemas.openxmlformats.org/officeDocument/2006/relationships/hyperlink" Target="https://drive.google.com/open?id=1dTcl9k_XFcfw9FsWctmy1ajWzpX_1T6R" TargetMode="External"/><Relationship Id="rId243" Type="http://schemas.openxmlformats.org/officeDocument/2006/relationships/hyperlink" Target="https://drive.google.com/open?id=1I3SBZZk7JBVLrUswTD8JZJ_Q2bcqzh1d" TargetMode="External"/><Relationship Id="rId95" Type="http://schemas.openxmlformats.org/officeDocument/2006/relationships/hyperlink" Target="https://drive.google.com/open?id=1hYji2xBgC5bkohW1IjSYLFGXc7S5FX7u" TargetMode="External"/><Relationship Id="rId94" Type="http://schemas.openxmlformats.org/officeDocument/2006/relationships/hyperlink" Target="https://drive.google.com/open?id=1COLhHqUgE27yRvQu6m9uFOPWZNZMG72b" TargetMode="External"/><Relationship Id="rId97" Type="http://schemas.openxmlformats.org/officeDocument/2006/relationships/hyperlink" Target="https://drive.google.com/open?id=1ELPcv7Co0aE6z0YVKmS9fng0NcL1h6Gy" TargetMode="External"/><Relationship Id="rId96" Type="http://schemas.openxmlformats.org/officeDocument/2006/relationships/hyperlink" Target="https://drive.google.com/open?id=1suYZP2jC3rb38ERJbneaSJQqx39GEg2_" TargetMode="External"/><Relationship Id="rId99" Type="http://schemas.openxmlformats.org/officeDocument/2006/relationships/hyperlink" Target="https://drive.google.com/open?id=1oO6r9OW5_ICOhRRNGdzxhfIKAq-_h2IG" TargetMode="External"/><Relationship Id="rId98" Type="http://schemas.openxmlformats.org/officeDocument/2006/relationships/hyperlink" Target="https://drive.google.com/open?id=1Kd-NN07jpPLgmYVMRg9PdpDNozcgqsd_" TargetMode="External"/><Relationship Id="rId91" Type="http://schemas.openxmlformats.org/officeDocument/2006/relationships/hyperlink" Target="https://drive.google.com/open?id=1bwbwj0PcL2zUQ4jHXSzi3U4foTpdax_r" TargetMode="External"/><Relationship Id="rId90" Type="http://schemas.openxmlformats.org/officeDocument/2006/relationships/hyperlink" Target="https://drive.google.com/open?id=17FUQT7pa6MD6OOuR_UlpcXXtt777iXcI" TargetMode="External"/><Relationship Id="rId93" Type="http://schemas.openxmlformats.org/officeDocument/2006/relationships/hyperlink" Target="https://drive.google.com/open?id=1lCUattGk_geQ5SUZTM1K7KO8Rvuqb_QR" TargetMode="External"/><Relationship Id="rId92" Type="http://schemas.openxmlformats.org/officeDocument/2006/relationships/hyperlink" Target="https://drive.google.com/open?id=1VFTaC1InHJ5PZe8tJmVnXssas7Tfb-v-" TargetMode="External"/><Relationship Id="rId118" Type="http://schemas.openxmlformats.org/officeDocument/2006/relationships/hyperlink" Target="https://drive.google.com/open?id=1mSXiK_Gv8BRiTywLqhXlcwaCWXwxE0gD" TargetMode="External"/><Relationship Id="rId239" Type="http://schemas.openxmlformats.org/officeDocument/2006/relationships/hyperlink" Target="https://drive.google.com/open?id=1XOGJta8BCTnPUKbGzQ7JLdrKsErk-KZB" TargetMode="External"/><Relationship Id="rId117" Type="http://schemas.openxmlformats.org/officeDocument/2006/relationships/hyperlink" Target="https://drive.google.com/open?id=1n4kGD4OgD7Guq1MzwKdDHMFb2GhH2x9o" TargetMode="External"/><Relationship Id="rId238" Type="http://schemas.openxmlformats.org/officeDocument/2006/relationships/hyperlink" Target="https://drive.google.com/open?id=1IFOzkSYY88j1TfnbIwe_5dXY_-dz2MHk" TargetMode="External"/><Relationship Id="rId359" Type="http://schemas.openxmlformats.org/officeDocument/2006/relationships/hyperlink" Target="https://drive.google.com/open?id=1cWGhk0qujRLGuLoFeqJezYbCk_JjfbWK" TargetMode="External"/><Relationship Id="rId116" Type="http://schemas.openxmlformats.org/officeDocument/2006/relationships/hyperlink" Target="https://drive.google.com/open?id=1vE579m3vzSYcNeoGZArK8WOztFpU07tF" TargetMode="External"/><Relationship Id="rId237" Type="http://schemas.openxmlformats.org/officeDocument/2006/relationships/hyperlink" Target="https://drive.google.com/open?id=12RWXAriXKRk3-7BNspVsngLqJAcr9f40" TargetMode="External"/><Relationship Id="rId358" Type="http://schemas.openxmlformats.org/officeDocument/2006/relationships/hyperlink" Target="https://drive.google.com/open?id=145v_t0weZfirZwroOI5P2vK163wv88mQ" TargetMode="External"/><Relationship Id="rId115" Type="http://schemas.openxmlformats.org/officeDocument/2006/relationships/hyperlink" Target="https://drive.google.com/open?id=1Mto3Qcz5BLglADKUgeNaJ-Ezde6AIyCx" TargetMode="External"/><Relationship Id="rId236" Type="http://schemas.openxmlformats.org/officeDocument/2006/relationships/hyperlink" Target="https://drive.google.com/open?id=1yjGV7id0mbX2dcXNMGmxUPHGuRFZMz0d" TargetMode="External"/><Relationship Id="rId357" Type="http://schemas.openxmlformats.org/officeDocument/2006/relationships/hyperlink" Target="https://drive.google.com/open?id=1JHgNzV3p9ULC5zhzn6CeXZ-B_2XpI2VA" TargetMode="External"/><Relationship Id="rId119" Type="http://schemas.openxmlformats.org/officeDocument/2006/relationships/hyperlink" Target="https://drive.google.com/open?id=15RP6Al6Y9aqkRf_-NdlemPGrDkpVvCtp" TargetMode="External"/><Relationship Id="rId110" Type="http://schemas.openxmlformats.org/officeDocument/2006/relationships/hyperlink" Target="https://drive.google.com/open?id=1GU88K-4q-UEppD-XOyZytuVCqOFPB8L5" TargetMode="External"/><Relationship Id="rId231" Type="http://schemas.openxmlformats.org/officeDocument/2006/relationships/hyperlink" Target="https://drive.google.com/open?id=1LCsHDaOkNTn5EqP9cpwTJyGqdno7Buhk" TargetMode="External"/><Relationship Id="rId352" Type="http://schemas.openxmlformats.org/officeDocument/2006/relationships/hyperlink" Target="https://drive.google.com/open?id=1I26BKg_WVfPlouMaJkblNRXtT6sFbyzu" TargetMode="External"/><Relationship Id="rId230" Type="http://schemas.openxmlformats.org/officeDocument/2006/relationships/hyperlink" Target="https://drive.google.com/open?id=1HGYHY3AKX90MEqiYxSosW8Lwsw7C5ogi" TargetMode="External"/><Relationship Id="rId351" Type="http://schemas.openxmlformats.org/officeDocument/2006/relationships/hyperlink" Target="https://drive.google.com/open?id=1Yh4FnaF7DTd0M_ypd_FRLT4gOltPW3mo" TargetMode="External"/><Relationship Id="rId350" Type="http://schemas.openxmlformats.org/officeDocument/2006/relationships/hyperlink" Target="https://drive.google.com/open?id=15uGdHVvbV9erXsDelT8wppr1Dp4Nc0GV" TargetMode="External"/><Relationship Id="rId114" Type="http://schemas.openxmlformats.org/officeDocument/2006/relationships/hyperlink" Target="https://drive.google.com/open?id=1vxUQ9hFPk702G4Yf2KFeBUweIh09TaZ3" TargetMode="External"/><Relationship Id="rId235" Type="http://schemas.openxmlformats.org/officeDocument/2006/relationships/hyperlink" Target="https://drive.google.com/open?id=101KcKUA-L-Bhizv0_OIqpcjiN7vX4alZ" TargetMode="External"/><Relationship Id="rId356" Type="http://schemas.openxmlformats.org/officeDocument/2006/relationships/hyperlink" Target="https://drive.google.com/open?id=1p7T-fi9107pznOusxPvncd5GcVTcVia3" TargetMode="External"/><Relationship Id="rId113" Type="http://schemas.openxmlformats.org/officeDocument/2006/relationships/hyperlink" Target="https://drive.google.com/open?id=1L3BlAm41S36OcerCltBuGA1bLjEmdJVn" TargetMode="External"/><Relationship Id="rId234" Type="http://schemas.openxmlformats.org/officeDocument/2006/relationships/hyperlink" Target="https://drive.google.com/file/d/1R1sf3RppVtEYJuSqK_lO8atofJOf9Ysl/view?usp=sharing" TargetMode="External"/><Relationship Id="rId355" Type="http://schemas.openxmlformats.org/officeDocument/2006/relationships/hyperlink" Target="https://drive.google.com/open?id=11ZRVoFp15Y_rblPkOhLhMnsOSPac5Kc6" TargetMode="External"/><Relationship Id="rId112" Type="http://schemas.openxmlformats.org/officeDocument/2006/relationships/hyperlink" Target="https://drive.google.com/open?id=1wAJJC5FKd4c3Pt9bV2ocEepQkNlHE1LP" TargetMode="External"/><Relationship Id="rId233" Type="http://schemas.openxmlformats.org/officeDocument/2006/relationships/hyperlink" Target="https://drive.google.com/open?id=1NLVDx3gSBE8XY422HjNPEpaHeLSkjAoo" TargetMode="External"/><Relationship Id="rId354" Type="http://schemas.openxmlformats.org/officeDocument/2006/relationships/hyperlink" Target="https://drive.google.com/open?id=1m_3D4X16xD2ZHSMTBA3eyz1Y1iYTaA1P" TargetMode="External"/><Relationship Id="rId111" Type="http://schemas.openxmlformats.org/officeDocument/2006/relationships/hyperlink" Target="https://drive.google.com/open?id=1rEyt3nodwy-_3bSRj6JesVtn-dZjKKbC" TargetMode="External"/><Relationship Id="rId232" Type="http://schemas.openxmlformats.org/officeDocument/2006/relationships/hyperlink" Target="https://drive.google.com/open?id=1yQew3pLjgkE9USLh3vdOT8m3xgG8GvqS" TargetMode="External"/><Relationship Id="rId353" Type="http://schemas.openxmlformats.org/officeDocument/2006/relationships/hyperlink" Target="https://drive.google.com/open?id=1hqPxasvUmKWL0k3ZEuur9j6D7t8sqNTP" TargetMode="External"/><Relationship Id="rId305" Type="http://schemas.openxmlformats.org/officeDocument/2006/relationships/hyperlink" Target="https://drive.google.com/open?id=1HbASSIlR9CW3HhcZDFk2qNrL5q0NFp1_" TargetMode="External"/><Relationship Id="rId304" Type="http://schemas.openxmlformats.org/officeDocument/2006/relationships/hyperlink" Target="https://drive.google.com/open?id=1bc_1N0qJPh_45oc0SrQyP8MrOaqOz_Yp" TargetMode="External"/><Relationship Id="rId303" Type="http://schemas.openxmlformats.org/officeDocument/2006/relationships/hyperlink" Target="https://drive.google.com/open?id=1jTBmXqsE-WoKt-0vQoTWSVb0dhKa8ZRA" TargetMode="External"/><Relationship Id="rId302" Type="http://schemas.openxmlformats.org/officeDocument/2006/relationships/hyperlink" Target="https://drive.google.com/open?id=15pDB3Vp5o5DNSMMo4ktd6BET0_F4TTWQ" TargetMode="External"/><Relationship Id="rId309" Type="http://schemas.openxmlformats.org/officeDocument/2006/relationships/hyperlink" Target="https://drive.google.com/open?id=1Ck44dC1ntDeIK2SfdNvTaGT2hbMYBZ4z" TargetMode="External"/><Relationship Id="rId308" Type="http://schemas.openxmlformats.org/officeDocument/2006/relationships/hyperlink" Target="https://drive.google.com/open?id=12EqnfwarPxEJ8kvngi4O5nwJ8H9G4RjM" TargetMode="External"/><Relationship Id="rId307" Type="http://schemas.openxmlformats.org/officeDocument/2006/relationships/hyperlink" Target="https://drive.google.com/open?id=1gstjbdK2kXX9WCrRjGhP9s8I_3EyvHOQ" TargetMode="External"/><Relationship Id="rId306" Type="http://schemas.openxmlformats.org/officeDocument/2006/relationships/hyperlink" Target="https://drive.google.com/open?id=19VPX7OU6NXUG6BbRL_amGL_Y-02OC9J_" TargetMode="External"/><Relationship Id="rId301" Type="http://schemas.openxmlformats.org/officeDocument/2006/relationships/hyperlink" Target="https://drive.google.com/open?id=1kJ6mxF-61Qlp_vgb6c5wtJdaD7upH8ny" TargetMode="External"/><Relationship Id="rId300" Type="http://schemas.openxmlformats.org/officeDocument/2006/relationships/hyperlink" Target="https://drive.google.com/open?id=16kaRRJLD-e2TQOqbGClJ5_9mPAWHEkiL" TargetMode="External"/><Relationship Id="rId206" Type="http://schemas.openxmlformats.org/officeDocument/2006/relationships/hyperlink" Target="https://drive.google.com/open?id=1HHPtt72EEq0mC93LTmre4fYw4HT1VGWp" TargetMode="External"/><Relationship Id="rId327" Type="http://schemas.openxmlformats.org/officeDocument/2006/relationships/hyperlink" Target="https://drive.google.com/open?id=1EcP_sb5nFfYmb_mfVKr78aOeYYnQLrpE" TargetMode="External"/><Relationship Id="rId205" Type="http://schemas.openxmlformats.org/officeDocument/2006/relationships/hyperlink" Target="https://drive.google.com/open?id=1-iRjymIs5CRHNI4mBEQbWs9aT-UoSfGt" TargetMode="External"/><Relationship Id="rId326" Type="http://schemas.openxmlformats.org/officeDocument/2006/relationships/hyperlink" Target="https://drive.google.com/open?id=1mErckskn03okkwTUiy95cSqTzfDm363w" TargetMode="External"/><Relationship Id="rId204" Type="http://schemas.openxmlformats.org/officeDocument/2006/relationships/hyperlink" Target="https://drive.google.com/open?id=1EvYhDEnXcpSCSDESQghShdEPhIjaWrnX" TargetMode="External"/><Relationship Id="rId325" Type="http://schemas.openxmlformats.org/officeDocument/2006/relationships/hyperlink" Target="https://drive.google.com/open?id=1xRS8Pr0jEC6tgwKhJZ-w5c-wSiLinqIl" TargetMode="External"/><Relationship Id="rId203" Type="http://schemas.openxmlformats.org/officeDocument/2006/relationships/hyperlink" Target="https://drive.google.com/open?id=1Qk96BUbWVN1EVq7pc59NjtfIpFjynUIe" TargetMode="External"/><Relationship Id="rId324" Type="http://schemas.openxmlformats.org/officeDocument/2006/relationships/hyperlink" Target="https://drive.google.com/open?id=13bRJVwCLKh5OOosJAIJoBddXwppSEpko" TargetMode="External"/><Relationship Id="rId209" Type="http://schemas.openxmlformats.org/officeDocument/2006/relationships/hyperlink" Target="https://drive.google.com/open?id=1kNNu9mSnVQwWUberDZGSN4B0rdmX_WrL" TargetMode="External"/><Relationship Id="rId208" Type="http://schemas.openxmlformats.org/officeDocument/2006/relationships/hyperlink" Target="https://drive.google.com/open?id=1F2vPOTyDXovCI2_46u_SdkKNY6NWiM8O" TargetMode="External"/><Relationship Id="rId329" Type="http://schemas.openxmlformats.org/officeDocument/2006/relationships/hyperlink" Target="https://drive.google.com/open?id=1w7rrFzM36gM6-rYXBYrXV33_jUEUpD0d" TargetMode="External"/><Relationship Id="rId207" Type="http://schemas.openxmlformats.org/officeDocument/2006/relationships/hyperlink" Target="https://drive.google.com/open?id=1XpS5MoKjxUVaJkUZXG6tOhvfJNxKBJba" TargetMode="External"/><Relationship Id="rId328" Type="http://schemas.openxmlformats.org/officeDocument/2006/relationships/hyperlink" Target="https://drive.google.com/open?id=1BxcdHyO5fn18ebNyHy07dwjDZytK1EW3" TargetMode="External"/><Relationship Id="rId202" Type="http://schemas.openxmlformats.org/officeDocument/2006/relationships/hyperlink" Target="https://drive.google.com/open?id=13CtzYnxIAOPmkR151Afrvyi3ky3dM543" TargetMode="External"/><Relationship Id="rId323" Type="http://schemas.openxmlformats.org/officeDocument/2006/relationships/hyperlink" Target="https://drive.google.com/open?id=1pIr0MbBrix-tqKhZoALuDrQz75tmKDat" TargetMode="External"/><Relationship Id="rId201" Type="http://schemas.openxmlformats.org/officeDocument/2006/relationships/hyperlink" Target="https://drive.google.com/open?id=1uuuc7n06gFs7EsQG7kOyQ95bgt8REg9A" TargetMode="External"/><Relationship Id="rId322" Type="http://schemas.openxmlformats.org/officeDocument/2006/relationships/hyperlink" Target="https://drive.google.com/open?id=1qSFR4h5waPUAAN5hSw0TJ8gsVKnbfLmm" TargetMode="External"/><Relationship Id="rId200" Type="http://schemas.openxmlformats.org/officeDocument/2006/relationships/hyperlink" Target="https://drive.google.com/open?id=1p_Ptz6v8zqgZunyKrFk_TFqgXV6fwzC2" TargetMode="External"/><Relationship Id="rId321" Type="http://schemas.openxmlformats.org/officeDocument/2006/relationships/hyperlink" Target="https://drive.google.com/open?id=1atHICltnSMmbWqc5eYPY1VXrIOo3fL14" TargetMode="External"/><Relationship Id="rId320" Type="http://schemas.openxmlformats.org/officeDocument/2006/relationships/hyperlink" Target="https://drive.google.com/open?id=16apQkYHxTw_EQ5jbg1dMLsPjUVyTTz5_https://drive.google.com/open?id=14qmRm1Y0xh6jlItEHJQlEyr9s6luqDae" TargetMode="External"/><Relationship Id="rId316" Type="http://schemas.openxmlformats.org/officeDocument/2006/relationships/hyperlink" Target="https://drive.google.com/open?id=1xkI_hIwQBPtIvEV8BdygSAuMOhhaA3_M" TargetMode="External"/><Relationship Id="rId315" Type="http://schemas.openxmlformats.org/officeDocument/2006/relationships/hyperlink" Target="https://drive.google.com/open?id=1QUvQarZ5Un08uPYrey4IrJe2JlAvpAq2" TargetMode="External"/><Relationship Id="rId314" Type="http://schemas.openxmlformats.org/officeDocument/2006/relationships/hyperlink" Target="https://drive.google.com/open?id=1tZObZEXI29kWqjsdyteXrO9NwacWy_aY" TargetMode="External"/><Relationship Id="rId313" Type="http://schemas.openxmlformats.org/officeDocument/2006/relationships/hyperlink" Target="https://drive.google.com/open?id=1Soaa0XlZFkUqBV0RTGWVzseEcmcJDxqp" TargetMode="External"/><Relationship Id="rId319" Type="http://schemas.openxmlformats.org/officeDocument/2006/relationships/hyperlink" Target="https://drive.google.com/open?id=14qmRm1Y0xh6jlItEHJQlEyr9s6luqDae" TargetMode="External"/><Relationship Id="rId318" Type="http://schemas.openxmlformats.org/officeDocument/2006/relationships/hyperlink" Target="https://drive.google.com/open?id=1MNP7ydyPaw_L09nikAi0D2QYqirJ6SH3" TargetMode="External"/><Relationship Id="rId317" Type="http://schemas.openxmlformats.org/officeDocument/2006/relationships/hyperlink" Target="https://drive.google.com/open?id=1zscq6sM1nnD-8c7RT2nT9pAxgSLY9L0C" TargetMode="External"/><Relationship Id="rId312" Type="http://schemas.openxmlformats.org/officeDocument/2006/relationships/hyperlink" Target="https://drive.google.com/open?id=1dnHvNAvALCW0uZ-oIdwdZnMcWzVMU18l" TargetMode="External"/><Relationship Id="rId311" Type="http://schemas.openxmlformats.org/officeDocument/2006/relationships/hyperlink" Target="https://drive.google.com/open?id=1yYncS4y7pHVQ7a6YjvrZXbvRVV31pn-5" TargetMode="External"/><Relationship Id="rId310" Type="http://schemas.openxmlformats.org/officeDocument/2006/relationships/hyperlink" Target="https://drive.google.com/open?id=166lQYSYzbTCaugoAQgNlSjyl_rWLbSw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GQEhR4TksVyxEo5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GQEhR4TksVyxEo59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GQEhR4TksVyxEo59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5.13"/>
    <col customWidth="1" min="5" max="5" width="22.63"/>
    <col customWidth="1" min="6" max="6" width="18.88"/>
    <col customWidth="1" min="7" max="7" width="10.13"/>
    <col customWidth="1" min="8" max="8" width="19.13"/>
    <col customWidth="1" min="9" max="9" width="18.88"/>
    <col customWidth="1" min="10" max="11" width="15.13"/>
    <col customWidth="1" min="12" max="12" width="22.63"/>
    <col customWidth="1" min="13" max="13" width="18.88"/>
    <col customWidth="1" min="14" max="14" width="25.25"/>
    <col customWidth="1" min="15" max="15" width="12.63"/>
    <col customWidth="1" min="16" max="16" width="15.13"/>
    <col customWidth="1" min="17" max="18" width="31.38"/>
    <col customWidth="1" min="19" max="20" width="12.63"/>
    <col customWidth="1" min="21" max="22" width="10.13"/>
    <col customWidth="1" min="23" max="23" width="31.38"/>
    <col customWidth="1" min="24" max="24" width="10.13"/>
    <col customWidth="1" min="25" max="25" width="21.0"/>
    <col customWidth="1" min="26" max="26" width="16.38"/>
    <col customWidth="1" min="27" max="27" width="23.63"/>
    <col customWidth="1" min="28" max="28" width="30.5"/>
    <col customWidth="1" min="29" max="30" width="12.63"/>
    <col customWidth="1" min="31" max="31" width="15.13"/>
    <col customWidth="1" min="32" max="32" width="12.63"/>
    <col customWidth="1" min="33" max="33" width="10.13"/>
    <col customWidth="1" min="34" max="34" width="8.88"/>
    <col customWidth="1" min="35" max="35" width="31.38"/>
    <col customWidth="1" min="36" max="36" width="25.13"/>
    <col customWidth="1" min="37" max="37" width="20.13"/>
    <col customWidth="1" min="38" max="38" width="15.13"/>
    <col customWidth="1" min="39" max="41" width="12.63"/>
    <col customWidth="1" min="42" max="47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19</v>
      </c>
      <c r="W1" s="1" t="s">
        <v>21</v>
      </c>
      <c r="X1" s="1" t="s">
        <v>22</v>
      </c>
      <c r="Y1" s="1" t="s">
        <v>23</v>
      </c>
      <c r="Z1" s="3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1" t="s">
        <v>29</v>
      </c>
      <c r="AF1" s="2" t="s">
        <v>30</v>
      </c>
      <c r="AG1" s="3" t="s">
        <v>31</v>
      </c>
      <c r="AH1" s="4" t="s">
        <v>32</v>
      </c>
      <c r="AI1" s="1" t="s">
        <v>33</v>
      </c>
      <c r="AJ1" s="1" t="s">
        <v>34</v>
      </c>
      <c r="AK1" s="3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5"/>
      <c r="AQ1" s="5"/>
      <c r="AR1" s="5"/>
      <c r="AS1" s="5"/>
      <c r="AT1" s="5"/>
      <c r="AU1" s="5"/>
    </row>
    <row r="2" hidden="1">
      <c r="A2" s="6">
        <v>45784.58876429398</v>
      </c>
      <c r="B2" s="7" t="s">
        <v>40</v>
      </c>
      <c r="C2" s="7" t="s">
        <v>41</v>
      </c>
      <c r="D2" s="8">
        <v>6.0122873127E10</v>
      </c>
      <c r="E2" s="7" t="s">
        <v>42</v>
      </c>
      <c r="F2" s="7" t="s">
        <v>43</v>
      </c>
      <c r="G2" s="9" t="s">
        <v>44</v>
      </c>
      <c r="H2" s="7" t="s">
        <v>45</v>
      </c>
      <c r="I2" s="7" t="s">
        <v>46</v>
      </c>
      <c r="J2" s="10" t="s">
        <v>47</v>
      </c>
      <c r="K2" s="8">
        <v>6.0126122474E10</v>
      </c>
      <c r="L2" s="7" t="s">
        <v>48</v>
      </c>
      <c r="M2" s="7" t="s">
        <v>49</v>
      </c>
      <c r="N2" s="7" t="s">
        <v>43</v>
      </c>
      <c r="O2" s="8" t="s">
        <v>50</v>
      </c>
      <c r="P2" s="10" t="s">
        <v>51</v>
      </c>
      <c r="Q2" s="11" t="s">
        <v>52</v>
      </c>
      <c r="R2" s="11" t="s">
        <v>53</v>
      </c>
      <c r="S2" s="7" t="s">
        <v>54</v>
      </c>
      <c r="T2" s="7" t="s">
        <v>55</v>
      </c>
      <c r="U2" s="7" t="s">
        <v>54</v>
      </c>
      <c r="V2" s="7" t="s">
        <v>55</v>
      </c>
      <c r="W2" s="11" t="s">
        <v>56</v>
      </c>
      <c r="X2" s="7" t="s">
        <v>57</v>
      </c>
      <c r="Y2" s="7" t="s">
        <v>58</v>
      </c>
      <c r="Z2" s="9" t="s">
        <v>59</v>
      </c>
      <c r="AA2" s="7" t="s">
        <v>60</v>
      </c>
      <c r="AB2" s="7" t="s">
        <v>61</v>
      </c>
      <c r="AC2" s="7" t="s">
        <v>62</v>
      </c>
      <c r="AD2" s="8">
        <v>6.0126122484E10</v>
      </c>
      <c r="AE2" s="7" t="s">
        <v>63</v>
      </c>
      <c r="AF2" s="8">
        <v>6.0122873127E10</v>
      </c>
      <c r="AG2" s="9" t="s">
        <v>64</v>
      </c>
      <c r="AH2" s="9">
        <v>2.0</v>
      </c>
      <c r="AI2" s="7" t="s">
        <v>65</v>
      </c>
      <c r="AJ2" s="7" t="s">
        <v>66</v>
      </c>
      <c r="AK2" s="12" t="s">
        <v>67</v>
      </c>
      <c r="AL2" s="7" t="s">
        <v>68</v>
      </c>
      <c r="AM2" s="7" t="s">
        <v>69</v>
      </c>
      <c r="AN2" s="7" t="s">
        <v>55</v>
      </c>
      <c r="AO2" s="7" t="s">
        <v>70</v>
      </c>
      <c r="AP2" s="13"/>
      <c r="AQ2" s="13"/>
      <c r="AR2" s="13"/>
      <c r="AS2" s="13"/>
      <c r="AT2" s="13"/>
      <c r="AU2" s="13"/>
    </row>
    <row r="3" hidden="1">
      <c r="A3" s="6">
        <v>45784.59246954861</v>
      </c>
      <c r="B3" s="7" t="s">
        <v>71</v>
      </c>
      <c r="C3" s="7" t="s">
        <v>72</v>
      </c>
      <c r="D3" s="10" t="s">
        <v>73</v>
      </c>
      <c r="E3" s="7" t="s">
        <v>74</v>
      </c>
      <c r="F3" s="7" t="s">
        <v>75</v>
      </c>
      <c r="G3" s="9" t="s">
        <v>76</v>
      </c>
      <c r="H3" s="7" t="s">
        <v>77</v>
      </c>
      <c r="I3" s="7" t="s">
        <v>78</v>
      </c>
      <c r="J3" s="10" t="s">
        <v>79</v>
      </c>
      <c r="K3" s="10" t="s">
        <v>80</v>
      </c>
      <c r="L3" s="7" t="s">
        <v>81</v>
      </c>
      <c r="M3" s="7" t="s">
        <v>49</v>
      </c>
      <c r="N3" s="7" t="s">
        <v>75</v>
      </c>
      <c r="O3" s="8" t="s">
        <v>82</v>
      </c>
      <c r="P3" s="8">
        <v>1.7022027E7</v>
      </c>
      <c r="Q3" s="11" t="s">
        <v>83</v>
      </c>
      <c r="R3" s="11" t="s">
        <v>84</v>
      </c>
      <c r="S3" s="7" t="s">
        <v>54</v>
      </c>
      <c r="T3" s="7" t="s">
        <v>55</v>
      </c>
      <c r="U3" s="7" t="s">
        <v>54</v>
      </c>
      <c r="V3" s="7" t="s">
        <v>55</v>
      </c>
      <c r="W3" s="11" t="s">
        <v>85</v>
      </c>
      <c r="X3" s="7" t="s">
        <v>57</v>
      </c>
      <c r="Y3" s="7" t="s">
        <v>75</v>
      </c>
      <c r="Z3" s="9" t="s">
        <v>86</v>
      </c>
      <c r="AA3" s="7" t="s">
        <v>87</v>
      </c>
      <c r="AB3" s="7" t="s">
        <v>88</v>
      </c>
      <c r="AC3" s="7" t="s">
        <v>89</v>
      </c>
      <c r="AD3" s="10" t="s">
        <v>80</v>
      </c>
      <c r="AE3" s="7" t="s">
        <v>90</v>
      </c>
      <c r="AF3" s="10" t="s">
        <v>73</v>
      </c>
      <c r="AG3" s="9" t="s">
        <v>64</v>
      </c>
      <c r="AH3" s="9">
        <v>2.0</v>
      </c>
      <c r="AI3" s="7" t="s">
        <v>91</v>
      </c>
      <c r="AJ3" s="7" t="s">
        <v>92</v>
      </c>
      <c r="AK3" s="9" t="s">
        <v>93</v>
      </c>
      <c r="AL3" s="7" t="s">
        <v>94</v>
      </c>
      <c r="AM3" s="7" t="s">
        <v>95</v>
      </c>
      <c r="AN3" s="7" t="s">
        <v>55</v>
      </c>
      <c r="AO3" s="7" t="s">
        <v>70</v>
      </c>
      <c r="AP3" s="13"/>
      <c r="AQ3" s="13"/>
      <c r="AR3" s="13"/>
      <c r="AS3" s="13"/>
      <c r="AT3" s="13"/>
      <c r="AU3" s="13"/>
    </row>
    <row r="4" hidden="1">
      <c r="A4" s="6">
        <v>45784.66623497685</v>
      </c>
      <c r="B4" s="7" t="s">
        <v>96</v>
      </c>
      <c r="C4" s="7" t="s">
        <v>97</v>
      </c>
      <c r="D4" s="10" t="s">
        <v>98</v>
      </c>
      <c r="E4" s="7" t="s">
        <v>99</v>
      </c>
      <c r="F4" s="7" t="s">
        <v>100</v>
      </c>
      <c r="G4" s="9" t="s">
        <v>76</v>
      </c>
      <c r="H4" s="7" t="s">
        <v>101</v>
      </c>
      <c r="I4" s="7" t="s">
        <v>102</v>
      </c>
      <c r="J4" s="8">
        <v>2.7062012E7</v>
      </c>
      <c r="K4" s="10" t="s">
        <v>103</v>
      </c>
      <c r="L4" s="7" t="s">
        <v>104</v>
      </c>
      <c r="M4" s="7" t="s">
        <v>49</v>
      </c>
      <c r="N4" s="7" t="s">
        <v>100</v>
      </c>
      <c r="O4" s="8" t="s">
        <v>105</v>
      </c>
      <c r="P4" s="10" t="s">
        <v>106</v>
      </c>
      <c r="Q4" s="11" t="s">
        <v>107</v>
      </c>
      <c r="R4" s="11" t="s">
        <v>108</v>
      </c>
      <c r="S4" s="7" t="s">
        <v>54</v>
      </c>
      <c r="T4" s="7" t="s">
        <v>109</v>
      </c>
      <c r="U4" s="7" t="s">
        <v>54</v>
      </c>
      <c r="V4" s="7" t="s">
        <v>109</v>
      </c>
      <c r="W4" s="11" t="s">
        <v>110</v>
      </c>
      <c r="X4" s="7" t="s">
        <v>57</v>
      </c>
      <c r="Y4" s="7" t="s">
        <v>100</v>
      </c>
      <c r="Z4" s="9">
        <v>1.20627070317E11</v>
      </c>
      <c r="AA4" s="7" t="s">
        <v>111</v>
      </c>
      <c r="AB4" s="7" t="s">
        <v>112</v>
      </c>
      <c r="AC4" s="7" t="s">
        <v>100</v>
      </c>
      <c r="AD4" s="10" t="s">
        <v>103</v>
      </c>
      <c r="AE4" s="7" t="s">
        <v>113</v>
      </c>
      <c r="AF4" s="10" t="s">
        <v>98</v>
      </c>
      <c r="AG4" s="9" t="s">
        <v>64</v>
      </c>
      <c r="AH4" s="9">
        <v>2.0</v>
      </c>
      <c r="AI4" s="7" t="s">
        <v>114</v>
      </c>
      <c r="AJ4" s="7" t="s">
        <v>115</v>
      </c>
      <c r="AK4" s="12" t="s">
        <v>116</v>
      </c>
      <c r="AL4" s="7" t="s">
        <v>113</v>
      </c>
      <c r="AM4" s="7" t="s">
        <v>117</v>
      </c>
      <c r="AN4" s="7" t="s">
        <v>109</v>
      </c>
      <c r="AO4" s="7" t="s">
        <v>70</v>
      </c>
      <c r="AP4" s="13"/>
      <c r="AQ4" s="13"/>
      <c r="AR4" s="13"/>
      <c r="AS4" s="13"/>
      <c r="AT4" s="13"/>
      <c r="AU4" s="13"/>
    </row>
    <row r="5" hidden="1">
      <c r="A5" s="6">
        <v>45784.7463474074</v>
      </c>
      <c r="B5" s="7" t="s">
        <v>118</v>
      </c>
      <c r="C5" s="7" t="s">
        <v>119</v>
      </c>
      <c r="D5" s="8">
        <v>1.23111497E8</v>
      </c>
      <c r="E5" s="7" t="s">
        <v>120</v>
      </c>
      <c r="F5" s="7" t="s">
        <v>121</v>
      </c>
      <c r="G5" s="9" t="s">
        <v>76</v>
      </c>
      <c r="H5" s="7" t="s">
        <v>101</v>
      </c>
      <c r="I5" s="7" t="s">
        <v>78</v>
      </c>
      <c r="J5" s="10" t="s">
        <v>122</v>
      </c>
      <c r="K5" s="10" t="s">
        <v>123</v>
      </c>
      <c r="L5" s="7" t="s">
        <v>120</v>
      </c>
      <c r="M5" s="7" t="s">
        <v>49</v>
      </c>
      <c r="N5" s="7" t="s">
        <v>121</v>
      </c>
      <c r="O5" s="8" t="s">
        <v>124</v>
      </c>
      <c r="P5" s="8">
        <v>1.8052027E7</v>
      </c>
      <c r="Q5" s="11" t="s">
        <v>125</v>
      </c>
      <c r="R5" s="11" t="s">
        <v>126</v>
      </c>
      <c r="S5" s="7" t="s">
        <v>54</v>
      </c>
      <c r="T5" s="7" t="s">
        <v>55</v>
      </c>
      <c r="U5" s="7" t="s">
        <v>54</v>
      </c>
      <c r="V5" s="7" t="s">
        <v>55</v>
      </c>
      <c r="W5" s="11" t="s">
        <v>127</v>
      </c>
      <c r="X5" s="7" t="s">
        <v>57</v>
      </c>
      <c r="Y5" s="7" t="s">
        <v>121</v>
      </c>
      <c r="Z5" s="9" t="s">
        <v>128</v>
      </c>
      <c r="AA5" s="7" t="s">
        <v>129</v>
      </c>
      <c r="AB5" s="7" t="s">
        <v>130</v>
      </c>
      <c r="AC5" s="7" t="s">
        <v>121</v>
      </c>
      <c r="AD5" s="10" t="s">
        <v>131</v>
      </c>
      <c r="AE5" s="7" t="s">
        <v>132</v>
      </c>
      <c r="AF5" s="10" t="s">
        <v>123</v>
      </c>
      <c r="AG5" s="9" t="s">
        <v>64</v>
      </c>
      <c r="AH5" s="9">
        <v>2.0</v>
      </c>
      <c r="AI5" s="7" t="s">
        <v>133</v>
      </c>
      <c r="AJ5" s="7" t="s">
        <v>134</v>
      </c>
      <c r="AK5" s="9">
        <v>2.5062025E7</v>
      </c>
      <c r="AL5" s="7" t="s">
        <v>135</v>
      </c>
      <c r="AM5" s="7" t="s">
        <v>69</v>
      </c>
      <c r="AN5" s="7" t="s">
        <v>55</v>
      </c>
      <c r="AO5" s="7" t="s">
        <v>70</v>
      </c>
      <c r="AP5" s="13"/>
      <c r="AQ5" s="13"/>
      <c r="AR5" s="13"/>
      <c r="AS5" s="13"/>
      <c r="AT5" s="13"/>
      <c r="AU5" s="13"/>
    </row>
    <row r="6" hidden="1">
      <c r="A6" s="6">
        <v>45784.78529648148</v>
      </c>
      <c r="B6" s="7" t="s">
        <v>136</v>
      </c>
      <c r="C6" s="7" t="s">
        <v>137</v>
      </c>
      <c r="D6" s="10" t="s">
        <v>138</v>
      </c>
      <c r="E6" s="7" t="s">
        <v>139</v>
      </c>
      <c r="F6" s="7" t="s">
        <v>140</v>
      </c>
      <c r="G6" s="9" t="s">
        <v>76</v>
      </c>
      <c r="H6" s="7" t="s">
        <v>77</v>
      </c>
      <c r="I6" s="7" t="s">
        <v>141</v>
      </c>
      <c r="J6" s="10" t="s">
        <v>142</v>
      </c>
      <c r="K6" s="10" t="s">
        <v>143</v>
      </c>
      <c r="L6" s="7" t="s">
        <v>144</v>
      </c>
      <c r="M6" s="7" t="s">
        <v>49</v>
      </c>
      <c r="N6" s="7" t="s">
        <v>140</v>
      </c>
      <c r="O6" s="8" t="s">
        <v>145</v>
      </c>
      <c r="P6" s="8">
        <v>2.4122027E7</v>
      </c>
      <c r="Q6" s="11" t="s">
        <v>146</v>
      </c>
      <c r="R6" s="11" t="s">
        <v>147</v>
      </c>
      <c r="S6" s="7" t="s">
        <v>54</v>
      </c>
      <c r="T6" s="7" t="s">
        <v>55</v>
      </c>
      <c r="U6" s="7" t="s">
        <v>54</v>
      </c>
      <c r="V6" s="7" t="s">
        <v>55</v>
      </c>
      <c r="W6" s="11" t="s">
        <v>148</v>
      </c>
      <c r="X6" s="7" t="s">
        <v>57</v>
      </c>
      <c r="Y6" s="7" t="s">
        <v>140</v>
      </c>
      <c r="Z6" s="9" t="s">
        <v>149</v>
      </c>
      <c r="AA6" s="7" t="s">
        <v>150</v>
      </c>
      <c r="AB6" s="7" t="s">
        <v>151</v>
      </c>
      <c r="AC6" s="7" t="s">
        <v>140</v>
      </c>
      <c r="AD6" s="10" t="s">
        <v>143</v>
      </c>
      <c r="AE6" s="7" t="s">
        <v>152</v>
      </c>
      <c r="AF6" s="10" t="s">
        <v>138</v>
      </c>
      <c r="AG6" s="9" t="s">
        <v>64</v>
      </c>
      <c r="AH6" s="9">
        <v>1.0</v>
      </c>
      <c r="AI6" s="7" t="s">
        <v>153</v>
      </c>
      <c r="AJ6" s="7" t="s">
        <v>154</v>
      </c>
      <c r="AK6" s="12" t="s">
        <v>155</v>
      </c>
      <c r="AL6" s="7" t="s">
        <v>156</v>
      </c>
      <c r="AM6" s="7" t="s">
        <v>157</v>
      </c>
      <c r="AN6" s="7" t="s">
        <v>55</v>
      </c>
      <c r="AO6" s="7" t="s">
        <v>70</v>
      </c>
      <c r="AP6" s="13"/>
      <c r="AQ6" s="13"/>
      <c r="AR6" s="13"/>
      <c r="AS6" s="13"/>
      <c r="AT6" s="13"/>
      <c r="AU6" s="13"/>
    </row>
    <row r="7" hidden="1">
      <c r="A7" s="6">
        <v>45784.798480729165</v>
      </c>
      <c r="B7" s="7" t="s">
        <v>158</v>
      </c>
      <c r="C7" s="7" t="s">
        <v>159</v>
      </c>
      <c r="D7" s="10" t="s">
        <v>160</v>
      </c>
      <c r="E7" s="7" t="s">
        <v>161</v>
      </c>
      <c r="F7" s="7" t="s">
        <v>162</v>
      </c>
      <c r="G7" s="9" t="s">
        <v>76</v>
      </c>
      <c r="H7" s="7" t="s">
        <v>45</v>
      </c>
      <c r="I7" s="7" t="s">
        <v>46</v>
      </c>
      <c r="J7" s="8" t="s">
        <v>163</v>
      </c>
      <c r="K7" s="10" t="s">
        <v>164</v>
      </c>
      <c r="L7" s="7" t="s">
        <v>165</v>
      </c>
      <c r="M7" s="7" t="s">
        <v>49</v>
      </c>
      <c r="N7" s="7" t="s">
        <v>162</v>
      </c>
      <c r="O7" s="8" t="s">
        <v>166</v>
      </c>
      <c r="P7" s="8" t="s">
        <v>167</v>
      </c>
      <c r="Q7" s="11" t="s">
        <v>168</v>
      </c>
      <c r="R7" s="11" t="s">
        <v>169</v>
      </c>
      <c r="S7" s="14" t="s">
        <v>170</v>
      </c>
      <c r="T7" s="14" t="s">
        <v>171</v>
      </c>
      <c r="U7" s="14" t="s">
        <v>54</v>
      </c>
      <c r="V7" s="14" t="s">
        <v>109</v>
      </c>
      <c r="W7" s="11" t="s">
        <v>172</v>
      </c>
      <c r="X7" s="7" t="s">
        <v>57</v>
      </c>
      <c r="Y7" s="7" t="s">
        <v>162</v>
      </c>
      <c r="Z7" s="9" t="s">
        <v>173</v>
      </c>
      <c r="AA7" s="7" t="s">
        <v>174</v>
      </c>
      <c r="AB7" s="7" t="s">
        <v>175</v>
      </c>
      <c r="AC7" s="7" t="s">
        <v>162</v>
      </c>
      <c r="AD7" s="10" t="s">
        <v>164</v>
      </c>
      <c r="AE7" s="7" t="s">
        <v>176</v>
      </c>
      <c r="AF7" s="10" t="s">
        <v>177</v>
      </c>
      <c r="AG7" s="9" t="s">
        <v>64</v>
      </c>
      <c r="AH7" s="9">
        <v>2.0</v>
      </c>
      <c r="AI7" s="7" t="s">
        <v>178</v>
      </c>
      <c r="AJ7" s="7" t="s">
        <v>179</v>
      </c>
      <c r="AK7" s="9" t="s">
        <v>180</v>
      </c>
      <c r="AL7" s="7" t="s">
        <v>181</v>
      </c>
      <c r="AM7" s="7" t="s">
        <v>69</v>
      </c>
      <c r="AN7" s="7" t="s">
        <v>109</v>
      </c>
      <c r="AO7" s="7" t="s">
        <v>70</v>
      </c>
      <c r="AP7" s="13"/>
      <c r="AQ7" s="13"/>
      <c r="AR7" s="13"/>
      <c r="AS7" s="13"/>
      <c r="AT7" s="13"/>
      <c r="AU7" s="13"/>
    </row>
    <row r="8" hidden="1">
      <c r="A8" s="6">
        <v>45784.83369023148</v>
      </c>
      <c r="B8" s="7" t="s">
        <v>182</v>
      </c>
      <c r="C8" s="7" t="s">
        <v>183</v>
      </c>
      <c r="D8" s="10" t="s">
        <v>184</v>
      </c>
      <c r="E8" s="7" t="s">
        <v>185</v>
      </c>
      <c r="F8" s="7" t="s">
        <v>186</v>
      </c>
      <c r="G8" s="9" t="s">
        <v>76</v>
      </c>
      <c r="H8" s="7" t="s">
        <v>77</v>
      </c>
      <c r="I8" s="7" t="s">
        <v>141</v>
      </c>
      <c r="J8" s="8" t="s">
        <v>187</v>
      </c>
      <c r="K8" s="10" t="s">
        <v>184</v>
      </c>
      <c r="L8" s="7" t="s">
        <v>185</v>
      </c>
      <c r="M8" s="7" t="s">
        <v>49</v>
      </c>
      <c r="N8" s="7" t="s">
        <v>188</v>
      </c>
      <c r="O8" s="8" t="s">
        <v>189</v>
      </c>
      <c r="P8" s="8" t="s">
        <v>190</v>
      </c>
      <c r="Q8" s="11" t="s">
        <v>191</v>
      </c>
      <c r="R8" s="11" t="s">
        <v>192</v>
      </c>
      <c r="S8" s="7" t="s">
        <v>54</v>
      </c>
      <c r="T8" s="7" t="s">
        <v>55</v>
      </c>
      <c r="U8" s="7" t="s">
        <v>54</v>
      </c>
      <c r="V8" s="7" t="s">
        <v>55</v>
      </c>
      <c r="W8" s="11" t="s">
        <v>193</v>
      </c>
      <c r="X8" s="14" t="s">
        <v>194</v>
      </c>
      <c r="Y8" s="15"/>
      <c r="Z8" s="16"/>
      <c r="AA8" s="13"/>
      <c r="AB8" s="13"/>
      <c r="AC8" s="7" t="s">
        <v>195</v>
      </c>
      <c r="AD8" s="10" t="s">
        <v>196</v>
      </c>
      <c r="AE8" s="7" t="s">
        <v>182</v>
      </c>
      <c r="AF8" s="10" t="s">
        <v>184</v>
      </c>
      <c r="AG8" s="9" t="s">
        <v>64</v>
      </c>
      <c r="AH8" s="9">
        <v>3.0</v>
      </c>
      <c r="AI8" s="7" t="s">
        <v>197</v>
      </c>
      <c r="AJ8" s="7" t="s">
        <v>198</v>
      </c>
      <c r="AK8" s="9" t="s">
        <v>199</v>
      </c>
      <c r="AL8" s="7" t="s">
        <v>200</v>
      </c>
      <c r="AM8" s="7" t="s">
        <v>117</v>
      </c>
      <c r="AN8" s="7" t="s">
        <v>55</v>
      </c>
      <c r="AO8" s="7" t="s">
        <v>70</v>
      </c>
      <c r="AP8" s="13"/>
      <c r="AQ8" s="13"/>
      <c r="AR8" s="13"/>
      <c r="AS8" s="13"/>
      <c r="AT8" s="13"/>
      <c r="AU8" s="13"/>
    </row>
    <row r="9" hidden="1">
      <c r="A9" s="6">
        <v>45784.85214447917</v>
      </c>
      <c r="B9" s="7" t="s">
        <v>201</v>
      </c>
      <c r="C9" s="7" t="s">
        <v>202</v>
      </c>
      <c r="D9" s="10" t="s">
        <v>203</v>
      </c>
      <c r="E9" s="7" t="s">
        <v>204</v>
      </c>
      <c r="F9" s="7" t="s">
        <v>205</v>
      </c>
      <c r="G9" s="9" t="s">
        <v>44</v>
      </c>
      <c r="H9" s="7" t="s">
        <v>77</v>
      </c>
      <c r="I9" s="7" t="s">
        <v>78</v>
      </c>
      <c r="J9" s="10" t="s">
        <v>206</v>
      </c>
      <c r="K9" s="10" t="s">
        <v>207</v>
      </c>
      <c r="L9" s="7" t="s">
        <v>208</v>
      </c>
      <c r="M9" s="7" t="s">
        <v>49</v>
      </c>
      <c r="N9" s="7" t="s">
        <v>205</v>
      </c>
      <c r="O9" s="8" t="s">
        <v>209</v>
      </c>
      <c r="P9" s="10" t="s">
        <v>210</v>
      </c>
      <c r="Q9" s="11" t="s">
        <v>211</v>
      </c>
      <c r="R9" s="11" t="s">
        <v>212</v>
      </c>
      <c r="S9" s="14" t="s">
        <v>54</v>
      </c>
      <c r="T9" s="14" t="s">
        <v>55</v>
      </c>
      <c r="U9" s="14" t="s">
        <v>213</v>
      </c>
      <c r="V9" s="14" t="s">
        <v>55</v>
      </c>
      <c r="W9" s="11" t="s">
        <v>214</v>
      </c>
      <c r="X9" s="7" t="s">
        <v>57</v>
      </c>
      <c r="Y9" s="7" t="s">
        <v>205</v>
      </c>
      <c r="Z9" s="9" t="s">
        <v>215</v>
      </c>
      <c r="AA9" s="7" t="s">
        <v>216</v>
      </c>
      <c r="AB9" s="7" t="s">
        <v>217</v>
      </c>
      <c r="AC9" s="7" t="s">
        <v>205</v>
      </c>
      <c r="AD9" s="10" t="s">
        <v>207</v>
      </c>
      <c r="AE9" s="7" t="s">
        <v>218</v>
      </c>
      <c r="AF9" s="10" t="s">
        <v>203</v>
      </c>
      <c r="AG9" s="9" t="s">
        <v>64</v>
      </c>
      <c r="AH9" s="9">
        <v>3.0</v>
      </c>
      <c r="AI9" s="7" t="s">
        <v>219</v>
      </c>
      <c r="AJ9" s="7" t="s">
        <v>220</v>
      </c>
      <c r="AK9" s="9" t="s">
        <v>221</v>
      </c>
      <c r="AL9" s="7" t="s">
        <v>222</v>
      </c>
      <c r="AM9" s="7" t="s">
        <v>223</v>
      </c>
      <c r="AN9" s="7" t="s">
        <v>55</v>
      </c>
      <c r="AO9" s="7" t="s">
        <v>70</v>
      </c>
      <c r="AP9" s="13"/>
      <c r="AQ9" s="13"/>
      <c r="AR9" s="13"/>
      <c r="AS9" s="13"/>
      <c r="AT9" s="13"/>
      <c r="AU9" s="13"/>
    </row>
    <row r="10" hidden="1">
      <c r="A10" s="6">
        <v>45784.87916415509</v>
      </c>
      <c r="B10" s="7" t="s">
        <v>224</v>
      </c>
      <c r="C10" s="7" t="s">
        <v>225</v>
      </c>
      <c r="D10" s="10" t="s">
        <v>226</v>
      </c>
      <c r="E10" s="7" t="s">
        <v>227</v>
      </c>
      <c r="F10" s="7" t="s">
        <v>228</v>
      </c>
      <c r="G10" s="9" t="s">
        <v>44</v>
      </c>
      <c r="H10" s="7" t="s">
        <v>77</v>
      </c>
      <c r="I10" s="7" t="s">
        <v>46</v>
      </c>
      <c r="J10" s="8" t="s">
        <v>229</v>
      </c>
      <c r="K10" s="10" t="s">
        <v>230</v>
      </c>
      <c r="L10" s="7" t="s">
        <v>227</v>
      </c>
      <c r="M10" s="7" t="s">
        <v>49</v>
      </c>
      <c r="N10" s="7" t="s">
        <v>231</v>
      </c>
      <c r="O10" s="8" t="s">
        <v>232</v>
      </c>
      <c r="P10" s="8" t="s">
        <v>233</v>
      </c>
      <c r="Q10" s="11" t="s">
        <v>234</v>
      </c>
      <c r="R10" s="11" t="s">
        <v>235</v>
      </c>
      <c r="S10" s="7" t="s">
        <v>54</v>
      </c>
      <c r="T10" s="7" t="s">
        <v>55</v>
      </c>
      <c r="U10" s="7" t="s">
        <v>54</v>
      </c>
      <c r="V10" s="7" t="s">
        <v>55</v>
      </c>
      <c r="W10" s="11" t="s">
        <v>236</v>
      </c>
      <c r="X10" s="14" t="s">
        <v>194</v>
      </c>
      <c r="Y10" s="15"/>
      <c r="Z10" s="16"/>
      <c r="AA10" s="13"/>
      <c r="AB10" s="13"/>
      <c r="AC10" s="7" t="s">
        <v>228</v>
      </c>
      <c r="AD10" s="10" t="s">
        <v>230</v>
      </c>
      <c r="AE10" s="7" t="s">
        <v>237</v>
      </c>
      <c r="AF10" s="10" t="s">
        <v>226</v>
      </c>
      <c r="AG10" s="9" t="s">
        <v>64</v>
      </c>
      <c r="AH10" s="9">
        <v>2.0</v>
      </c>
      <c r="AI10" s="7" t="s">
        <v>238</v>
      </c>
      <c r="AJ10" s="7" t="s">
        <v>239</v>
      </c>
      <c r="AK10" s="9" t="s">
        <v>239</v>
      </c>
      <c r="AL10" s="7" t="s">
        <v>240</v>
      </c>
      <c r="AM10" s="7" t="s">
        <v>241</v>
      </c>
      <c r="AN10" s="7" t="s">
        <v>55</v>
      </c>
      <c r="AO10" s="7" t="s">
        <v>70</v>
      </c>
      <c r="AP10" s="13"/>
      <c r="AQ10" s="13"/>
      <c r="AR10" s="13"/>
      <c r="AS10" s="13"/>
      <c r="AT10" s="13"/>
      <c r="AU10" s="13"/>
    </row>
    <row r="11" hidden="1">
      <c r="A11" s="6">
        <v>45784.883691423616</v>
      </c>
      <c r="B11" s="7" t="s">
        <v>242</v>
      </c>
      <c r="C11" s="7" t="s">
        <v>243</v>
      </c>
      <c r="D11" s="10" t="s">
        <v>244</v>
      </c>
      <c r="E11" s="7" t="s">
        <v>245</v>
      </c>
      <c r="F11" s="7" t="s">
        <v>246</v>
      </c>
      <c r="G11" s="9" t="s">
        <v>44</v>
      </c>
      <c r="H11" s="7" t="s">
        <v>77</v>
      </c>
      <c r="I11" s="7" t="s">
        <v>46</v>
      </c>
      <c r="J11" s="8" t="s">
        <v>247</v>
      </c>
      <c r="K11" s="10" t="s">
        <v>248</v>
      </c>
      <c r="L11" s="7" t="s">
        <v>249</v>
      </c>
      <c r="M11" s="7" t="s">
        <v>49</v>
      </c>
      <c r="N11" s="7" t="s">
        <v>250</v>
      </c>
      <c r="O11" s="8" t="s">
        <v>251</v>
      </c>
      <c r="P11" s="8" t="s">
        <v>252</v>
      </c>
      <c r="Q11" s="11" t="s">
        <v>253</v>
      </c>
      <c r="R11" s="11" t="s">
        <v>254</v>
      </c>
      <c r="S11" s="7" t="s">
        <v>54</v>
      </c>
      <c r="T11" s="7" t="s">
        <v>55</v>
      </c>
      <c r="U11" s="7" t="s">
        <v>54</v>
      </c>
      <c r="V11" s="7" t="s">
        <v>55</v>
      </c>
      <c r="W11" s="11" t="s">
        <v>255</v>
      </c>
      <c r="X11" s="7" t="s">
        <v>57</v>
      </c>
      <c r="Y11" s="7" t="s">
        <v>250</v>
      </c>
      <c r="Z11" s="9" t="s">
        <v>256</v>
      </c>
      <c r="AA11" s="7" t="s">
        <v>257</v>
      </c>
      <c r="AB11" s="7" t="s">
        <v>258</v>
      </c>
      <c r="AC11" s="7" t="s">
        <v>250</v>
      </c>
      <c r="AD11" s="10" t="s">
        <v>248</v>
      </c>
      <c r="AE11" s="7" t="s">
        <v>259</v>
      </c>
      <c r="AF11" s="10" t="s">
        <v>244</v>
      </c>
      <c r="AG11" s="17" t="s">
        <v>260</v>
      </c>
      <c r="AH11" s="18"/>
      <c r="AI11" s="13"/>
      <c r="AJ11" s="13"/>
      <c r="AK11" s="16"/>
      <c r="AL11" s="7" t="s">
        <v>259</v>
      </c>
      <c r="AM11" s="7" t="s">
        <v>117</v>
      </c>
      <c r="AN11" s="7" t="s">
        <v>55</v>
      </c>
      <c r="AO11" s="7" t="s">
        <v>70</v>
      </c>
      <c r="AP11" s="13"/>
      <c r="AQ11" s="13"/>
      <c r="AR11" s="13"/>
      <c r="AS11" s="13"/>
      <c r="AT11" s="13"/>
      <c r="AU11" s="13"/>
    </row>
    <row r="12" hidden="1">
      <c r="A12" s="6">
        <v>45784.88485023148</v>
      </c>
      <c r="B12" s="7" t="s">
        <v>261</v>
      </c>
      <c r="C12" s="7" t="s">
        <v>262</v>
      </c>
      <c r="D12" s="10" t="s">
        <v>263</v>
      </c>
      <c r="E12" s="7" t="s">
        <v>264</v>
      </c>
      <c r="F12" s="7" t="s">
        <v>265</v>
      </c>
      <c r="G12" s="9" t="s">
        <v>44</v>
      </c>
      <c r="H12" s="7" t="s">
        <v>77</v>
      </c>
      <c r="I12" s="7" t="s">
        <v>102</v>
      </c>
      <c r="J12" s="10" t="s">
        <v>266</v>
      </c>
      <c r="K12" s="8" t="s">
        <v>267</v>
      </c>
      <c r="L12" s="7" t="s">
        <v>268</v>
      </c>
      <c r="M12" s="7" t="s">
        <v>49</v>
      </c>
      <c r="N12" s="7" t="s">
        <v>265</v>
      </c>
      <c r="O12" s="8" t="s">
        <v>269</v>
      </c>
      <c r="P12" s="8" t="s">
        <v>270</v>
      </c>
      <c r="Q12" s="11" t="s">
        <v>271</v>
      </c>
      <c r="R12" s="11" t="s">
        <v>272</v>
      </c>
      <c r="S12" s="14" t="s">
        <v>54</v>
      </c>
      <c r="T12" s="14" t="s">
        <v>54</v>
      </c>
      <c r="U12" s="14" t="s">
        <v>273</v>
      </c>
      <c r="V12" s="14" t="s">
        <v>273</v>
      </c>
      <c r="W12" s="11" t="s">
        <v>274</v>
      </c>
      <c r="X12" s="7" t="s">
        <v>57</v>
      </c>
      <c r="Y12" s="7" t="s">
        <v>265</v>
      </c>
      <c r="Z12" s="9" t="s">
        <v>275</v>
      </c>
      <c r="AA12" s="7" t="s">
        <v>276</v>
      </c>
      <c r="AB12" s="7" t="s">
        <v>277</v>
      </c>
      <c r="AC12" s="7" t="s">
        <v>265</v>
      </c>
      <c r="AD12" s="8" t="s">
        <v>278</v>
      </c>
      <c r="AE12" s="7" t="s">
        <v>279</v>
      </c>
      <c r="AF12" s="10" t="s">
        <v>263</v>
      </c>
      <c r="AG12" s="9" t="s">
        <v>64</v>
      </c>
      <c r="AH12" s="9">
        <v>1.0</v>
      </c>
      <c r="AI12" s="7" t="s">
        <v>280</v>
      </c>
      <c r="AJ12" s="7" t="s">
        <v>281</v>
      </c>
      <c r="AK12" s="9" t="s">
        <v>282</v>
      </c>
      <c r="AL12" s="19" t="s">
        <v>263</v>
      </c>
      <c r="AM12" s="7" t="s">
        <v>117</v>
      </c>
      <c r="AN12" s="7" t="s">
        <v>55</v>
      </c>
      <c r="AO12" s="7" t="s">
        <v>70</v>
      </c>
      <c r="AP12" s="13"/>
      <c r="AQ12" s="13"/>
      <c r="AR12" s="13"/>
      <c r="AS12" s="13"/>
      <c r="AT12" s="13"/>
      <c r="AU12" s="13"/>
    </row>
    <row r="13" hidden="1">
      <c r="A13" s="6">
        <v>45784.8854602662</v>
      </c>
      <c r="B13" s="7" t="s">
        <v>283</v>
      </c>
      <c r="C13" s="7" t="s">
        <v>284</v>
      </c>
      <c r="D13" s="10" t="s">
        <v>285</v>
      </c>
      <c r="E13" s="7" t="s">
        <v>286</v>
      </c>
      <c r="F13" s="7" t="s">
        <v>287</v>
      </c>
      <c r="G13" s="9" t="s">
        <v>44</v>
      </c>
      <c r="H13" s="7" t="s">
        <v>45</v>
      </c>
      <c r="I13" s="7" t="s">
        <v>78</v>
      </c>
      <c r="J13" s="10" t="s">
        <v>288</v>
      </c>
      <c r="K13" s="10" t="s">
        <v>289</v>
      </c>
      <c r="L13" s="7" t="s">
        <v>290</v>
      </c>
      <c r="M13" s="7" t="s">
        <v>49</v>
      </c>
      <c r="N13" s="7" t="s">
        <v>287</v>
      </c>
      <c r="O13" s="8" t="s">
        <v>291</v>
      </c>
      <c r="P13" s="8">
        <v>1.7052028E7</v>
      </c>
      <c r="Q13" s="11" t="s">
        <v>292</v>
      </c>
      <c r="R13" s="11" t="s">
        <v>293</v>
      </c>
      <c r="S13" s="7" t="s">
        <v>54</v>
      </c>
      <c r="T13" s="7" t="s">
        <v>55</v>
      </c>
      <c r="U13" s="7" t="s">
        <v>54</v>
      </c>
      <c r="V13" s="7" t="s">
        <v>55</v>
      </c>
      <c r="W13" s="11" t="s">
        <v>294</v>
      </c>
      <c r="X13" s="7" t="s">
        <v>57</v>
      </c>
      <c r="Y13" s="7" t="s">
        <v>287</v>
      </c>
      <c r="Z13" s="12" t="s">
        <v>295</v>
      </c>
      <c r="AA13" s="7" t="s">
        <v>296</v>
      </c>
      <c r="AB13" s="7" t="s">
        <v>297</v>
      </c>
      <c r="AC13" s="7" t="s">
        <v>287</v>
      </c>
      <c r="AD13" s="10" t="s">
        <v>289</v>
      </c>
      <c r="AE13" s="7" t="s">
        <v>298</v>
      </c>
      <c r="AF13" s="10" t="s">
        <v>285</v>
      </c>
      <c r="AG13" s="9" t="s">
        <v>64</v>
      </c>
      <c r="AH13" s="9">
        <v>2.0</v>
      </c>
      <c r="AI13" s="7" t="s">
        <v>299</v>
      </c>
      <c r="AJ13" s="7" t="s">
        <v>299</v>
      </c>
      <c r="AK13" s="9" t="s">
        <v>299</v>
      </c>
      <c r="AL13" s="7" t="s">
        <v>300</v>
      </c>
      <c r="AM13" s="7" t="s">
        <v>157</v>
      </c>
      <c r="AN13" s="7" t="s">
        <v>55</v>
      </c>
      <c r="AO13" s="7" t="s">
        <v>70</v>
      </c>
      <c r="AP13" s="13"/>
      <c r="AQ13" s="13"/>
      <c r="AR13" s="13"/>
      <c r="AS13" s="13"/>
      <c r="AT13" s="13"/>
      <c r="AU13" s="13"/>
    </row>
    <row r="14" hidden="1">
      <c r="A14" s="6">
        <v>45784.89292665509</v>
      </c>
      <c r="B14" s="7" t="s">
        <v>301</v>
      </c>
      <c r="C14" s="7" t="s">
        <v>302</v>
      </c>
      <c r="D14" s="8">
        <v>6.0164119769E10</v>
      </c>
      <c r="E14" s="7" t="s">
        <v>303</v>
      </c>
      <c r="F14" s="7" t="s">
        <v>304</v>
      </c>
      <c r="G14" s="9" t="s">
        <v>76</v>
      </c>
      <c r="H14" s="7" t="s">
        <v>77</v>
      </c>
      <c r="I14" s="7" t="s">
        <v>46</v>
      </c>
      <c r="J14" s="8">
        <v>1.3052025E7</v>
      </c>
      <c r="K14" s="8">
        <v>6.0164109769E10</v>
      </c>
      <c r="L14" s="7" t="s">
        <v>303</v>
      </c>
      <c r="M14" s="7" t="s">
        <v>49</v>
      </c>
      <c r="N14" s="7" t="s">
        <v>304</v>
      </c>
      <c r="O14" s="8" t="s">
        <v>305</v>
      </c>
      <c r="P14" s="8">
        <v>1.506203E7</v>
      </c>
      <c r="Q14" s="11" t="s">
        <v>306</v>
      </c>
      <c r="R14" s="11" t="s">
        <v>307</v>
      </c>
      <c r="S14" s="7" t="s">
        <v>308</v>
      </c>
      <c r="T14" s="7" t="s">
        <v>309</v>
      </c>
      <c r="U14" s="7" t="s">
        <v>54</v>
      </c>
      <c r="V14" s="7" t="s">
        <v>55</v>
      </c>
      <c r="W14" s="11" t="s">
        <v>310</v>
      </c>
      <c r="X14" s="7" t="s">
        <v>57</v>
      </c>
      <c r="Y14" s="7" t="s">
        <v>304</v>
      </c>
      <c r="Z14" s="9" t="s">
        <v>311</v>
      </c>
      <c r="AA14" s="7" t="s">
        <v>312</v>
      </c>
      <c r="AB14" s="7" t="s">
        <v>313</v>
      </c>
      <c r="AC14" s="7" t="s">
        <v>304</v>
      </c>
      <c r="AD14" s="8">
        <v>6.0164109769E10</v>
      </c>
      <c r="AE14" s="7" t="s">
        <v>314</v>
      </c>
      <c r="AF14" s="8">
        <v>6.0164119769E10</v>
      </c>
      <c r="AG14" s="9" t="s">
        <v>64</v>
      </c>
      <c r="AH14" s="9">
        <v>1.0</v>
      </c>
      <c r="AI14" s="7" t="s">
        <v>315</v>
      </c>
      <c r="AJ14" s="7" t="s">
        <v>55</v>
      </c>
      <c r="AK14" s="9" t="s">
        <v>316</v>
      </c>
      <c r="AL14" s="7">
        <v>6.0164119769E10</v>
      </c>
      <c r="AM14" s="7" t="s">
        <v>69</v>
      </c>
      <c r="AN14" s="7" t="s">
        <v>55</v>
      </c>
      <c r="AO14" s="7" t="s">
        <v>70</v>
      </c>
      <c r="AP14" s="13"/>
      <c r="AQ14" s="13"/>
      <c r="AR14" s="13"/>
      <c r="AS14" s="13"/>
      <c r="AT14" s="13"/>
      <c r="AU14" s="13"/>
    </row>
    <row r="15" hidden="1">
      <c r="A15" s="6">
        <v>45784.89381829861</v>
      </c>
      <c r="B15" s="7" t="s">
        <v>317</v>
      </c>
      <c r="C15" s="7" t="s">
        <v>318</v>
      </c>
      <c r="D15" s="8" t="s">
        <v>319</v>
      </c>
      <c r="E15" s="7" t="s">
        <v>320</v>
      </c>
      <c r="F15" s="7" t="s">
        <v>321</v>
      </c>
      <c r="G15" s="9" t="s">
        <v>76</v>
      </c>
      <c r="H15" s="7" t="s">
        <v>77</v>
      </c>
      <c r="I15" s="7" t="s">
        <v>322</v>
      </c>
      <c r="J15" s="10" t="s">
        <v>323</v>
      </c>
      <c r="K15" s="8" t="s">
        <v>324</v>
      </c>
      <c r="L15" s="7" t="s">
        <v>320</v>
      </c>
      <c r="M15" s="7" t="s">
        <v>49</v>
      </c>
      <c r="N15" s="7" t="s">
        <v>321</v>
      </c>
      <c r="O15" s="8" t="s">
        <v>325</v>
      </c>
      <c r="P15" s="8" t="s">
        <v>326</v>
      </c>
      <c r="Q15" s="11" t="s">
        <v>327</v>
      </c>
      <c r="R15" s="11" t="s">
        <v>328</v>
      </c>
      <c r="S15" s="7" t="s">
        <v>54</v>
      </c>
      <c r="T15" s="7" t="s">
        <v>109</v>
      </c>
      <c r="U15" s="7" t="s">
        <v>54</v>
      </c>
      <c r="V15" s="7" t="s">
        <v>109</v>
      </c>
      <c r="W15" s="11" t="s">
        <v>329</v>
      </c>
      <c r="X15" s="7" t="s">
        <v>57</v>
      </c>
      <c r="Y15" s="7" t="s">
        <v>321</v>
      </c>
      <c r="Z15" s="9" t="s">
        <v>330</v>
      </c>
      <c r="AA15" s="7" t="s">
        <v>331</v>
      </c>
      <c r="AB15" s="7" t="s">
        <v>332</v>
      </c>
      <c r="AC15" s="7" t="s">
        <v>321</v>
      </c>
      <c r="AD15" s="10" t="s">
        <v>333</v>
      </c>
      <c r="AE15" s="7" t="s">
        <v>334</v>
      </c>
      <c r="AF15" s="8" t="s">
        <v>319</v>
      </c>
      <c r="AG15" s="9" t="s">
        <v>64</v>
      </c>
      <c r="AH15" s="9">
        <v>2.0</v>
      </c>
      <c r="AI15" s="7" t="s">
        <v>335</v>
      </c>
      <c r="AJ15" s="7" t="s">
        <v>336</v>
      </c>
      <c r="AK15" s="9" t="s">
        <v>337</v>
      </c>
      <c r="AL15" s="7" t="s">
        <v>338</v>
      </c>
      <c r="AM15" s="7" t="s">
        <v>157</v>
      </c>
      <c r="AN15" s="7" t="s">
        <v>109</v>
      </c>
      <c r="AO15" s="7" t="s">
        <v>70</v>
      </c>
      <c r="AP15" s="13"/>
      <c r="AQ15" s="13"/>
      <c r="AR15" s="13"/>
      <c r="AS15" s="13"/>
      <c r="AT15" s="13"/>
      <c r="AU15" s="13"/>
    </row>
    <row r="16" hidden="1">
      <c r="A16" s="6">
        <v>45784.896748217594</v>
      </c>
      <c r="B16" s="7" t="s">
        <v>339</v>
      </c>
      <c r="C16" s="7" t="s">
        <v>340</v>
      </c>
      <c r="D16" s="10" t="s">
        <v>341</v>
      </c>
      <c r="E16" s="7" t="s">
        <v>342</v>
      </c>
      <c r="F16" s="7" t="s">
        <v>343</v>
      </c>
      <c r="G16" s="9" t="s">
        <v>44</v>
      </c>
      <c r="H16" s="7" t="s">
        <v>77</v>
      </c>
      <c r="I16" s="7" t="s">
        <v>102</v>
      </c>
      <c r="J16" s="8" t="s">
        <v>344</v>
      </c>
      <c r="K16" s="10" t="s">
        <v>345</v>
      </c>
      <c r="L16" s="7" t="s">
        <v>346</v>
      </c>
      <c r="M16" s="7" t="s">
        <v>49</v>
      </c>
      <c r="N16" s="7" t="s">
        <v>347</v>
      </c>
      <c r="O16" s="8" t="s">
        <v>348</v>
      </c>
      <c r="P16" s="10" t="s">
        <v>349</v>
      </c>
      <c r="Q16" s="11" t="s">
        <v>350</v>
      </c>
      <c r="R16" s="11" t="s">
        <v>351</v>
      </c>
      <c r="S16" s="7" t="s">
        <v>54</v>
      </c>
      <c r="T16" s="7" t="s">
        <v>55</v>
      </c>
      <c r="U16" s="7" t="s">
        <v>54</v>
      </c>
      <c r="V16" s="7" t="s">
        <v>55</v>
      </c>
      <c r="W16" s="11" t="s">
        <v>352</v>
      </c>
      <c r="X16" s="7" t="s">
        <v>57</v>
      </c>
      <c r="Y16" s="7" t="s">
        <v>347</v>
      </c>
      <c r="Z16" s="9" t="s">
        <v>353</v>
      </c>
      <c r="AA16" s="7" t="s">
        <v>354</v>
      </c>
      <c r="AB16" s="7" t="s">
        <v>355</v>
      </c>
      <c r="AC16" s="7" t="s">
        <v>347</v>
      </c>
      <c r="AD16" s="10" t="s">
        <v>345</v>
      </c>
      <c r="AE16" s="7" t="s">
        <v>356</v>
      </c>
      <c r="AF16" s="10" t="s">
        <v>357</v>
      </c>
      <c r="AG16" s="9" t="s">
        <v>64</v>
      </c>
      <c r="AH16" s="9">
        <v>3.0</v>
      </c>
      <c r="AI16" s="7" t="s">
        <v>358</v>
      </c>
      <c r="AJ16" s="7" t="s">
        <v>359</v>
      </c>
      <c r="AK16" s="9" t="s">
        <v>360</v>
      </c>
      <c r="AL16" s="7" t="s">
        <v>361</v>
      </c>
      <c r="AM16" s="7" t="s">
        <v>69</v>
      </c>
      <c r="AN16" s="7" t="s">
        <v>362</v>
      </c>
      <c r="AO16" s="7" t="s">
        <v>70</v>
      </c>
      <c r="AP16" s="13"/>
      <c r="AQ16" s="13"/>
      <c r="AR16" s="13"/>
      <c r="AS16" s="13"/>
      <c r="AT16" s="13"/>
      <c r="AU16" s="13"/>
    </row>
    <row r="17" hidden="1">
      <c r="A17" s="6">
        <v>45784.915533761574</v>
      </c>
      <c r="B17" s="7" t="s">
        <v>363</v>
      </c>
      <c r="C17" s="7" t="s">
        <v>364</v>
      </c>
      <c r="D17" s="10" t="s">
        <v>365</v>
      </c>
      <c r="E17" s="7" t="s">
        <v>366</v>
      </c>
      <c r="F17" s="7" t="s">
        <v>367</v>
      </c>
      <c r="G17" s="9" t="s">
        <v>44</v>
      </c>
      <c r="H17" s="7" t="s">
        <v>101</v>
      </c>
      <c r="I17" s="7" t="s">
        <v>78</v>
      </c>
      <c r="J17" s="8">
        <v>1.5022012E7</v>
      </c>
      <c r="K17" s="8" t="s">
        <v>368</v>
      </c>
      <c r="L17" s="7" t="s">
        <v>369</v>
      </c>
      <c r="M17" s="7" t="s">
        <v>49</v>
      </c>
      <c r="N17" s="7" t="s">
        <v>367</v>
      </c>
      <c r="O17" s="8" t="s">
        <v>370</v>
      </c>
      <c r="P17" s="10" t="s">
        <v>371</v>
      </c>
      <c r="Q17" s="20" t="s">
        <v>372</v>
      </c>
      <c r="R17" s="20" t="s">
        <v>373</v>
      </c>
      <c r="S17" s="14" t="s">
        <v>54</v>
      </c>
      <c r="T17" s="14" t="s">
        <v>55</v>
      </c>
      <c r="U17" s="14" t="s">
        <v>374</v>
      </c>
      <c r="V17" s="14" t="s">
        <v>55</v>
      </c>
      <c r="W17" s="11" t="s">
        <v>375</v>
      </c>
      <c r="X17" s="7" t="s">
        <v>57</v>
      </c>
      <c r="Y17" s="7" t="s">
        <v>367</v>
      </c>
      <c r="Z17" s="9" t="s">
        <v>376</v>
      </c>
      <c r="AA17" s="7" t="s">
        <v>377</v>
      </c>
      <c r="AB17" s="7" t="s">
        <v>378</v>
      </c>
      <c r="AC17" s="7" t="s">
        <v>379</v>
      </c>
      <c r="AD17" s="8" t="s">
        <v>368</v>
      </c>
      <c r="AE17" s="7" t="s">
        <v>380</v>
      </c>
      <c r="AF17" s="8" t="s">
        <v>381</v>
      </c>
      <c r="AG17" s="9" t="s">
        <v>64</v>
      </c>
      <c r="AH17" s="9">
        <v>2.0</v>
      </c>
      <c r="AI17" s="7" t="s">
        <v>382</v>
      </c>
      <c r="AJ17" s="7" t="s">
        <v>383</v>
      </c>
      <c r="AK17" s="12" t="s">
        <v>384</v>
      </c>
      <c r="AL17" s="7" t="s">
        <v>385</v>
      </c>
      <c r="AM17" s="7" t="s">
        <v>386</v>
      </c>
      <c r="AN17" s="7" t="s">
        <v>55</v>
      </c>
      <c r="AO17" s="7" t="s">
        <v>70</v>
      </c>
      <c r="AP17" s="13"/>
      <c r="AQ17" s="13"/>
      <c r="AR17" s="13"/>
      <c r="AS17" s="13"/>
      <c r="AT17" s="13"/>
      <c r="AU17" s="13"/>
    </row>
    <row r="18" hidden="1">
      <c r="A18" s="6">
        <v>45784.91979506944</v>
      </c>
      <c r="B18" s="7" t="s">
        <v>387</v>
      </c>
      <c r="C18" s="7" t="s">
        <v>388</v>
      </c>
      <c r="D18" s="8" t="s">
        <v>389</v>
      </c>
      <c r="E18" s="7" t="s">
        <v>390</v>
      </c>
      <c r="F18" s="7" t="s">
        <v>391</v>
      </c>
      <c r="G18" s="9" t="s">
        <v>44</v>
      </c>
      <c r="H18" s="7" t="s">
        <v>101</v>
      </c>
      <c r="I18" s="7" t="s">
        <v>78</v>
      </c>
      <c r="J18" s="8">
        <v>1.3062012E7</v>
      </c>
      <c r="K18" s="8" t="s">
        <v>392</v>
      </c>
      <c r="L18" s="7" t="s">
        <v>393</v>
      </c>
      <c r="M18" s="7" t="s">
        <v>49</v>
      </c>
      <c r="N18" s="7" t="s">
        <v>391</v>
      </c>
      <c r="O18" s="8" t="s">
        <v>394</v>
      </c>
      <c r="P18" s="10" t="s">
        <v>395</v>
      </c>
      <c r="Q18" s="11" t="s">
        <v>396</v>
      </c>
      <c r="R18" s="11" t="s">
        <v>397</v>
      </c>
      <c r="S18" s="14" t="s">
        <v>54</v>
      </c>
      <c r="T18" s="14" t="s">
        <v>55</v>
      </c>
      <c r="U18" s="14" t="s">
        <v>398</v>
      </c>
      <c r="V18" s="14" t="s">
        <v>55</v>
      </c>
      <c r="W18" s="11" t="s">
        <v>399</v>
      </c>
      <c r="X18" s="7" t="s">
        <v>57</v>
      </c>
      <c r="Y18" s="7" t="s">
        <v>391</v>
      </c>
      <c r="Z18" s="9" t="s">
        <v>400</v>
      </c>
      <c r="AA18" s="7" t="s">
        <v>401</v>
      </c>
      <c r="AB18" s="7" t="s">
        <v>402</v>
      </c>
      <c r="AC18" s="7" t="s">
        <v>391</v>
      </c>
      <c r="AD18" s="8" t="s">
        <v>392</v>
      </c>
      <c r="AE18" s="7" t="s">
        <v>403</v>
      </c>
      <c r="AF18" s="8" t="s">
        <v>389</v>
      </c>
      <c r="AG18" s="9" t="s">
        <v>64</v>
      </c>
      <c r="AH18" s="9">
        <v>3.0</v>
      </c>
      <c r="AI18" s="7" t="s">
        <v>404</v>
      </c>
      <c r="AJ18" s="7" t="s">
        <v>405</v>
      </c>
      <c r="AK18" s="12" t="s">
        <v>406</v>
      </c>
      <c r="AL18" s="7" t="s">
        <v>407</v>
      </c>
      <c r="AM18" s="7" t="s">
        <v>408</v>
      </c>
      <c r="AN18" s="7" t="s">
        <v>55</v>
      </c>
      <c r="AO18" s="7" t="s">
        <v>70</v>
      </c>
      <c r="AP18" s="13"/>
      <c r="AQ18" s="13"/>
      <c r="AR18" s="13"/>
      <c r="AS18" s="13"/>
      <c r="AT18" s="13"/>
      <c r="AU18" s="13"/>
    </row>
    <row r="19" hidden="1">
      <c r="A19" s="6">
        <v>45784.92611373843</v>
      </c>
      <c r="B19" s="7" t="s">
        <v>409</v>
      </c>
      <c r="C19" s="7" t="s">
        <v>410</v>
      </c>
      <c r="D19" s="10" t="s">
        <v>411</v>
      </c>
      <c r="E19" s="7" t="s">
        <v>412</v>
      </c>
      <c r="F19" s="7" t="s">
        <v>410</v>
      </c>
      <c r="G19" s="9" t="s">
        <v>76</v>
      </c>
      <c r="H19" s="7" t="s">
        <v>45</v>
      </c>
      <c r="I19" s="7" t="s">
        <v>322</v>
      </c>
      <c r="J19" s="8">
        <v>2.4042007E7</v>
      </c>
      <c r="K19" s="10" t="s">
        <v>411</v>
      </c>
      <c r="L19" s="7" t="s">
        <v>412</v>
      </c>
      <c r="M19" s="7" t="s">
        <v>49</v>
      </c>
      <c r="N19" s="7" t="s">
        <v>413</v>
      </c>
      <c r="O19" s="8" t="s">
        <v>414</v>
      </c>
      <c r="P19" s="8">
        <v>1.3112029E7</v>
      </c>
      <c r="Q19" s="11" t="s">
        <v>415</v>
      </c>
      <c r="R19" s="11" t="s">
        <v>416</v>
      </c>
      <c r="S19" s="7" t="s">
        <v>54</v>
      </c>
      <c r="T19" s="7" t="s">
        <v>55</v>
      </c>
      <c r="U19" s="7" t="s">
        <v>54</v>
      </c>
      <c r="V19" s="7" t="s">
        <v>55</v>
      </c>
      <c r="W19" s="11" t="s">
        <v>417</v>
      </c>
      <c r="X19" s="7" t="s">
        <v>57</v>
      </c>
      <c r="Y19" s="7" t="s">
        <v>409</v>
      </c>
      <c r="Z19" s="9" t="s">
        <v>418</v>
      </c>
      <c r="AA19" s="7" t="s">
        <v>419</v>
      </c>
      <c r="AB19" s="7" t="s">
        <v>420</v>
      </c>
      <c r="AC19" s="7" t="s">
        <v>409</v>
      </c>
      <c r="AD19" s="8" t="s">
        <v>421</v>
      </c>
      <c r="AE19" s="7" t="s">
        <v>422</v>
      </c>
      <c r="AF19" s="8">
        <v>9.999999999E9</v>
      </c>
      <c r="AG19" s="17" t="s">
        <v>260</v>
      </c>
      <c r="AH19" s="18"/>
      <c r="AI19" s="13"/>
      <c r="AJ19" s="13"/>
      <c r="AK19" s="16"/>
      <c r="AL19" s="19" t="s">
        <v>411</v>
      </c>
      <c r="AM19" s="7">
        <v>1.23452168E8</v>
      </c>
      <c r="AN19" s="7" t="s">
        <v>55</v>
      </c>
      <c r="AO19" s="7" t="s">
        <v>70</v>
      </c>
      <c r="AP19" s="13"/>
      <c r="AQ19" s="13"/>
      <c r="AR19" s="13"/>
      <c r="AS19" s="13"/>
      <c r="AT19" s="13"/>
      <c r="AU19" s="13"/>
    </row>
    <row r="20" hidden="1">
      <c r="A20" s="6">
        <v>45784.927144166664</v>
      </c>
      <c r="B20" s="7" t="s">
        <v>423</v>
      </c>
      <c r="C20" s="7" t="s">
        <v>424</v>
      </c>
      <c r="D20" s="8" t="s">
        <v>425</v>
      </c>
      <c r="E20" s="7" t="s">
        <v>426</v>
      </c>
      <c r="F20" s="7" t="s">
        <v>427</v>
      </c>
      <c r="G20" s="9" t="s">
        <v>44</v>
      </c>
      <c r="H20" s="7" t="s">
        <v>45</v>
      </c>
      <c r="I20" s="7" t="s">
        <v>46</v>
      </c>
      <c r="J20" s="10" t="s">
        <v>428</v>
      </c>
      <c r="K20" s="8" t="s">
        <v>429</v>
      </c>
      <c r="L20" s="7" t="s">
        <v>430</v>
      </c>
      <c r="M20" s="7" t="s">
        <v>49</v>
      </c>
      <c r="N20" s="7" t="s">
        <v>427</v>
      </c>
      <c r="O20" s="8" t="s">
        <v>431</v>
      </c>
      <c r="P20" s="8">
        <v>2.0122027E7</v>
      </c>
      <c r="Q20" s="11" t="s">
        <v>432</v>
      </c>
      <c r="R20" s="11" t="s">
        <v>433</v>
      </c>
      <c r="S20" s="7" t="s">
        <v>54</v>
      </c>
      <c r="T20" s="7" t="s">
        <v>55</v>
      </c>
      <c r="U20" s="7" t="s">
        <v>54</v>
      </c>
      <c r="V20" s="7" t="s">
        <v>55</v>
      </c>
      <c r="W20" s="11" t="s">
        <v>434</v>
      </c>
      <c r="X20" s="7" t="s">
        <v>57</v>
      </c>
      <c r="Y20" s="7" t="s">
        <v>427</v>
      </c>
      <c r="Z20" s="9" t="s">
        <v>435</v>
      </c>
      <c r="AA20" s="7" t="s">
        <v>436</v>
      </c>
      <c r="AB20" s="7" t="s">
        <v>437</v>
      </c>
      <c r="AC20" s="7" t="s">
        <v>427</v>
      </c>
      <c r="AD20" s="8" t="s">
        <v>438</v>
      </c>
      <c r="AE20" s="7" t="s">
        <v>439</v>
      </c>
      <c r="AF20" s="8" t="s">
        <v>425</v>
      </c>
      <c r="AG20" s="9" t="s">
        <v>64</v>
      </c>
      <c r="AH20" s="9">
        <v>1.0</v>
      </c>
      <c r="AI20" s="7" t="s">
        <v>440</v>
      </c>
      <c r="AJ20" s="7" t="s">
        <v>441</v>
      </c>
      <c r="AK20" s="9" t="s">
        <v>442</v>
      </c>
      <c r="AL20" s="7" t="s">
        <v>443</v>
      </c>
      <c r="AM20" s="7" t="s">
        <v>117</v>
      </c>
      <c r="AN20" s="7" t="s">
        <v>55</v>
      </c>
      <c r="AO20" s="7" t="s">
        <v>70</v>
      </c>
      <c r="AP20" s="13"/>
      <c r="AQ20" s="13"/>
      <c r="AR20" s="13"/>
      <c r="AS20" s="13"/>
      <c r="AT20" s="13"/>
      <c r="AU20" s="13"/>
    </row>
    <row r="21" hidden="1">
      <c r="A21" s="6">
        <v>45784.927235104165</v>
      </c>
      <c r="B21" s="7" t="s">
        <v>444</v>
      </c>
      <c r="C21" s="7" t="s">
        <v>97</v>
      </c>
      <c r="D21" s="10" t="s">
        <v>445</v>
      </c>
      <c r="E21" s="7" t="s">
        <v>446</v>
      </c>
      <c r="F21" s="7" t="s">
        <v>447</v>
      </c>
      <c r="G21" s="9" t="s">
        <v>76</v>
      </c>
      <c r="H21" s="7" t="s">
        <v>77</v>
      </c>
      <c r="I21" s="7" t="s">
        <v>141</v>
      </c>
      <c r="J21" s="8">
        <v>2.910201E7</v>
      </c>
      <c r="K21" s="10" t="s">
        <v>448</v>
      </c>
      <c r="L21" s="7" t="s">
        <v>446</v>
      </c>
      <c r="M21" s="7" t="s">
        <v>49</v>
      </c>
      <c r="N21" s="7" t="s">
        <v>449</v>
      </c>
      <c r="O21" s="8" t="s">
        <v>450</v>
      </c>
      <c r="P21" s="8">
        <v>2.8012027E7</v>
      </c>
      <c r="Q21" s="11" t="s">
        <v>451</v>
      </c>
      <c r="R21" s="11" t="s">
        <v>452</v>
      </c>
      <c r="S21" s="7" t="s">
        <v>54</v>
      </c>
      <c r="T21" s="7" t="s">
        <v>55</v>
      </c>
      <c r="U21" s="7" t="s">
        <v>54</v>
      </c>
      <c r="V21" s="7" t="s">
        <v>55</v>
      </c>
      <c r="W21" s="11" t="s">
        <v>453</v>
      </c>
      <c r="X21" s="14" t="s">
        <v>194</v>
      </c>
      <c r="Y21" s="15"/>
      <c r="Z21" s="16"/>
      <c r="AA21" s="13"/>
      <c r="AB21" s="13"/>
      <c r="AC21" s="7" t="s">
        <v>447</v>
      </c>
      <c r="AD21" s="10" t="s">
        <v>448</v>
      </c>
      <c r="AE21" s="7" t="s">
        <v>454</v>
      </c>
      <c r="AF21" s="10" t="s">
        <v>445</v>
      </c>
      <c r="AG21" s="9" t="s">
        <v>64</v>
      </c>
      <c r="AH21" s="9">
        <v>3.0</v>
      </c>
      <c r="AI21" s="7" t="s">
        <v>455</v>
      </c>
      <c r="AJ21" s="7" t="s">
        <v>456</v>
      </c>
      <c r="AK21" s="9" t="s">
        <v>457</v>
      </c>
      <c r="AL21" s="7" t="s">
        <v>458</v>
      </c>
      <c r="AM21" s="7" t="s">
        <v>69</v>
      </c>
      <c r="AN21" s="7" t="s">
        <v>55</v>
      </c>
      <c r="AO21" s="7" t="s">
        <v>70</v>
      </c>
      <c r="AP21" s="13"/>
      <c r="AQ21" s="13"/>
      <c r="AR21" s="13"/>
      <c r="AS21" s="13"/>
      <c r="AT21" s="13"/>
      <c r="AU21" s="13"/>
    </row>
    <row r="22" hidden="1">
      <c r="A22" s="6">
        <v>45784.94088216435</v>
      </c>
      <c r="B22" s="7" t="s">
        <v>459</v>
      </c>
      <c r="C22" s="7" t="s">
        <v>460</v>
      </c>
      <c r="D22" s="8" t="s">
        <v>461</v>
      </c>
      <c r="E22" s="7" t="s">
        <v>462</v>
      </c>
      <c r="F22" s="7" t="s">
        <v>463</v>
      </c>
      <c r="G22" s="9" t="s">
        <v>44</v>
      </c>
      <c r="H22" s="7" t="s">
        <v>101</v>
      </c>
      <c r="I22" s="7" t="s">
        <v>102</v>
      </c>
      <c r="J22" s="10" t="s">
        <v>464</v>
      </c>
      <c r="K22" s="8" t="s">
        <v>465</v>
      </c>
      <c r="L22" s="7" t="s">
        <v>466</v>
      </c>
      <c r="M22" s="7" t="s">
        <v>49</v>
      </c>
      <c r="N22" s="7" t="s">
        <v>463</v>
      </c>
      <c r="O22" s="8" t="s">
        <v>467</v>
      </c>
      <c r="P22" s="8">
        <v>2.8082027E7</v>
      </c>
      <c r="Q22" s="11" t="s">
        <v>468</v>
      </c>
      <c r="R22" s="11" t="s">
        <v>469</v>
      </c>
      <c r="S22" s="7" t="s">
        <v>54</v>
      </c>
      <c r="T22" s="7" t="s">
        <v>55</v>
      </c>
      <c r="U22" s="7" t="s">
        <v>54</v>
      </c>
      <c r="V22" s="7" t="s">
        <v>55</v>
      </c>
      <c r="W22" s="11" t="s">
        <v>470</v>
      </c>
      <c r="X22" s="7" t="s">
        <v>57</v>
      </c>
      <c r="Y22" s="7" t="s">
        <v>463</v>
      </c>
      <c r="Z22" s="9" t="s">
        <v>471</v>
      </c>
      <c r="AA22" s="7" t="s">
        <v>472</v>
      </c>
      <c r="AB22" s="7" t="s">
        <v>473</v>
      </c>
      <c r="AC22" s="7" t="s">
        <v>463</v>
      </c>
      <c r="AD22" s="8">
        <v>6.01110189113E11</v>
      </c>
      <c r="AE22" s="7" t="s">
        <v>474</v>
      </c>
      <c r="AF22" s="8">
        <v>6.0127009113E10</v>
      </c>
      <c r="AG22" s="9" t="s">
        <v>64</v>
      </c>
      <c r="AH22" s="9">
        <v>2.0</v>
      </c>
      <c r="AI22" s="7" t="s">
        <v>475</v>
      </c>
      <c r="AJ22" s="7" t="s">
        <v>476</v>
      </c>
      <c r="AK22" s="9" t="s">
        <v>477</v>
      </c>
      <c r="AL22" s="7">
        <v>6.0127009113E10</v>
      </c>
      <c r="AM22" s="7" t="s">
        <v>157</v>
      </c>
      <c r="AN22" s="7" t="s">
        <v>55</v>
      </c>
      <c r="AO22" s="7" t="s">
        <v>70</v>
      </c>
      <c r="AP22" s="13"/>
      <c r="AQ22" s="13"/>
      <c r="AR22" s="13"/>
      <c r="AS22" s="13"/>
      <c r="AT22" s="13"/>
      <c r="AU22" s="13"/>
    </row>
    <row r="23" hidden="1">
      <c r="A23" s="6">
        <v>45784.95174885417</v>
      </c>
      <c r="B23" s="7" t="s">
        <v>478</v>
      </c>
      <c r="C23" s="7" t="s">
        <v>119</v>
      </c>
      <c r="D23" s="10" t="s">
        <v>479</v>
      </c>
      <c r="E23" s="7" t="s">
        <v>480</v>
      </c>
      <c r="F23" s="7" t="s">
        <v>481</v>
      </c>
      <c r="G23" s="9" t="s">
        <v>44</v>
      </c>
      <c r="H23" s="7" t="s">
        <v>45</v>
      </c>
      <c r="I23" s="7" t="s">
        <v>78</v>
      </c>
      <c r="J23" s="10" t="s">
        <v>482</v>
      </c>
      <c r="K23" s="10" t="s">
        <v>483</v>
      </c>
      <c r="L23" s="7" t="s">
        <v>484</v>
      </c>
      <c r="M23" s="7" t="s">
        <v>49</v>
      </c>
      <c r="N23" s="7" t="s">
        <v>481</v>
      </c>
      <c r="O23" s="8" t="s">
        <v>485</v>
      </c>
      <c r="P23" s="8">
        <v>1.8032028E7</v>
      </c>
      <c r="Q23" s="20" t="s">
        <v>486</v>
      </c>
      <c r="R23" s="11" t="s">
        <v>487</v>
      </c>
      <c r="S23" s="14" t="s">
        <v>54</v>
      </c>
      <c r="T23" s="14" t="s">
        <v>55</v>
      </c>
      <c r="U23" s="14" t="s">
        <v>488</v>
      </c>
      <c r="V23" s="14" t="s">
        <v>488</v>
      </c>
      <c r="W23" s="11" t="s">
        <v>489</v>
      </c>
      <c r="X23" s="7" t="s">
        <v>57</v>
      </c>
      <c r="Y23" s="7" t="s">
        <v>490</v>
      </c>
      <c r="Z23" s="9" t="s">
        <v>491</v>
      </c>
      <c r="AA23" s="7" t="s">
        <v>492</v>
      </c>
      <c r="AB23" s="7" t="s">
        <v>493</v>
      </c>
      <c r="AC23" s="7" t="s">
        <v>490</v>
      </c>
      <c r="AD23" s="8" t="s">
        <v>494</v>
      </c>
      <c r="AE23" s="7" t="s">
        <v>495</v>
      </c>
      <c r="AF23" s="8" t="s">
        <v>496</v>
      </c>
      <c r="AG23" s="9" t="s">
        <v>64</v>
      </c>
      <c r="AH23" s="9">
        <v>1.0</v>
      </c>
      <c r="AI23" s="7" t="s">
        <v>497</v>
      </c>
      <c r="AJ23" s="7" t="s">
        <v>498</v>
      </c>
      <c r="AK23" s="9" t="s">
        <v>499</v>
      </c>
      <c r="AL23" s="7" t="s">
        <v>500</v>
      </c>
      <c r="AM23" s="7" t="s">
        <v>501</v>
      </c>
      <c r="AN23" s="7" t="s">
        <v>109</v>
      </c>
      <c r="AO23" s="7" t="s">
        <v>70</v>
      </c>
      <c r="AP23" s="13"/>
      <c r="AQ23" s="13"/>
      <c r="AR23" s="13"/>
      <c r="AS23" s="13"/>
      <c r="AT23" s="13"/>
      <c r="AU23" s="13"/>
    </row>
    <row r="24" hidden="1">
      <c r="A24" s="6">
        <v>45784.95199469908</v>
      </c>
      <c r="B24" s="7" t="s">
        <v>502</v>
      </c>
      <c r="C24" s="7" t="s">
        <v>503</v>
      </c>
      <c r="D24" s="10" t="s">
        <v>504</v>
      </c>
      <c r="E24" s="7" t="s">
        <v>505</v>
      </c>
      <c r="F24" s="7" t="s">
        <v>506</v>
      </c>
      <c r="G24" s="9" t="s">
        <v>44</v>
      </c>
      <c r="H24" s="7" t="s">
        <v>45</v>
      </c>
      <c r="I24" s="7" t="s">
        <v>46</v>
      </c>
      <c r="J24" s="10" t="s">
        <v>507</v>
      </c>
      <c r="K24" s="10" t="s">
        <v>508</v>
      </c>
      <c r="L24" s="7" t="s">
        <v>509</v>
      </c>
      <c r="M24" s="7" t="s">
        <v>49</v>
      </c>
      <c r="N24" s="7" t="s">
        <v>510</v>
      </c>
      <c r="O24" s="8" t="s">
        <v>511</v>
      </c>
      <c r="P24" s="10" t="s">
        <v>512</v>
      </c>
      <c r="Q24" s="11" t="s">
        <v>513</v>
      </c>
      <c r="R24" s="11" t="s">
        <v>514</v>
      </c>
      <c r="S24" s="14" t="s">
        <v>54</v>
      </c>
      <c r="T24" s="14" t="s">
        <v>55</v>
      </c>
      <c r="U24" s="14" t="s">
        <v>515</v>
      </c>
      <c r="V24" s="14" t="s">
        <v>55</v>
      </c>
      <c r="W24" s="11" t="s">
        <v>516</v>
      </c>
      <c r="X24" s="7" t="s">
        <v>57</v>
      </c>
      <c r="Y24" s="7" t="s">
        <v>510</v>
      </c>
      <c r="Z24" s="9" t="s">
        <v>517</v>
      </c>
      <c r="AA24" s="7" t="s">
        <v>518</v>
      </c>
      <c r="AB24" s="7" t="s">
        <v>519</v>
      </c>
      <c r="AC24" s="7" t="s">
        <v>510</v>
      </c>
      <c r="AD24" s="8" t="s">
        <v>520</v>
      </c>
      <c r="AE24" s="7" t="s">
        <v>521</v>
      </c>
      <c r="AF24" s="10" t="s">
        <v>504</v>
      </c>
      <c r="AG24" s="9" t="s">
        <v>64</v>
      </c>
      <c r="AH24" s="9">
        <v>2.0</v>
      </c>
      <c r="AI24" s="7" t="s">
        <v>522</v>
      </c>
      <c r="AJ24" s="7" t="s">
        <v>523</v>
      </c>
      <c r="AK24" s="9" t="s">
        <v>221</v>
      </c>
      <c r="AL24" s="7" t="s">
        <v>524</v>
      </c>
      <c r="AM24" s="7" t="s">
        <v>157</v>
      </c>
      <c r="AN24" s="7" t="s">
        <v>525</v>
      </c>
      <c r="AO24" s="7" t="s">
        <v>70</v>
      </c>
      <c r="AP24" s="13"/>
      <c r="AQ24" s="13"/>
      <c r="AR24" s="13"/>
      <c r="AS24" s="13"/>
      <c r="AT24" s="13"/>
      <c r="AU24" s="13"/>
    </row>
    <row r="25" hidden="1">
      <c r="A25" s="6">
        <v>45784.95295045139</v>
      </c>
      <c r="B25" s="7" t="s">
        <v>526</v>
      </c>
      <c r="C25" s="7" t="s">
        <v>97</v>
      </c>
      <c r="D25" s="10" t="s">
        <v>527</v>
      </c>
      <c r="E25" s="7" t="s">
        <v>528</v>
      </c>
      <c r="F25" s="7" t="s">
        <v>529</v>
      </c>
      <c r="G25" s="9" t="s">
        <v>76</v>
      </c>
      <c r="H25" s="7" t="s">
        <v>77</v>
      </c>
      <c r="I25" s="7" t="s">
        <v>322</v>
      </c>
      <c r="J25" s="8">
        <v>1.802201E7</v>
      </c>
      <c r="K25" s="10" t="s">
        <v>530</v>
      </c>
      <c r="L25" s="7" t="s">
        <v>531</v>
      </c>
      <c r="M25" s="7" t="s">
        <v>49</v>
      </c>
      <c r="N25" s="7" t="s">
        <v>529</v>
      </c>
      <c r="O25" s="8" t="s">
        <v>532</v>
      </c>
      <c r="P25" s="10" t="s">
        <v>533</v>
      </c>
      <c r="Q25" s="11" t="s">
        <v>534</v>
      </c>
      <c r="R25" s="11" t="s">
        <v>535</v>
      </c>
      <c r="S25" s="14" t="s">
        <v>308</v>
      </c>
      <c r="T25" s="14" t="s">
        <v>536</v>
      </c>
      <c r="U25" s="14" t="s">
        <v>54</v>
      </c>
      <c r="V25" s="14" t="s">
        <v>109</v>
      </c>
      <c r="W25" s="11" t="s">
        <v>537</v>
      </c>
      <c r="X25" s="7" t="s">
        <v>57</v>
      </c>
      <c r="Y25" s="7" t="s">
        <v>529</v>
      </c>
      <c r="Z25" s="9" t="s">
        <v>538</v>
      </c>
      <c r="AA25" s="7" t="s">
        <v>539</v>
      </c>
      <c r="AB25" s="7" t="s">
        <v>540</v>
      </c>
      <c r="AC25" s="7" t="s">
        <v>529</v>
      </c>
      <c r="AD25" s="10" t="s">
        <v>530</v>
      </c>
      <c r="AE25" s="7" t="s">
        <v>541</v>
      </c>
      <c r="AF25" s="10" t="s">
        <v>527</v>
      </c>
      <c r="AG25" s="9" t="s">
        <v>64</v>
      </c>
      <c r="AH25" s="9">
        <v>3.0</v>
      </c>
      <c r="AI25" s="7" t="s">
        <v>542</v>
      </c>
      <c r="AJ25" s="7" t="s">
        <v>543</v>
      </c>
      <c r="AK25" s="9" t="s">
        <v>544</v>
      </c>
      <c r="AL25" s="7" t="s">
        <v>545</v>
      </c>
      <c r="AM25" s="7" t="s">
        <v>117</v>
      </c>
      <c r="AN25" s="7" t="s">
        <v>109</v>
      </c>
      <c r="AO25" s="7" t="s">
        <v>70</v>
      </c>
      <c r="AP25" s="13"/>
      <c r="AQ25" s="13"/>
      <c r="AR25" s="13"/>
      <c r="AS25" s="13"/>
      <c r="AT25" s="13"/>
      <c r="AU25" s="13"/>
    </row>
    <row r="26" hidden="1">
      <c r="A26" s="6">
        <v>45784.96112417824</v>
      </c>
      <c r="B26" s="7" t="s">
        <v>546</v>
      </c>
      <c r="C26" s="7" t="s">
        <v>547</v>
      </c>
      <c r="D26" s="10" t="s">
        <v>548</v>
      </c>
      <c r="E26" s="7" t="s">
        <v>549</v>
      </c>
      <c r="F26" s="7" t="s">
        <v>550</v>
      </c>
      <c r="G26" s="9" t="s">
        <v>44</v>
      </c>
      <c r="H26" s="7" t="s">
        <v>77</v>
      </c>
      <c r="I26" s="7" t="s">
        <v>78</v>
      </c>
      <c r="J26" s="8">
        <v>1.702201E7</v>
      </c>
      <c r="K26" s="10" t="s">
        <v>551</v>
      </c>
      <c r="L26" s="7" t="s">
        <v>549</v>
      </c>
      <c r="M26" s="7" t="s">
        <v>49</v>
      </c>
      <c r="N26" s="7" t="s">
        <v>550</v>
      </c>
      <c r="O26" s="8" t="s">
        <v>552</v>
      </c>
      <c r="P26" s="8">
        <v>1.104203E7</v>
      </c>
      <c r="Q26" s="20" t="s">
        <v>553</v>
      </c>
      <c r="R26" s="11" t="s">
        <v>554</v>
      </c>
      <c r="S26" s="7" t="s">
        <v>54</v>
      </c>
      <c r="T26" s="7" t="s">
        <v>55</v>
      </c>
      <c r="U26" s="7" t="s">
        <v>54</v>
      </c>
      <c r="V26" s="7" t="s">
        <v>55</v>
      </c>
      <c r="W26" s="11" t="s">
        <v>555</v>
      </c>
      <c r="X26" s="7" t="s">
        <v>57</v>
      </c>
      <c r="Y26" s="7" t="s">
        <v>550</v>
      </c>
      <c r="Z26" s="9" t="s">
        <v>556</v>
      </c>
      <c r="AA26" s="7" t="s">
        <v>557</v>
      </c>
      <c r="AB26" s="7" t="s">
        <v>558</v>
      </c>
      <c r="AC26" s="7" t="s">
        <v>550</v>
      </c>
      <c r="AD26" s="10" t="s">
        <v>551</v>
      </c>
      <c r="AE26" s="7" t="s">
        <v>559</v>
      </c>
      <c r="AF26" s="10" t="s">
        <v>548</v>
      </c>
      <c r="AG26" s="9" t="s">
        <v>64</v>
      </c>
      <c r="AH26" s="9">
        <v>1.0</v>
      </c>
      <c r="AI26" s="7" t="s">
        <v>560</v>
      </c>
      <c r="AJ26" s="7" t="s">
        <v>561</v>
      </c>
      <c r="AK26" s="9" t="s">
        <v>562</v>
      </c>
      <c r="AL26" s="19" t="s">
        <v>548</v>
      </c>
      <c r="AM26" s="7" t="s">
        <v>117</v>
      </c>
      <c r="AN26" s="7" t="s">
        <v>55</v>
      </c>
      <c r="AO26" s="7" t="s">
        <v>70</v>
      </c>
      <c r="AP26" s="13"/>
      <c r="AQ26" s="13"/>
      <c r="AR26" s="13"/>
      <c r="AS26" s="13"/>
      <c r="AT26" s="13"/>
      <c r="AU26" s="13"/>
    </row>
    <row r="27" hidden="1">
      <c r="A27" s="6">
        <v>45784.96345135417</v>
      </c>
      <c r="B27" s="7" t="s">
        <v>563</v>
      </c>
      <c r="C27" s="7" t="s">
        <v>564</v>
      </c>
      <c r="D27" s="10" t="s">
        <v>565</v>
      </c>
      <c r="E27" s="7" t="s">
        <v>566</v>
      </c>
      <c r="F27" s="7" t="s">
        <v>567</v>
      </c>
      <c r="G27" s="9" t="s">
        <v>76</v>
      </c>
      <c r="H27" s="7" t="s">
        <v>101</v>
      </c>
      <c r="I27" s="7" t="s">
        <v>78</v>
      </c>
      <c r="J27" s="8">
        <v>1.3012012E7</v>
      </c>
      <c r="K27" s="10" t="s">
        <v>568</v>
      </c>
      <c r="L27" s="7" t="s">
        <v>566</v>
      </c>
      <c r="M27" s="7" t="s">
        <v>49</v>
      </c>
      <c r="N27" s="7" t="s">
        <v>567</v>
      </c>
      <c r="O27" s="8" t="s">
        <v>569</v>
      </c>
      <c r="P27" s="10" t="s">
        <v>570</v>
      </c>
      <c r="Q27" s="11" t="s">
        <v>571</v>
      </c>
      <c r="R27" s="11" t="s">
        <v>572</v>
      </c>
      <c r="S27" s="14" t="s">
        <v>573</v>
      </c>
      <c r="T27" s="14" t="s">
        <v>574</v>
      </c>
      <c r="U27" s="14" t="s">
        <v>575</v>
      </c>
      <c r="V27" s="14" t="s">
        <v>575</v>
      </c>
      <c r="W27" s="11" t="s">
        <v>576</v>
      </c>
      <c r="X27" s="7" t="s">
        <v>57</v>
      </c>
      <c r="Y27" s="7" t="s">
        <v>577</v>
      </c>
      <c r="Z27" s="9" t="s">
        <v>578</v>
      </c>
      <c r="AA27" s="7" t="s">
        <v>579</v>
      </c>
      <c r="AB27" s="7" t="s">
        <v>580</v>
      </c>
      <c r="AC27" s="7" t="s">
        <v>581</v>
      </c>
      <c r="AD27" s="10" t="s">
        <v>568</v>
      </c>
      <c r="AE27" s="7" t="s">
        <v>582</v>
      </c>
      <c r="AF27" s="10" t="s">
        <v>565</v>
      </c>
      <c r="AG27" s="9" t="s">
        <v>64</v>
      </c>
      <c r="AH27" s="9">
        <v>2.0</v>
      </c>
      <c r="AI27" s="7" t="s">
        <v>583</v>
      </c>
      <c r="AJ27" s="7" t="s">
        <v>299</v>
      </c>
      <c r="AK27" s="9" t="s">
        <v>299</v>
      </c>
      <c r="AL27" s="7" t="s">
        <v>584</v>
      </c>
      <c r="AM27" s="7" t="s">
        <v>69</v>
      </c>
      <c r="AN27" s="7" t="s">
        <v>55</v>
      </c>
      <c r="AO27" s="7" t="s">
        <v>70</v>
      </c>
      <c r="AP27" s="13"/>
      <c r="AQ27" s="13"/>
      <c r="AR27" s="13"/>
      <c r="AS27" s="13"/>
      <c r="AT27" s="13"/>
      <c r="AU27" s="13"/>
    </row>
    <row r="28" hidden="1">
      <c r="A28" s="6">
        <v>45784.97240313658</v>
      </c>
      <c r="B28" s="7" t="s">
        <v>585</v>
      </c>
      <c r="C28" s="7" t="s">
        <v>586</v>
      </c>
      <c r="D28" s="8" t="s">
        <v>587</v>
      </c>
      <c r="E28" s="7" t="s">
        <v>588</v>
      </c>
      <c r="F28" s="7" t="s">
        <v>589</v>
      </c>
      <c r="G28" s="9" t="s">
        <v>44</v>
      </c>
      <c r="H28" s="7" t="s">
        <v>77</v>
      </c>
      <c r="I28" s="7" t="s">
        <v>46</v>
      </c>
      <c r="J28" s="8">
        <v>1.812201E7</v>
      </c>
      <c r="K28" s="8" t="s">
        <v>587</v>
      </c>
      <c r="L28" s="7" t="s">
        <v>588</v>
      </c>
      <c r="M28" s="7" t="s">
        <v>49</v>
      </c>
      <c r="N28" s="7" t="s">
        <v>590</v>
      </c>
      <c r="O28" s="8" t="s">
        <v>591</v>
      </c>
      <c r="P28" s="8">
        <v>1.908203E7</v>
      </c>
      <c r="Q28" s="11" t="s">
        <v>592</v>
      </c>
      <c r="R28" s="11" t="s">
        <v>593</v>
      </c>
      <c r="S28" s="7" t="s">
        <v>54</v>
      </c>
      <c r="T28" s="7" t="s">
        <v>55</v>
      </c>
      <c r="U28" s="7" t="s">
        <v>54</v>
      </c>
      <c r="V28" s="7" t="s">
        <v>55</v>
      </c>
      <c r="W28" s="11" t="s">
        <v>594</v>
      </c>
      <c r="X28" s="14" t="s">
        <v>194</v>
      </c>
      <c r="Y28" s="15"/>
      <c r="Z28" s="16"/>
      <c r="AA28" s="13"/>
      <c r="AB28" s="13"/>
      <c r="AC28" s="7" t="s">
        <v>589</v>
      </c>
      <c r="AD28" s="8" t="s">
        <v>587</v>
      </c>
      <c r="AE28" s="7" t="s">
        <v>595</v>
      </c>
      <c r="AF28" s="8" t="s">
        <v>587</v>
      </c>
      <c r="AG28" s="9" t="s">
        <v>64</v>
      </c>
      <c r="AH28" s="9">
        <v>2.0</v>
      </c>
      <c r="AI28" s="7" t="s">
        <v>595</v>
      </c>
      <c r="AJ28" s="7" t="s">
        <v>596</v>
      </c>
      <c r="AK28" s="9" t="s">
        <v>299</v>
      </c>
      <c r="AL28" s="7" t="s">
        <v>597</v>
      </c>
      <c r="AM28" s="7" t="s">
        <v>408</v>
      </c>
      <c r="AN28" s="7" t="s">
        <v>55</v>
      </c>
      <c r="AO28" s="7" t="s">
        <v>70</v>
      </c>
      <c r="AP28" s="13"/>
      <c r="AQ28" s="13"/>
      <c r="AR28" s="13"/>
      <c r="AS28" s="13"/>
      <c r="AT28" s="13"/>
      <c r="AU28" s="13"/>
    </row>
    <row r="29" hidden="1">
      <c r="A29" s="6">
        <v>45785.03192015046</v>
      </c>
      <c r="B29" s="7" t="s">
        <v>598</v>
      </c>
      <c r="C29" s="7" t="s">
        <v>599</v>
      </c>
      <c r="D29" s="10" t="s">
        <v>600</v>
      </c>
      <c r="E29" s="7" t="s">
        <v>601</v>
      </c>
      <c r="F29" s="7" t="s">
        <v>602</v>
      </c>
      <c r="G29" s="9" t="s">
        <v>76</v>
      </c>
      <c r="H29" s="7" t="s">
        <v>101</v>
      </c>
      <c r="I29" s="7" t="s">
        <v>78</v>
      </c>
      <c r="J29" s="8">
        <v>1.4052012E7</v>
      </c>
      <c r="K29" s="10" t="s">
        <v>600</v>
      </c>
      <c r="L29" s="7" t="s">
        <v>601</v>
      </c>
      <c r="M29" s="7" t="s">
        <v>49</v>
      </c>
      <c r="N29" s="7" t="s">
        <v>602</v>
      </c>
      <c r="O29" s="8" t="s">
        <v>603</v>
      </c>
      <c r="P29" s="10" t="s">
        <v>604</v>
      </c>
      <c r="Q29" s="11" t="s">
        <v>605</v>
      </c>
      <c r="R29" s="11" t="s">
        <v>606</v>
      </c>
      <c r="S29" s="7" t="s">
        <v>54</v>
      </c>
      <c r="T29" s="7" t="s">
        <v>55</v>
      </c>
      <c r="U29" s="7" t="s">
        <v>54</v>
      </c>
      <c r="V29" s="7" t="s">
        <v>55</v>
      </c>
      <c r="W29" s="11" t="s">
        <v>607</v>
      </c>
      <c r="X29" s="7" t="s">
        <v>57</v>
      </c>
      <c r="Y29" s="7" t="s">
        <v>602</v>
      </c>
      <c r="Z29" s="9" t="s">
        <v>608</v>
      </c>
      <c r="AA29" s="7" t="s">
        <v>609</v>
      </c>
      <c r="AB29" s="7" t="s">
        <v>610</v>
      </c>
      <c r="AC29" s="7" t="s">
        <v>602</v>
      </c>
      <c r="AD29" s="10" t="s">
        <v>611</v>
      </c>
      <c r="AE29" s="7" t="s">
        <v>612</v>
      </c>
      <c r="AF29" s="10" t="s">
        <v>600</v>
      </c>
      <c r="AG29" s="9" t="s">
        <v>64</v>
      </c>
      <c r="AH29" s="9">
        <v>3.0</v>
      </c>
      <c r="AI29" s="7" t="s">
        <v>613</v>
      </c>
      <c r="AJ29" s="7" t="s">
        <v>614</v>
      </c>
      <c r="AK29" s="9" t="s">
        <v>615</v>
      </c>
      <c r="AL29" s="7" t="s">
        <v>616</v>
      </c>
      <c r="AM29" s="7" t="s">
        <v>617</v>
      </c>
      <c r="AN29" s="7" t="s">
        <v>55</v>
      </c>
      <c r="AO29" s="7" t="s">
        <v>70</v>
      </c>
      <c r="AP29" s="13"/>
      <c r="AQ29" s="13"/>
      <c r="AR29" s="13"/>
      <c r="AS29" s="13"/>
      <c r="AT29" s="13"/>
      <c r="AU29" s="13"/>
    </row>
    <row r="30" hidden="1">
      <c r="A30" s="6">
        <v>45785.07808827546</v>
      </c>
      <c r="B30" s="7" t="s">
        <v>618</v>
      </c>
      <c r="C30" s="7" t="s">
        <v>619</v>
      </c>
      <c r="D30" s="8">
        <v>1.66934507E8</v>
      </c>
      <c r="E30" s="7" t="s">
        <v>620</v>
      </c>
      <c r="F30" s="7" t="s">
        <v>621</v>
      </c>
      <c r="G30" s="9" t="s">
        <v>76</v>
      </c>
      <c r="H30" s="7" t="s">
        <v>45</v>
      </c>
      <c r="I30" s="7" t="s">
        <v>102</v>
      </c>
      <c r="J30" s="8">
        <v>2.3092007E7</v>
      </c>
      <c r="K30" s="10" t="s">
        <v>622</v>
      </c>
      <c r="L30" s="7" t="s">
        <v>623</v>
      </c>
      <c r="M30" s="7" t="s">
        <v>49</v>
      </c>
      <c r="N30" s="7" t="s">
        <v>621</v>
      </c>
      <c r="O30" s="8" t="s">
        <v>624</v>
      </c>
      <c r="P30" s="8">
        <v>2.7112027E7</v>
      </c>
      <c r="Q30" s="11" t="s">
        <v>625</v>
      </c>
      <c r="R30" s="11" t="s">
        <v>626</v>
      </c>
      <c r="S30" s="7" t="s">
        <v>54</v>
      </c>
      <c r="T30" s="7" t="s">
        <v>55</v>
      </c>
      <c r="U30" s="7" t="s">
        <v>54</v>
      </c>
      <c r="V30" s="7" t="s">
        <v>55</v>
      </c>
      <c r="W30" s="11" t="s">
        <v>627</v>
      </c>
      <c r="X30" s="7" t="s">
        <v>57</v>
      </c>
      <c r="Y30" s="7" t="s">
        <v>621</v>
      </c>
      <c r="Z30" s="12" t="s">
        <v>628</v>
      </c>
      <c r="AA30" s="7" t="s">
        <v>629</v>
      </c>
      <c r="AB30" s="7" t="s">
        <v>630</v>
      </c>
      <c r="AC30" s="7" t="s">
        <v>621</v>
      </c>
      <c r="AD30" s="10" t="s">
        <v>622</v>
      </c>
      <c r="AE30" s="7" t="s">
        <v>631</v>
      </c>
      <c r="AF30" s="10" t="s">
        <v>632</v>
      </c>
      <c r="AG30" s="17" t="s">
        <v>260</v>
      </c>
      <c r="AH30" s="18"/>
      <c r="AI30" s="13"/>
      <c r="AJ30" s="13"/>
      <c r="AK30" s="16"/>
      <c r="AL30" s="7" t="s">
        <v>633</v>
      </c>
      <c r="AM30" s="7" t="s">
        <v>117</v>
      </c>
      <c r="AN30" s="7" t="s">
        <v>55</v>
      </c>
      <c r="AO30" s="7" t="s">
        <v>70</v>
      </c>
      <c r="AP30" s="13"/>
      <c r="AQ30" s="13"/>
      <c r="AR30" s="13"/>
      <c r="AS30" s="13"/>
      <c r="AT30" s="13"/>
      <c r="AU30" s="13"/>
    </row>
    <row r="31" hidden="1">
      <c r="A31" s="6">
        <v>45785.34882924768</v>
      </c>
      <c r="B31" s="7" t="s">
        <v>634</v>
      </c>
      <c r="C31" s="7" t="s">
        <v>635</v>
      </c>
      <c r="D31" s="10" t="s">
        <v>636</v>
      </c>
      <c r="E31" s="7" t="s">
        <v>637</v>
      </c>
      <c r="F31" s="7" t="s">
        <v>638</v>
      </c>
      <c r="G31" s="9" t="s">
        <v>76</v>
      </c>
      <c r="H31" s="7" t="s">
        <v>77</v>
      </c>
      <c r="I31" s="7" t="s">
        <v>78</v>
      </c>
      <c r="J31" s="8">
        <v>1.210201E7</v>
      </c>
      <c r="K31" s="10" t="s">
        <v>639</v>
      </c>
      <c r="L31" s="7" t="s">
        <v>640</v>
      </c>
      <c r="M31" s="7" t="s">
        <v>49</v>
      </c>
      <c r="N31" s="7" t="s">
        <v>641</v>
      </c>
      <c r="O31" s="8" t="s">
        <v>642</v>
      </c>
      <c r="P31" s="8">
        <v>3.006203E7</v>
      </c>
      <c r="Q31" s="11" t="s">
        <v>643</v>
      </c>
      <c r="R31" s="11" t="s">
        <v>644</v>
      </c>
      <c r="S31" s="7" t="s">
        <v>54</v>
      </c>
      <c r="T31" s="7" t="s">
        <v>55</v>
      </c>
      <c r="U31" s="7" t="s">
        <v>54</v>
      </c>
      <c r="V31" s="7" t="s">
        <v>55</v>
      </c>
      <c r="W31" s="11" t="s">
        <v>645</v>
      </c>
      <c r="X31" s="7" t="s">
        <v>57</v>
      </c>
      <c r="Y31" s="7" t="s">
        <v>638</v>
      </c>
      <c r="Z31" s="9" t="s">
        <v>646</v>
      </c>
      <c r="AA31" s="7" t="s">
        <v>647</v>
      </c>
      <c r="AB31" s="7" t="s">
        <v>648</v>
      </c>
      <c r="AC31" s="7" t="s">
        <v>649</v>
      </c>
      <c r="AD31" s="10" t="s">
        <v>639</v>
      </c>
      <c r="AE31" s="7" t="s">
        <v>650</v>
      </c>
      <c r="AF31" s="10" t="s">
        <v>636</v>
      </c>
      <c r="AG31" s="9" t="s">
        <v>64</v>
      </c>
      <c r="AH31" s="9">
        <v>2.0</v>
      </c>
      <c r="AI31" s="7" t="s">
        <v>651</v>
      </c>
      <c r="AJ31" s="7" t="s">
        <v>652</v>
      </c>
      <c r="AK31" s="9" t="s">
        <v>653</v>
      </c>
      <c r="AL31" s="7" t="s">
        <v>654</v>
      </c>
      <c r="AM31" s="7" t="s">
        <v>408</v>
      </c>
      <c r="AN31" s="7" t="s">
        <v>55</v>
      </c>
      <c r="AO31" s="7" t="s">
        <v>70</v>
      </c>
      <c r="AP31" s="13"/>
      <c r="AQ31" s="13"/>
      <c r="AR31" s="13"/>
      <c r="AS31" s="13"/>
      <c r="AT31" s="13"/>
      <c r="AU31" s="13"/>
    </row>
    <row r="32" hidden="1">
      <c r="A32" s="6">
        <v>45785.382009884255</v>
      </c>
      <c r="B32" s="7" t="s">
        <v>655</v>
      </c>
      <c r="C32" s="7" t="s">
        <v>656</v>
      </c>
      <c r="D32" s="10" t="s">
        <v>657</v>
      </c>
      <c r="E32" s="7" t="s">
        <v>658</v>
      </c>
      <c r="F32" s="7" t="s">
        <v>659</v>
      </c>
      <c r="G32" s="9" t="s">
        <v>44</v>
      </c>
      <c r="H32" s="7" t="s">
        <v>101</v>
      </c>
      <c r="I32" s="7" t="s">
        <v>102</v>
      </c>
      <c r="J32" s="8">
        <v>2.2112012E7</v>
      </c>
      <c r="K32" s="10" t="s">
        <v>660</v>
      </c>
      <c r="L32" s="7" t="s">
        <v>658</v>
      </c>
      <c r="M32" s="7" t="s">
        <v>49</v>
      </c>
      <c r="N32" s="7" t="s">
        <v>661</v>
      </c>
      <c r="O32" s="8" t="s">
        <v>662</v>
      </c>
      <c r="P32" s="10" t="s">
        <v>663</v>
      </c>
      <c r="Q32" s="11" t="s">
        <v>664</v>
      </c>
      <c r="R32" s="11" t="s">
        <v>665</v>
      </c>
      <c r="S32" s="7" t="s">
        <v>54</v>
      </c>
      <c r="T32" s="7" t="s">
        <v>55</v>
      </c>
      <c r="U32" s="7" t="s">
        <v>54</v>
      </c>
      <c r="V32" s="7" t="s">
        <v>55</v>
      </c>
      <c r="W32" s="11" t="s">
        <v>666</v>
      </c>
      <c r="X32" s="7" t="s">
        <v>57</v>
      </c>
      <c r="Y32" s="7" t="s">
        <v>659</v>
      </c>
      <c r="Z32" s="9" t="s">
        <v>667</v>
      </c>
      <c r="AA32" s="7" t="s">
        <v>668</v>
      </c>
      <c r="AB32" s="7" t="s">
        <v>669</v>
      </c>
      <c r="AC32" s="7" t="s">
        <v>659</v>
      </c>
      <c r="AD32" s="10" t="s">
        <v>660</v>
      </c>
      <c r="AE32" s="7" t="s">
        <v>670</v>
      </c>
      <c r="AF32" s="10" t="s">
        <v>657</v>
      </c>
      <c r="AG32" s="9" t="s">
        <v>64</v>
      </c>
      <c r="AH32" s="9">
        <v>1.0</v>
      </c>
      <c r="AI32" s="7" t="s">
        <v>671</v>
      </c>
      <c r="AJ32" s="7" t="s">
        <v>672</v>
      </c>
      <c r="AK32" s="9">
        <v>2.7062025E7</v>
      </c>
      <c r="AL32" s="7" t="s">
        <v>673</v>
      </c>
      <c r="AM32" s="7" t="s">
        <v>501</v>
      </c>
      <c r="AN32" s="7" t="s">
        <v>55</v>
      </c>
      <c r="AO32" s="7" t="s">
        <v>70</v>
      </c>
      <c r="AP32" s="13"/>
      <c r="AQ32" s="13"/>
      <c r="AR32" s="13"/>
      <c r="AS32" s="13"/>
      <c r="AT32" s="13"/>
      <c r="AU32" s="13"/>
    </row>
    <row r="33" hidden="1">
      <c r="A33" s="6">
        <v>45785.42926668981</v>
      </c>
      <c r="B33" s="7" t="s">
        <v>674</v>
      </c>
      <c r="C33" s="7" t="s">
        <v>675</v>
      </c>
      <c r="D33" s="10" t="s">
        <v>676</v>
      </c>
      <c r="E33" s="7" t="s">
        <v>677</v>
      </c>
      <c r="F33" s="7" t="s">
        <v>678</v>
      </c>
      <c r="G33" s="9" t="s">
        <v>76</v>
      </c>
      <c r="H33" s="7" t="s">
        <v>77</v>
      </c>
      <c r="I33" s="7" t="s">
        <v>141</v>
      </c>
      <c r="J33" s="10" t="s">
        <v>679</v>
      </c>
      <c r="K33" s="10" t="s">
        <v>680</v>
      </c>
      <c r="L33" s="7" t="s">
        <v>681</v>
      </c>
      <c r="M33" s="7" t="s">
        <v>49</v>
      </c>
      <c r="N33" s="7" t="s">
        <v>678</v>
      </c>
      <c r="O33" s="8" t="s">
        <v>682</v>
      </c>
      <c r="P33" s="10" t="s">
        <v>683</v>
      </c>
      <c r="Q33" s="11" t="s">
        <v>684</v>
      </c>
      <c r="R33" s="11" t="s">
        <v>685</v>
      </c>
      <c r="S33" s="7" t="s">
        <v>54</v>
      </c>
      <c r="T33" s="7" t="s">
        <v>55</v>
      </c>
      <c r="U33" s="7" t="s">
        <v>54</v>
      </c>
      <c r="V33" s="7" t="s">
        <v>55</v>
      </c>
      <c r="W33" s="11" t="s">
        <v>686</v>
      </c>
      <c r="X33" s="7" t="s">
        <v>57</v>
      </c>
      <c r="Y33" s="7" t="s">
        <v>678</v>
      </c>
      <c r="Z33" s="9" t="s">
        <v>687</v>
      </c>
      <c r="AA33" s="7" t="s">
        <v>688</v>
      </c>
      <c r="AB33" s="7" t="s">
        <v>689</v>
      </c>
      <c r="AC33" s="7" t="s">
        <v>678</v>
      </c>
      <c r="AD33" s="8" t="s">
        <v>690</v>
      </c>
      <c r="AE33" s="7" t="s">
        <v>691</v>
      </c>
      <c r="AF33" s="8" t="s">
        <v>692</v>
      </c>
      <c r="AG33" s="9" t="s">
        <v>64</v>
      </c>
      <c r="AH33" s="9" t="s">
        <v>693</v>
      </c>
      <c r="AI33" s="7" t="s">
        <v>694</v>
      </c>
      <c r="AJ33" s="7" t="s">
        <v>693</v>
      </c>
      <c r="AK33" s="9" t="s">
        <v>693</v>
      </c>
      <c r="AL33" s="7" t="s">
        <v>695</v>
      </c>
      <c r="AM33" s="7" t="s">
        <v>157</v>
      </c>
      <c r="AN33" s="7" t="s">
        <v>55</v>
      </c>
      <c r="AO33" s="7" t="s">
        <v>70</v>
      </c>
      <c r="AP33" s="13"/>
      <c r="AQ33" s="13"/>
      <c r="AR33" s="13"/>
      <c r="AS33" s="13"/>
      <c r="AT33" s="13"/>
      <c r="AU33" s="13"/>
    </row>
    <row r="34" hidden="1">
      <c r="A34" s="6">
        <v>45785.44801894676</v>
      </c>
      <c r="B34" s="7" t="s">
        <v>696</v>
      </c>
      <c r="C34" s="7" t="s">
        <v>697</v>
      </c>
      <c r="D34" s="10" t="s">
        <v>698</v>
      </c>
      <c r="E34" s="7" t="s">
        <v>699</v>
      </c>
      <c r="F34" s="7" t="s">
        <v>700</v>
      </c>
      <c r="G34" s="9" t="s">
        <v>76</v>
      </c>
      <c r="H34" s="7" t="s">
        <v>77</v>
      </c>
      <c r="I34" s="7" t="s">
        <v>78</v>
      </c>
      <c r="J34" s="8">
        <v>1.7092011E7</v>
      </c>
      <c r="K34" s="10" t="s">
        <v>701</v>
      </c>
      <c r="L34" s="7" t="s">
        <v>702</v>
      </c>
      <c r="M34" s="7" t="s">
        <v>49</v>
      </c>
      <c r="N34" s="7" t="s">
        <v>700</v>
      </c>
      <c r="O34" s="8" t="s">
        <v>703</v>
      </c>
      <c r="P34" s="8">
        <v>2.0122027E7</v>
      </c>
      <c r="Q34" s="11" t="s">
        <v>704</v>
      </c>
      <c r="R34" s="11" t="s">
        <v>705</v>
      </c>
      <c r="S34" s="7" t="s">
        <v>54</v>
      </c>
      <c r="T34" s="7" t="s">
        <v>55</v>
      </c>
      <c r="U34" s="7" t="s">
        <v>54</v>
      </c>
      <c r="V34" s="7" t="s">
        <v>55</v>
      </c>
      <c r="W34" s="11" t="s">
        <v>706</v>
      </c>
      <c r="X34" s="7" t="s">
        <v>57</v>
      </c>
      <c r="Y34" s="7" t="s">
        <v>700</v>
      </c>
      <c r="Z34" s="9" t="s">
        <v>707</v>
      </c>
      <c r="AA34" s="7" t="s">
        <v>708</v>
      </c>
      <c r="AB34" s="7" t="s">
        <v>709</v>
      </c>
      <c r="AC34" s="7" t="s">
        <v>700</v>
      </c>
      <c r="AD34" s="10" t="s">
        <v>701</v>
      </c>
      <c r="AE34" s="7" t="s">
        <v>710</v>
      </c>
      <c r="AF34" s="10" t="s">
        <v>698</v>
      </c>
      <c r="AG34" s="17" t="s">
        <v>260</v>
      </c>
      <c r="AH34" s="18"/>
      <c r="AI34" s="13"/>
      <c r="AJ34" s="13"/>
      <c r="AK34" s="16"/>
      <c r="AL34" s="7" t="s">
        <v>711</v>
      </c>
      <c r="AM34" s="7" t="s">
        <v>157</v>
      </c>
      <c r="AN34" s="7" t="s">
        <v>55</v>
      </c>
      <c r="AO34" s="7" t="s">
        <v>70</v>
      </c>
      <c r="AP34" s="13"/>
      <c r="AQ34" s="13"/>
      <c r="AR34" s="13"/>
      <c r="AS34" s="13"/>
      <c r="AT34" s="13"/>
      <c r="AU34" s="13"/>
    </row>
    <row r="35" hidden="1">
      <c r="A35" s="6">
        <v>45785.45993210648</v>
      </c>
      <c r="B35" s="7" t="s">
        <v>712</v>
      </c>
      <c r="C35" s="7" t="s">
        <v>713</v>
      </c>
      <c r="D35" s="10" t="s">
        <v>714</v>
      </c>
      <c r="E35" s="7" t="s">
        <v>715</v>
      </c>
      <c r="F35" s="7" t="s">
        <v>716</v>
      </c>
      <c r="G35" s="9" t="s">
        <v>44</v>
      </c>
      <c r="H35" s="7" t="s">
        <v>101</v>
      </c>
      <c r="I35" s="7" t="s">
        <v>102</v>
      </c>
      <c r="J35" s="8">
        <v>1.4062012E7</v>
      </c>
      <c r="K35" s="10" t="s">
        <v>714</v>
      </c>
      <c r="L35" s="7" t="s">
        <v>715</v>
      </c>
      <c r="M35" s="7" t="s">
        <v>49</v>
      </c>
      <c r="N35" s="7" t="s">
        <v>716</v>
      </c>
      <c r="O35" s="8" t="s">
        <v>717</v>
      </c>
      <c r="P35" s="8">
        <v>2.3052029E7</v>
      </c>
      <c r="Q35" s="11" t="s">
        <v>718</v>
      </c>
      <c r="R35" s="11" t="s">
        <v>719</v>
      </c>
      <c r="S35" s="7" t="s">
        <v>54</v>
      </c>
      <c r="T35" s="7" t="s">
        <v>55</v>
      </c>
      <c r="U35" s="7" t="s">
        <v>54</v>
      </c>
      <c r="V35" s="7" t="s">
        <v>55</v>
      </c>
      <c r="W35" s="11" t="s">
        <v>720</v>
      </c>
      <c r="X35" s="7" t="s">
        <v>57</v>
      </c>
      <c r="Y35" s="7" t="s">
        <v>716</v>
      </c>
      <c r="Z35" s="9" t="s">
        <v>721</v>
      </c>
      <c r="AA35" s="7" t="s">
        <v>722</v>
      </c>
      <c r="AB35" s="7" t="s">
        <v>723</v>
      </c>
      <c r="AC35" s="7" t="s">
        <v>716</v>
      </c>
      <c r="AD35" s="10" t="s">
        <v>724</v>
      </c>
      <c r="AE35" s="7" t="s">
        <v>725</v>
      </c>
      <c r="AF35" s="10" t="s">
        <v>714</v>
      </c>
      <c r="AG35" s="9" t="s">
        <v>64</v>
      </c>
      <c r="AH35" s="9">
        <v>2.0</v>
      </c>
      <c r="AI35" s="7" t="s">
        <v>726</v>
      </c>
      <c r="AJ35" s="7" t="s">
        <v>727</v>
      </c>
      <c r="AK35" s="9" t="s">
        <v>727</v>
      </c>
      <c r="AL35" s="7" t="s">
        <v>728</v>
      </c>
      <c r="AM35" s="7" t="s">
        <v>95</v>
      </c>
      <c r="AN35" s="7" t="s">
        <v>55</v>
      </c>
      <c r="AO35" s="7" t="s">
        <v>70</v>
      </c>
      <c r="AP35" s="13"/>
      <c r="AQ35" s="13"/>
      <c r="AR35" s="13"/>
      <c r="AS35" s="13"/>
      <c r="AT35" s="13"/>
      <c r="AU35" s="13"/>
    </row>
    <row r="36" hidden="1">
      <c r="A36" s="6">
        <v>45785.470591226855</v>
      </c>
      <c r="B36" s="7" t="s">
        <v>729</v>
      </c>
      <c r="C36" s="7" t="s">
        <v>730</v>
      </c>
      <c r="D36" s="8" t="s">
        <v>731</v>
      </c>
      <c r="E36" s="7" t="s">
        <v>732</v>
      </c>
      <c r="F36" s="7" t="s">
        <v>733</v>
      </c>
      <c r="G36" s="9" t="s">
        <v>44</v>
      </c>
      <c r="H36" s="7" t="s">
        <v>101</v>
      </c>
      <c r="I36" s="7" t="s">
        <v>78</v>
      </c>
      <c r="J36" s="8" t="s">
        <v>734</v>
      </c>
      <c r="K36" s="8" t="s">
        <v>731</v>
      </c>
      <c r="L36" s="7" t="s">
        <v>732</v>
      </c>
      <c r="M36" s="7" t="s">
        <v>49</v>
      </c>
      <c r="N36" s="7" t="s">
        <v>733</v>
      </c>
      <c r="O36" s="8" t="s">
        <v>735</v>
      </c>
      <c r="P36" s="8" t="s">
        <v>736</v>
      </c>
      <c r="Q36" s="11" t="s">
        <v>737</v>
      </c>
      <c r="R36" s="11" t="s">
        <v>738</v>
      </c>
      <c r="S36" s="14" t="s">
        <v>308</v>
      </c>
      <c r="T36" s="14" t="s">
        <v>739</v>
      </c>
      <c r="U36" s="14" t="s">
        <v>740</v>
      </c>
      <c r="V36" s="14" t="s">
        <v>741</v>
      </c>
      <c r="W36" s="11" t="s">
        <v>742</v>
      </c>
      <c r="X36" s="7" t="s">
        <v>57</v>
      </c>
      <c r="Y36" s="7" t="s">
        <v>733</v>
      </c>
      <c r="Z36" s="9">
        <v>1.4042668001E11</v>
      </c>
      <c r="AA36" s="7" t="s">
        <v>743</v>
      </c>
      <c r="AB36" s="7" t="s">
        <v>744</v>
      </c>
      <c r="AC36" s="7" t="s">
        <v>733</v>
      </c>
      <c r="AD36" s="8" t="s">
        <v>745</v>
      </c>
      <c r="AE36" s="7" t="s">
        <v>746</v>
      </c>
      <c r="AF36" s="8" t="s">
        <v>731</v>
      </c>
      <c r="AG36" s="9" t="s">
        <v>64</v>
      </c>
      <c r="AH36" s="9">
        <v>2.0</v>
      </c>
      <c r="AI36" s="7" t="s">
        <v>747</v>
      </c>
      <c r="AJ36" s="7" t="s">
        <v>748</v>
      </c>
      <c r="AK36" s="9" t="s">
        <v>749</v>
      </c>
      <c r="AL36" s="7" t="s">
        <v>750</v>
      </c>
      <c r="AM36" s="7" t="s">
        <v>157</v>
      </c>
      <c r="AN36" s="7" t="s">
        <v>55</v>
      </c>
      <c r="AO36" s="7" t="s">
        <v>70</v>
      </c>
      <c r="AP36" s="13"/>
      <c r="AQ36" s="13"/>
      <c r="AR36" s="13"/>
      <c r="AS36" s="13"/>
      <c r="AT36" s="13"/>
      <c r="AU36" s="13"/>
    </row>
    <row r="37" hidden="1">
      <c r="A37" s="6">
        <v>45785.478749699076</v>
      </c>
      <c r="B37" s="7" t="s">
        <v>751</v>
      </c>
      <c r="C37" s="7" t="s">
        <v>752</v>
      </c>
      <c r="D37" s="8" t="s">
        <v>753</v>
      </c>
      <c r="E37" s="7" t="s">
        <v>754</v>
      </c>
      <c r="F37" s="7" t="s">
        <v>755</v>
      </c>
      <c r="G37" s="9" t="s">
        <v>76</v>
      </c>
      <c r="H37" s="7" t="s">
        <v>45</v>
      </c>
      <c r="I37" s="7" t="s">
        <v>46</v>
      </c>
      <c r="J37" s="8">
        <v>1.9062009E7</v>
      </c>
      <c r="K37" s="8" t="s">
        <v>756</v>
      </c>
      <c r="L37" s="7" t="s">
        <v>757</v>
      </c>
      <c r="M37" s="7" t="s">
        <v>49</v>
      </c>
      <c r="N37" s="7" t="s">
        <v>755</v>
      </c>
      <c r="O37" s="8" t="s">
        <v>758</v>
      </c>
      <c r="P37" s="8">
        <v>1.9062028E7</v>
      </c>
      <c r="Q37" s="11" t="s">
        <v>759</v>
      </c>
      <c r="R37" s="11" t="s">
        <v>760</v>
      </c>
      <c r="S37" s="7" t="s">
        <v>54</v>
      </c>
      <c r="T37" s="7" t="s">
        <v>55</v>
      </c>
      <c r="U37" s="7" t="s">
        <v>54</v>
      </c>
      <c r="V37" s="7" t="s">
        <v>55</v>
      </c>
      <c r="W37" s="11" t="s">
        <v>761</v>
      </c>
      <c r="X37" s="7" t="s">
        <v>57</v>
      </c>
      <c r="Y37" s="7" t="s">
        <v>755</v>
      </c>
      <c r="Z37" s="9" t="s">
        <v>762</v>
      </c>
      <c r="AA37" s="7" t="s">
        <v>763</v>
      </c>
      <c r="AB37" s="7" t="s">
        <v>764</v>
      </c>
      <c r="AC37" s="7" t="s">
        <v>755</v>
      </c>
      <c r="AD37" s="8" t="s">
        <v>756</v>
      </c>
      <c r="AE37" s="7" t="s">
        <v>765</v>
      </c>
      <c r="AF37" s="8" t="s">
        <v>753</v>
      </c>
      <c r="AG37" s="17" t="s">
        <v>260</v>
      </c>
      <c r="AH37" s="18"/>
      <c r="AI37" s="13"/>
      <c r="AJ37" s="13"/>
      <c r="AK37" s="16"/>
      <c r="AL37" s="7" t="s">
        <v>766</v>
      </c>
      <c r="AM37" s="7" t="s">
        <v>95</v>
      </c>
      <c r="AN37" s="7" t="s">
        <v>767</v>
      </c>
      <c r="AO37" s="7" t="s">
        <v>70</v>
      </c>
      <c r="AP37" s="13"/>
      <c r="AQ37" s="13"/>
      <c r="AR37" s="13"/>
      <c r="AS37" s="13"/>
      <c r="AT37" s="13"/>
      <c r="AU37" s="13"/>
    </row>
    <row r="38" hidden="1">
      <c r="A38" s="6">
        <v>45785.49909363426</v>
      </c>
      <c r="B38" s="7" t="s">
        <v>768</v>
      </c>
      <c r="C38" s="7" t="s">
        <v>769</v>
      </c>
      <c r="D38" s="10" t="s">
        <v>770</v>
      </c>
      <c r="E38" s="7" t="s">
        <v>771</v>
      </c>
      <c r="F38" s="7" t="s">
        <v>772</v>
      </c>
      <c r="G38" s="9" t="s">
        <v>44</v>
      </c>
      <c r="H38" s="7" t="s">
        <v>45</v>
      </c>
      <c r="I38" s="7" t="s">
        <v>46</v>
      </c>
      <c r="J38" s="8">
        <v>1.5072009E7</v>
      </c>
      <c r="K38" s="10" t="s">
        <v>773</v>
      </c>
      <c r="L38" s="7" t="s">
        <v>774</v>
      </c>
      <c r="M38" s="7" t="s">
        <v>49</v>
      </c>
      <c r="N38" s="7" t="s">
        <v>775</v>
      </c>
      <c r="O38" s="8" t="s">
        <v>776</v>
      </c>
      <c r="P38" s="10" t="s">
        <v>777</v>
      </c>
      <c r="Q38" s="11" t="s">
        <v>778</v>
      </c>
      <c r="R38" s="11" t="s">
        <v>779</v>
      </c>
      <c r="S38" s="7" t="s">
        <v>54</v>
      </c>
      <c r="T38" s="7" t="s">
        <v>55</v>
      </c>
      <c r="U38" s="7" t="s">
        <v>54</v>
      </c>
      <c r="V38" s="7" t="s">
        <v>55</v>
      </c>
      <c r="W38" s="11" t="s">
        <v>780</v>
      </c>
      <c r="X38" s="7" t="s">
        <v>57</v>
      </c>
      <c r="Y38" s="7" t="s">
        <v>772</v>
      </c>
      <c r="Z38" s="9" t="s">
        <v>781</v>
      </c>
      <c r="AA38" s="7" t="s">
        <v>782</v>
      </c>
      <c r="AB38" s="7" t="s">
        <v>783</v>
      </c>
      <c r="AC38" s="7" t="s">
        <v>772</v>
      </c>
      <c r="AD38" s="10" t="s">
        <v>773</v>
      </c>
      <c r="AE38" s="7" t="s">
        <v>784</v>
      </c>
      <c r="AF38" s="10" t="s">
        <v>770</v>
      </c>
      <c r="AG38" s="9" t="s">
        <v>64</v>
      </c>
      <c r="AH38" s="9">
        <v>1.0</v>
      </c>
      <c r="AI38" s="7" t="s">
        <v>785</v>
      </c>
      <c r="AJ38" s="7" t="s">
        <v>179</v>
      </c>
      <c r="AK38" s="9" t="s">
        <v>199</v>
      </c>
      <c r="AL38" s="19" t="s">
        <v>770</v>
      </c>
      <c r="AM38" s="7" t="s">
        <v>501</v>
      </c>
      <c r="AN38" s="7" t="s">
        <v>55</v>
      </c>
      <c r="AO38" s="7" t="s">
        <v>70</v>
      </c>
      <c r="AP38" s="13"/>
      <c r="AQ38" s="13"/>
      <c r="AR38" s="13"/>
      <c r="AS38" s="13"/>
      <c r="AT38" s="13"/>
      <c r="AU38" s="13"/>
    </row>
    <row r="39" hidden="1">
      <c r="A39" s="6">
        <v>45785.50486277777</v>
      </c>
      <c r="B39" s="7" t="s">
        <v>786</v>
      </c>
      <c r="C39" s="7" t="s">
        <v>787</v>
      </c>
      <c r="D39" s="10" t="s">
        <v>770</v>
      </c>
      <c r="E39" s="7" t="s">
        <v>771</v>
      </c>
      <c r="F39" s="7" t="s">
        <v>788</v>
      </c>
      <c r="G39" s="9" t="s">
        <v>44</v>
      </c>
      <c r="H39" s="7" t="s">
        <v>45</v>
      </c>
      <c r="I39" s="7" t="s">
        <v>46</v>
      </c>
      <c r="J39" s="8">
        <v>1.4122007E7</v>
      </c>
      <c r="K39" s="10" t="s">
        <v>789</v>
      </c>
      <c r="L39" s="7" t="s">
        <v>790</v>
      </c>
      <c r="M39" s="7" t="s">
        <v>49</v>
      </c>
      <c r="N39" s="7" t="s">
        <v>791</v>
      </c>
      <c r="O39" s="8" t="s">
        <v>792</v>
      </c>
      <c r="P39" s="8" t="s">
        <v>793</v>
      </c>
      <c r="Q39" s="11" t="s">
        <v>794</v>
      </c>
      <c r="R39" s="11" t="s">
        <v>795</v>
      </c>
      <c r="S39" s="7" t="s">
        <v>54</v>
      </c>
      <c r="T39" s="7" t="s">
        <v>55</v>
      </c>
      <c r="U39" s="7" t="s">
        <v>54</v>
      </c>
      <c r="V39" s="7" t="s">
        <v>55</v>
      </c>
      <c r="W39" s="11" t="s">
        <v>796</v>
      </c>
      <c r="X39" s="7" t="s">
        <v>57</v>
      </c>
      <c r="Y39" s="7" t="s">
        <v>791</v>
      </c>
      <c r="Z39" s="9" t="s">
        <v>797</v>
      </c>
      <c r="AA39" s="7" t="s">
        <v>798</v>
      </c>
      <c r="AB39" s="7" t="s">
        <v>783</v>
      </c>
      <c r="AC39" s="7" t="s">
        <v>788</v>
      </c>
      <c r="AD39" s="10" t="s">
        <v>789</v>
      </c>
      <c r="AE39" s="7" t="s">
        <v>799</v>
      </c>
      <c r="AF39" s="10" t="s">
        <v>770</v>
      </c>
      <c r="AG39" s="9" t="s">
        <v>64</v>
      </c>
      <c r="AH39" s="9">
        <v>1.0</v>
      </c>
      <c r="AI39" s="7" t="s">
        <v>800</v>
      </c>
      <c r="AJ39" s="7" t="s">
        <v>179</v>
      </c>
      <c r="AK39" s="9" t="s">
        <v>801</v>
      </c>
      <c r="AL39" s="19" t="s">
        <v>770</v>
      </c>
      <c r="AM39" s="7" t="s">
        <v>117</v>
      </c>
      <c r="AN39" s="7" t="s">
        <v>55</v>
      </c>
      <c r="AO39" s="7" t="s">
        <v>70</v>
      </c>
      <c r="AP39" s="13"/>
      <c r="AQ39" s="13"/>
      <c r="AR39" s="13"/>
      <c r="AS39" s="13"/>
      <c r="AT39" s="13"/>
      <c r="AU39" s="13"/>
    </row>
    <row r="40" hidden="1">
      <c r="A40" s="6">
        <v>45785.51687841435</v>
      </c>
      <c r="B40" s="7" t="s">
        <v>802</v>
      </c>
      <c r="C40" s="7" t="s">
        <v>803</v>
      </c>
      <c r="D40" s="10" t="s">
        <v>804</v>
      </c>
      <c r="E40" s="7" t="s">
        <v>805</v>
      </c>
      <c r="F40" s="7" t="s">
        <v>806</v>
      </c>
      <c r="G40" s="9" t="s">
        <v>76</v>
      </c>
      <c r="H40" s="7" t="s">
        <v>101</v>
      </c>
      <c r="I40" s="7" t="s">
        <v>78</v>
      </c>
      <c r="J40" s="8" t="s">
        <v>807</v>
      </c>
      <c r="K40" s="10" t="s">
        <v>808</v>
      </c>
      <c r="L40" s="7" t="s">
        <v>805</v>
      </c>
      <c r="M40" s="7" t="s">
        <v>49</v>
      </c>
      <c r="N40" s="7" t="s">
        <v>809</v>
      </c>
      <c r="O40" s="8" t="s">
        <v>810</v>
      </c>
      <c r="P40" s="8" t="s">
        <v>811</v>
      </c>
      <c r="Q40" s="11" t="s">
        <v>812</v>
      </c>
      <c r="R40" s="11" t="s">
        <v>813</v>
      </c>
      <c r="S40" s="14" t="s">
        <v>54</v>
      </c>
      <c r="T40" s="14" t="s">
        <v>55</v>
      </c>
      <c r="U40" s="14" t="s">
        <v>54</v>
      </c>
      <c r="V40" s="14" t="s">
        <v>814</v>
      </c>
      <c r="W40" s="11" t="s">
        <v>815</v>
      </c>
      <c r="X40" s="7" t="s">
        <v>57</v>
      </c>
      <c r="Y40" s="7" t="s">
        <v>809</v>
      </c>
      <c r="Z40" s="9" t="s">
        <v>816</v>
      </c>
      <c r="AA40" s="7" t="s">
        <v>817</v>
      </c>
      <c r="AB40" s="7" t="s">
        <v>818</v>
      </c>
      <c r="AC40" s="7" t="s">
        <v>809</v>
      </c>
      <c r="AD40" s="10" t="s">
        <v>808</v>
      </c>
      <c r="AE40" s="7" t="s">
        <v>819</v>
      </c>
      <c r="AF40" s="10" t="s">
        <v>804</v>
      </c>
      <c r="AG40" s="9" t="s">
        <v>64</v>
      </c>
      <c r="AH40" s="9">
        <v>2.0</v>
      </c>
      <c r="AI40" s="7" t="s">
        <v>819</v>
      </c>
      <c r="AJ40" s="7" t="s">
        <v>299</v>
      </c>
      <c r="AK40" s="9" t="s">
        <v>299</v>
      </c>
      <c r="AL40" s="7" t="s">
        <v>819</v>
      </c>
      <c r="AM40" s="7" t="s">
        <v>95</v>
      </c>
      <c r="AN40" s="7" t="s">
        <v>55</v>
      </c>
      <c r="AO40" s="7" t="s">
        <v>70</v>
      </c>
      <c r="AP40" s="13"/>
      <c r="AQ40" s="13"/>
      <c r="AR40" s="13"/>
      <c r="AS40" s="13"/>
      <c r="AT40" s="13"/>
      <c r="AU40" s="13"/>
    </row>
    <row r="41" hidden="1">
      <c r="A41" s="6">
        <v>45785.51754572916</v>
      </c>
      <c r="B41" s="7" t="s">
        <v>820</v>
      </c>
      <c r="C41" s="7" t="s">
        <v>821</v>
      </c>
      <c r="D41" s="10" t="s">
        <v>822</v>
      </c>
      <c r="E41" s="7" t="s">
        <v>823</v>
      </c>
      <c r="F41" s="7" t="s">
        <v>820</v>
      </c>
      <c r="G41" s="9" t="s">
        <v>44</v>
      </c>
      <c r="H41" s="7" t="s">
        <v>77</v>
      </c>
      <c r="I41" s="7" t="s">
        <v>46</v>
      </c>
      <c r="J41" s="10" t="s">
        <v>824</v>
      </c>
      <c r="K41" s="10" t="s">
        <v>822</v>
      </c>
      <c r="L41" s="7" t="s">
        <v>823</v>
      </c>
      <c r="M41" s="7" t="s">
        <v>49</v>
      </c>
      <c r="N41" s="7" t="s">
        <v>825</v>
      </c>
      <c r="O41" s="8" t="s">
        <v>826</v>
      </c>
      <c r="P41" s="8" t="s">
        <v>827</v>
      </c>
      <c r="Q41" s="11" t="s">
        <v>828</v>
      </c>
      <c r="R41" s="11" t="s">
        <v>829</v>
      </c>
      <c r="S41" s="7" t="s">
        <v>54</v>
      </c>
      <c r="T41" s="7" t="s">
        <v>55</v>
      </c>
      <c r="U41" s="7" t="s">
        <v>54</v>
      </c>
      <c r="V41" s="7" t="s">
        <v>55</v>
      </c>
      <c r="W41" s="11" t="s">
        <v>830</v>
      </c>
      <c r="X41" s="7" t="s">
        <v>57</v>
      </c>
      <c r="Y41" s="7" t="s">
        <v>820</v>
      </c>
      <c r="Z41" s="9" t="s">
        <v>831</v>
      </c>
      <c r="AA41" s="7" t="s">
        <v>832</v>
      </c>
      <c r="AB41" s="7" t="s">
        <v>833</v>
      </c>
      <c r="AC41" s="7" t="s">
        <v>820</v>
      </c>
      <c r="AD41" s="10" t="s">
        <v>822</v>
      </c>
      <c r="AE41" s="7" t="s">
        <v>821</v>
      </c>
      <c r="AF41" s="10" t="s">
        <v>822</v>
      </c>
      <c r="AG41" s="9" t="s">
        <v>64</v>
      </c>
      <c r="AH41" s="9">
        <v>2.0</v>
      </c>
      <c r="AI41" s="7" t="s">
        <v>834</v>
      </c>
      <c r="AJ41" s="7" t="s">
        <v>727</v>
      </c>
      <c r="AK41" s="9" t="s">
        <v>337</v>
      </c>
      <c r="AL41" s="7" t="s">
        <v>835</v>
      </c>
      <c r="AM41" s="7" t="s">
        <v>157</v>
      </c>
      <c r="AN41" s="7" t="s">
        <v>109</v>
      </c>
      <c r="AO41" s="7" t="s">
        <v>70</v>
      </c>
      <c r="AP41" s="13"/>
      <c r="AQ41" s="13"/>
      <c r="AR41" s="13"/>
      <c r="AS41" s="13"/>
      <c r="AT41" s="13"/>
      <c r="AU41" s="13"/>
    </row>
    <row r="42" hidden="1">
      <c r="A42" s="6">
        <v>45785.542156944444</v>
      </c>
      <c r="B42" s="7" t="s">
        <v>836</v>
      </c>
      <c r="C42" s="7" t="s">
        <v>837</v>
      </c>
      <c r="D42" s="10" t="s">
        <v>838</v>
      </c>
      <c r="E42" s="7" t="s">
        <v>839</v>
      </c>
      <c r="F42" s="7" t="s">
        <v>840</v>
      </c>
      <c r="G42" s="9" t="s">
        <v>76</v>
      </c>
      <c r="H42" s="7" t="s">
        <v>101</v>
      </c>
      <c r="I42" s="7" t="s">
        <v>78</v>
      </c>
      <c r="J42" s="10" t="s">
        <v>841</v>
      </c>
      <c r="K42" s="10" t="s">
        <v>838</v>
      </c>
      <c r="L42" s="7" t="s">
        <v>839</v>
      </c>
      <c r="M42" s="7" t="s">
        <v>49</v>
      </c>
      <c r="N42" s="7" t="s">
        <v>842</v>
      </c>
      <c r="O42" s="8" t="s">
        <v>843</v>
      </c>
      <c r="P42" s="8">
        <v>2.4092027E7</v>
      </c>
      <c r="Q42" s="11" t="s">
        <v>844</v>
      </c>
      <c r="R42" s="11" t="s">
        <v>845</v>
      </c>
      <c r="S42" s="7" t="s">
        <v>54</v>
      </c>
      <c r="T42" s="7" t="s">
        <v>55</v>
      </c>
      <c r="U42" s="7" t="s">
        <v>846</v>
      </c>
      <c r="V42" s="7" t="s">
        <v>55</v>
      </c>
      <c r="W42" s="11" t="s">
        <v>847</v>
      </c>
      <c r="X42" s="14" t="s">
        <v>194</v>
      </c>
      <c r="Y42" s="15"/>
      <c r="Z42" s="16"/>
      <c r="AA42" s="13"/>
      <c r="AB42" s="13"/>
      <c r="AC42" s="7" t="s">
        <v>840</v>
      </c>
      <c r="AD42" s="10" t="s">
        <v>838</v>
      </c>
      <c r="AE42" s="7" t="s">
        <v>848</v>
      </c>
      <c r="AF42" s="10" t="s">
        <v>838</v>
      </c>
      <c r="AG42" s="9" t="s">
        <v>64</v>
      </c>
      <c r="AH42" s="9">
        <v>2.0</v>
      </c>
      <c r="AI42" s="7" t="s">
        <v>849</v>
      </c>
      <c r="AJ42" s="7" t="s">
        <v>850</v>
      </c>
      <c r="AK42" s="9" t="s">
        <v>851</v>
      </c>
      <c r="AL42" s="7" t="s">
        <v>848</v>
      </c>
      <c r="AM42" s="7" t="s">
        <v>117</v>
      </c>
      <c r="AN42" s="7" t="s">
        <v>852</v>
      </c>
      <c r="AO42" s="7" t="s">
        <v>70</v>
      </c>
      <c r="AP42" s="13"/>
      <c r="AQ42" s="13"/>
      <c r="AR42" s="13"/>
      <c r="AS42" s="13"/>
      <c r="AT42" s="13"/>
      <c r="AU42" s="13"/>
    </row>
    <row r="43" hidden="1">
      <c r="A43" s="6">
        <v>45785.60366263889</v>
      </c>
      <c r="B43" s="7" t="s">
        <v>853</v>
      </c>
      <c r="C43" s="7" t="s">
        <v>854</v>
      </c>
      <c r="D43" s="8" t="s">
        <v>855</v>
      </c>
      <c r="E43" s="7" t="s">
        <v>856</v>
      </c>
      <c r="F43" s="7" t="s">
        <v>857</v>
      </c>
      <c r="G43" s="9" t="s">
        <v>76</v>
      </c>
      <c r="H43" s="7" t="s">
        <v>77</v>
      </c>
      <c r="I43" s="7" t="s">
        <v>858</v>
      </c>
      <c r="J43" s="8">
        <v>2.707201E7</v>
      </c>
      <c r="K43" s="8" t="s">
        <v>859</v>
      </c>
      <c r="L43" s="7" t="s">
        <v>856</v>
      </c>
      <c r="M43" s="7" t="s">
        <v>49</v>
      </c>
      <c r="N43" s="7" t="s">
        <v>857</v>
      </c>
      <c r="O43" s="8" t="s">
        <v>860</v>
      </c>
      <c r="P43" s="8">
        <v>2.407203E7</v>
      </c>
      <c r="Q43" s="11" t="s">
        <v>861</v>
      </c>
      <c r="R43" s="11" t="s">
        <v>862</v>
      </c>
      <c r="S43" s="14" t="s">
        <v>573</v>
      </c>
      <c r="T43" s="14" t="s">
        <v>863</v>
      </c>
      <c r="U43" s="14" t="s">
        <v>54</v>
      </c>
      <c r="V43" s="14" t="s">
        <v>55</v>
      </c>
      <c r="W43" s="11" t="s">
        <v>864</v>
      </c>
      <c r="X43" s="7" t="s">
        <v>194</v>
      </c>
      <c r="Y43" s="13"/>
      <c r="Z43" s="16"/>
      <c r="AA43" s="13"/>
      <c r="AB43" s="13"/>
      <c r="AC43" s="7" t="s">
        <v>865</v>
      </c>
      <c r="AD43" s="8" t="s">
        <v>859</v>
      </c>
      <c r="AE43" s="7" t="s">
        <v>866</v>
      </c>
      <c r="AF43" s="8" t="s">
        <v>859</v>
      </c>
      <c r="AG43" s="9" t="s">
        <v>64</v>
      </c>
      <c r="AH43" s="9">
        <v>2.0</v>
      </c>
      <c r="AI43" s="7" t="s">
        <v>867</v>
      </c>
      <c r="AJ43" s="7" t="s">
        <v>868</v>
      </c>
      <c r="AK43" s="9" t="s">
        <v>869</v>
      </c>
      <c r="AL43" s="7" t="s">
        <v>870</v>
      </c>
      <c r="AM43" s="7" t="s">
        <v>69</v>
      </c>
      <c r="AN43" s="7" t="s">
        <v>55</v>
      </c>
      <c r="AO43" s="7" t="s">
        <v>70</v>
      </c>
      <c r="AP43" s="13"/>
      <c r="AQ43" s="13"/>
      <c r="AR43" s="13"/>
      <c r="AS43" s="13"/>
      <c r="AT43" s="13"/>
      <c r="AU43" s="13"/>
    </row>
    <row r="44" hidden="1">
      <c r="A44" s="6">
        <v>45785.62112585648</v>
      </c>
      <c r="B44" s="7" t="s">
        <v>871</v>
      </c>
      <c r="C44" s="7" t="s">
        <v>872</v>
      </c>
      <c r="D44" s="10" t="s">
        <v>873</v>
      </c>
      <c r="E44" s="7" t="s">
        <v>874</v>
      </c>
      <c r="F44" s="7" t="s">
        <v>875</v>
      </c>
      <c r="G44" s="9" t="s">
        <v>76</v>
      </c>
      <c r="H44" s="7" t="s">
        <v>45</v>
      </c>
      <c r="I44" s="7" t="s">
        <v>78</v>
      </c>
      <c r="J44" s="10" t="s">
        <v>876</v>
      </c>
      <c r="K44" s="8" t="s">
        <v>877</v>
      </c>
      <c r="L44" s="7" t="s">
        <v>878</v>
      </c>
      <c r="M44" s="7" t="s">
        <v>49</v>
      </c>
      <c r="N44" s="7" t="s">
        <v>875</v>
      </c>
      <c r="O44" s="8" t="s">
        <v>879</v>
      </c>
      <c r="P44" s="8">
        <v>2.1092028E7</v>
      </c>
      <c r="Q44" s="11" t="s">
        <v>880</v>
      </c>
      <c r="R44" s="11" t="s">
        <v>881</v>
      </c>
      <c r="S44" s="7" t="s">
        <v>54</v>
      </c>
      <c r="T44" s="7" t="s">
        <v>55</v>
      </c>
      <c r="U44" s="7" t="s">
        <v>54</v>
      </c>
      <c r="V44" s="7" t="s">
        <v>55</v>
      </c>
      <c r="W44" s="11" t="s">
        <v>882</v>
      </c>
      <c r="X44" s="7" t="s">
        <v>57</v>
      </c>
      <c r="Y44" s="7" t="s">
        <v>875</v>
      </c>
      <c r="Z44" s="9" t="s">
        <v>883</v>
      </c>
      <c r="AA44" s="7" t="s">
        <v>629</v>
      </c>
      <c r="AB44" s="7" t="s">
        <v>884</v>
      </c>
      <c r="AC44" s="7" t="s">
        <v>885</v>
      </c>
      <c r="AD44" s="8" t="s">
        <v>877</v>
      </c>
      <c r="AE44" s="7" t="s">
        <v>886</v>
      </c>
      <c r="AF44" s="8" t="s">
        <v>887</v>
      </c>
      <c r="AG44" s="9" t="s">
        <v>64</v>
      </c>
      <c r="AH44" s="9">
        <v>1.0</v>
      </c>
      <c r="AI44" s="7" t="s">
        <v>888</v>
      </c>
      <c r="AJ44" s="7" t="s">
        <v>889</v>
      </c>
      <c r="AK44" s="12" t="s">
        <v>890</v>
      </c>
      <c r="AL44" s="7" t="s">
        <v>891</v>
      </c>
      <c r="AM44" s="7" t="s">
        <v>117</v>
      </c>
      <c r="AN44" s="7" t="s">
        <v>55</v>
      </c>
      <c r="AO44" s="7" t="s">
        <v>70</v>
      </c>
      <c r="AP44" s="13"/>
      <c r="AQ44" s="13"/>
      <c r="AR44" s="13"/>
      <c r="AS44" s="13"/>
      <c r="AT44" s="13"/>
      <c r="AU44" s="13"/>
    </row>
    <row r="45" hidden="1">
      <c r="A45" s="6">
        <v>45785.652358437495</v>
      </c>
      <c r="B45" s="7" t="s">
        <v>892</v>
      </c>
      <c r="C45" s="7" t="s">
        <v>893</v>
      </c>
      <c r="D45" s="10" t="s">
        <v>894</v>
      </c>
      <c r="E45" s="7" t="s">
        <v>895</v>
      </c>
      <c r="F45" s="7" t="s">
        <v>896</v>
      </c>
      <c r="G45" s="9" t="s">
        <v>76</v>
      </c>
      <c r="H45" s="7" t="s">
        <v>101</v>
      </c>
      <c r="I45" s="7" t="s">
        <v>102</v>
      </c>
      <c r="J45" s="10" t="s">
        <v>897</v>
      </c>
      <c r="K45" s="10" t="s">
        <v>898</v>
      </c>
      <c r="L45" s="7" t="s">
        <v>899</v>
      </c>
      <c r="M45" s="7" t="s">
        <v>49</v>
      </c>
      <c r="N45" s="7" t="s">
        <v>896</v>
      </c>
      <c r="O45" s="8" t="s">
        <v>900</v>
      </c>
      <c r="P45" s="10" t="s">
        <v>901</v>
      </c>
      <c r="Q45" s="11" t="s">
        <v>902</v>
      </c>
      <c r="R45" s="11" t="s">
        <v>903</v>
      </c>
      <c r="S45" s="7" t="s">
        <v>54</v>
      </c>
      <c r="T45" s="7" t="s">
        <v>55</v>
      </c>
      <c r="U45" s="7" t="s">
        <v>54</v>
      </c>
      <c r="V45" s="7" t="s">
        <v>55</v>
      </c>
      <c r="W45" s="11" t="s">
        <v>904</v>
      </c>
      <c r="X45" s="7" t="s">
        <v>57</v>
      </c>
      <c r="Y45" s="7" t="s">
        <v>896</v>
      </c>
      <c r="Z45" s="9" t="s">
        <v>905</v>
      </c>
      <c r="AA45" s="7" t="s">
        <v>354</v>
      </c>
      <c r="AB45" s="7" t="s">
        <v>906</v>
      </c>
      <c r="AC45" s="7" t="s">
        <v>896</v>
      </c>
      <c r="AD45" s="10" t="s">
        <v>898</v>
      </c>
      <c r="AE45" s="7" t="s">
        <v>892</v>
      </c>
      <c r="AF45" s="10" t="s">
        <v>894</v>
      </c>
      <c r="AG45" s="9" t="s">
        <v>64</v>
      </c>
      <c r="AH45" s="9">
        <v>2.0</v>
      </c>
      <c r="AI45" s="7" t="s">
        <v>907</v>
      </c>
      <c r="AJ45" s="7" t="s">
        <v>908</v>
      </c>
      <c r="AK45" s="9" t="s">
        <v>909</v>
      </c>
      <c r="AL45" s="7" t="s">
        <v>910</v>
      </c>
      <c r="AM45" s="7" t="s">
        <v>117</v>
      </c>
      <c r="AN45" s="7" t="s">
        <v>55</v>
      </c>
      <c r="AO45" s="7" t="s">
        <v>70</v>
      </c>
      <c r="AP45" s="13"/>
      <c r="AQ45" s="13"/>
      <c r="AR45" s="13"/>
      <c r="AS45" s="13"/>
      <c r="AT45" s="13"/>
      <c r="AU45" s="13"/>
    </row>
    <row r="46" hidden="1">
      <c r="A46" s="6">
        <v>45785.65854472222</v>
      </c>
      <c r="B46" s="7" t="s">
        <v>911</v>
      </c>
      <c r="C46" s="7" t="s">
        <v>912</v>
      </c>
      <c r="D46" s="10" t="s">
        <v>913</v>
      </c>
      <c r="E46" s="7" t="s">
        <v>914</v>
      </c>
      <c r="F46" s="7" t="s">
        <v>915</v>
      </c>
      <c r="G46" s="9" t="s">
        <v>76</v>
      </c>
      <c r="H46" s="7" t="s">
        <v>45</v>
      </c>
      <c r="I46" s="7" t="s">
        <v>102</v>
      </c>
      <c r="J46" s="10" t="s">
        <v>916</v>
      </c>
      <c r="K46" s="10" t="s">
        <v>917</v>
      </c>
      <c r="L46" s="7" t="s">
        <v>918</v>
      </c>
      <c r="M46" s="7" t="s">
        <v>49</v>
      </c>
      <c r="N46" s="7" t="s">
        <v>919</v>
      </c>
      <c r="O46" s="8" t="s">
        <v>920</v>
      </c>
      <c r="P46" s="8" t="s">
        <v>921</v>
      </c>
      <c r="Q46" s="11" t="s">
        <v>922</v>
      </c>
      <c r="R46" s="11" t="s">
        <v>923</v>
      </c>
      <c r="S46" s="7" t="s">
        <v>54</v>
      </c>
      <c r="T46" s="7" t="s">
        <v>55</v>
      </c>
      <c r="U46" s="7" t="s">
        <v>54</v>
      </c>
      <c r="V46" s="7" t="s">
        <v>55</v>
      </c>
      <c r="W46" s="11" t="s">
        <v>924</v>
      </c>
      <c r="X46" s="7" t="s">
        <v>57</v>
      </c>
      <c r="Y46" s="7" t="s">
        <v>925</v>
      </c>
      <c r="Z46" s="12" t="s">
        <v>926</v>
      </c>
      <c r="AA46" s="7" t="s">
        <v>927</v>
      </c>
      <c r="AB46" s="7" t="s">
        <v>928</v>
      </c>
      <c r="AC46" s="7" t="s">
        <v>929</v>
      </c>
      <c r="AD46" s="10" t="s">
        <v>917</v>
      </c>
      <c r="AE46" s="7" t="s">
        <v>930</v>
      </c>
      <c r="AF46" s="10" t="s">
        <v>913</v>
      </c>
      <c r="AG46" s="9" t="s">
        <v>64</v>
      </c>
      <c r="AH46" s="9">
        <v>1.0</v>
      </c>
      <c r="AI46" s="7" t="s">
        <v>931</v>
      </c>
      <c r="AJ46" s="7" t="s">
        <v>932</v>
      </c>
      <c r="AK46" s="9" t="s">
        <v>933</v>
      </c>
      <c r="AL46" s="7" t="s">
        <v>934</v>
      </c>
      <c r="AM46" s="7" t="s">
        <v>157</v>
      </c>
      <c r="AN46" s="7" t="s">
        <v>55</v>
      </c>
      <c r="AO46" s="7" t="s">
        <v>70</v>
      </c>
      <c r="AP46" s="13"/>
      <c r="AQ46" s="13"/>
      <c r="AR46" s="13"/>
      <c r="AS46" s="13"/>
      <c r="AT46" s="13"/>
      <c r="AU46" s="13"/>
    </row>
    <row r="47" hidden="1">
      <c r="A47" s="6">
        <v>45785.68051827546</v>
      </c>
      <c r="B47" s="7" t="s">
        <v>935</v>
      </c>
      <c r="C47" s="7" t="s">
        <v>936</v>
      </c>
      <c r="D47" s="8" t="s">
        <v>937</v>
      </c>
      <c r="E47" s="7" t="s">
        <v>938</v>
      </c>
      <c r="F47" s="7" t="s">
        <v>939</v>
      </c>
      <c r="G47" s="9" t="s">
        <v>76</v>
      </c>
      <c r="H47" s="7" t="s">
        <v>45</v>
      </c>
      <c r="I47" s="7" t="s">
        <v>141</v>
      </c>
      <c r="J47" s="8">
        <v>1.1032009E7</v>
      </c>
      <c r="K47" s="8" t="s">
        <v>940</v>
      </c>
      <c r="L47" s="7" t="s">
        <v>941</v>
      </c>
      <c r="M47" s="7" t="s">
        <v>49</v>
      </c>
      <c r="N47" s="7" t="s">
        <v>939</v>
      </c>
      <c r="O47" s="8" t="s">
        <v>942</v>
      </c>
      <c r="P47" s="10" t="s">
        <v>943</v>
      </c>
      <c r="Q47" s="11" t="s">
        <v>944</v>
      </c>
      <c r="R47" s="11" t="s">
        <v>945</v>
      </c>
      <c r="S47" s="7" t="s">
        <v>54</v>
      </c>
      <c r="T47" s="7" t="s">
        <v>55</v>
      </c>
      <c r="U47" s="7" t="s">
        <v>54</v>
      </c>
      <c r="V47" s="7" t="s">
        <v>55</v>
      </c>
      <c r="W47" s="11" t="s">
        <v>946</v>
      </c>
      <c r="X47" s="7" t="s">
        <v>57</v>
      </c>
      <c r="Y47" s="7" t="s">
        <v>947</v>
      </c>
      <c r="Z47" s="9" t="s">
        <v>948</v>
      </c>
      <c r="AA47" s="7" t="s">
        <v>949</v>
      </c>
      <c r="AB47" s="7" t="s">
        <v>950</v>
      </c>
      <c r="AC47" s="7" t="s">
        <v>947</v>
      </c>
      <c r="AD47" s="8" t="s">
        <v>940</v>
      </c>
      <c r="AE47" s="7" t="s">
        <v>951</v>
      </c>
      <c r="AF47" s="8" t="s">
        <v>937</v>
      </c>
      <c r="AG47" s="9" t="s">
        <v>64</v>
      </c>
      <c r="AH47" s="9">
        <v>1.0</v>
      </c>
      <c r="AI47" s="7" t="s">
        <v>952</v>
      </c>
      <c r="AJ47" s="7" t="s">
        <v>523</v>
      </c>
      <c r="AK47" s="9" t="s">
        <v>953</v>
      </c>
      <c r="AL47" s="7" t="s">
        <v>954</v>
      </c>
      <c r="AM47" s="7" t="s">
        <v>95</v>
      </c>
      <c r="AN47" s="7" t="s">
        <v>55</v>
      </c>
      <c r="AO47" s="7" t="s">
        <v>70</v>
      </c>
      <c r="AP47" s="13"/>
      <c r="AQ47" s="13"/>
      <c r="AR47" s="13"/>
      <c r="AS47" s="13"/>
      <c r="AT47" s="13"/>
      <c r="AU47" s="13"/>
    </row>
    <row r="48" hidden="1">
      <c r="A48" s="6">
        <v>45785.68235458333</v>
      </c>
      <c r="B48" s="7" t="s">
        <v>224</v>
      </c>
      <c r="C48" s="7" t="s">
        <v>225</v>
      </c>
      <c r="D48" s="10" t="s">
        <v>226</v>
      </c>
      <c r="E48" s="7" t="s">
        <v>227</v>
      </c>
      <c r="F48" s="7" t="s">
        <v>955</v>
      </c>
      <c r="G48" s="9" t="s">
        <v>76</v>
      </c>
      <c r="H48" s="7" t="s">
        <v>101</v>
      </c>
      <c r="I48" s="7" t="s">
        <v>78</v>
      </c>
      <c r="J48" s="10" t="s">
        <v>956</v>
      </c>
      <c r="K48" s="10" t="s">
        <v>957</v>
      </c>
      <c r="L48" s="7" t="s">
        <v>227</v>
      </c>
      <c r="M48" s="7" t="s">
        <v>49</v>
      </c>
      <c r="N48" s="7" t="s">
        <v>955</v>
      </c>
      <c r="O48" s="8" t="s">
        <v>958</v>
      </c>
      <c r="P48" s="8" t="s">
        <v>959</v>
      </c>
      <c r="Q48" s="11" t="s">
        <v>960</v>
      </c>
      <c r="R48" s="11" t="s">
        <v>961</v>
      </c>
      <c r="S48" s="7" t="s">
        <v>54</v>
      </c>
      <c r="T48" s="7" t="s">
        <v>55</v>
      </c>
      <c r="U48" s="7" t="s">
        <v>54</v>
      </c>
      <c r="V48" s="7" t="s">
        <v>55</v>
      </c>
      <c r="W48" s="11" t="s">
        <v>962</v>
      </c>
      <c r="X48" s="14" t="s">
        <v>194</v>
      </c>
      <c r="Y48" s="15"/>
      <c r="Z48" s="16"/>
      <c r="AA48" s="13"/>
      <c r="AB48" s="13"/>
      <c r="AC48" s="7" t="s">
        <v>955</v>
      </c>
      <c r="AD48" s="10" t="s">
        <v>957</v>
      </c>
      <c r="AE48" s="7" t="s">
        <v>963</v>
      </c>
      <c r="AF48" s="10" t="s">
        <v>964</v>
      </c>
      <c r="AG48" s="9" t="s">
        <v>64</v>
      </c>
      <c r="AH48" s="9">
        <v>2.0</v>
      </c>
      <c r="AI48" s="7" t="s">
        <v>965</v>
      </c>
      <c r="AJ48" s="7" t="s">
        <v>727</v>
      </c>
      <c r="AK48" s="9" t="s">
        <v>727</v>
      </c>
      <c r="AL48" s="7" t="s">
        <v>966</v>
      </c>
      <c r="AM48" s="7" t="s">
        <v>157</v>
      </c>
      <c r="AN48" s="7" t="s">
        <v>55</v>
      </c>
      <c r="AO48" s="7" t="s">
        <v>70</v>
      </c>
      <c r="AP48" s="13"/>
      <c r="AQ48" s="13"/>
      <c r="AR48" s="13"/>
      <c r="AS48" s="13"/>
      <c r="AT48" s="13"/>
      <c r="AU48" s="13"/>
    </row>
    <row r="49" hidden="1">
      <c r="A49" s="6">
        <v>45785.68422738426</v>
      </c>
      <c r="B49" s="7" t="s">
        <v>967</v>
      </c>
      <c r="C49" s="7" t="s">
        <v>968</v>
      </c>
      <c r="D49" s="8" t="s">
        <v>969</v>
      </c>
      <c r="E49" s="7" t="s">
        <v>970</v>
      </c>
      <c r="F49" s="7" t="s">
        <v>971</v>
      </c>
      <c r="G49" s="9" t="s">
        <v>44</v>
      </c>
      <c r="H49" s="7" t="s">
        <v>101</v>
      </c>
      <c r="I49" s="7" t="s">
        <v>78</v>
      </c>
      <c r="J49" s="10" t="s">
        <v>972</v>
      </c>
      <c r="K49" s="8" t="s">
        <v>969</v>
      </c>
      <c r="L49" s="7" t="s">
        <v>970</v>
      </c>
      <c r="M49" s="7" t="s">
        <v>49</v>
      </c>
      <c r="N49" s="7" t="s">
        <v>971</v>
      </c>
      <c r="O49" s="8" t="s">
        <v>973</v>
      </c>
      <c r="P49" s="8" t="s">
        <v>974</v>
      </c>
      <c r="Q49" s="20" t="s">
        <v>975</v>
      </c>
      <c r="R49" s="11" t="s">
        <v>976</v>
      </c>
      <c r="S49" s="7" t="s">
        <v>54</v>
      </c>
      <c r="T49" s="7" t="s">
        <v>55</v>
      </c>
      <c r="U49" s="7" t="s">
        <v>54</v>
      </c>
      <c r="V49" s="7" t="s">
        <v>55</v>
      </c>
      <c r="W49" s="11" t="s">
        <v>977</v>
      </c>
      <c r="X49" s="14" t="s">
        <v>194</v>
      </c>
      <c r="Y49" s="15"/>
      <c r="Z49" s="16"/>
      <c r="AA49" s="13"/>
      <c r="AB49" s="13"/>
      <c r="AC49" s="7" t="s">
        <v>971</v>
      </c>
      <c r="AD49" s="10" t="s">
        <v>978</v>
      </c>
      <c r="AE49" s="7" t="s">
        <v>979</v>
      </c>
      <c r="AF49" s="10" t="s">
        <v>978</v>
      </c>
      <c r="AG49" s="9" t="s">
        <v>64</v>
      </c>
      <c r="AH49" s="9">
        <v>2.0</v>
      </c>
      <c r="AI49" s="7" t="s">
        <v>980</v>
      </c>
      <c r="AJ49" s="7" t="s">
        <v>299</v>
      </c>
      <c r="AK49" s="9" t="s">
        <v>299</v>
      </c>
      <c r="AL49" s="7" t="s">
        <v>981</v>
      </c>
      <c r="AM49" s="7" t="s">
        <v>117</v>
      </c>
      <c r="AN49" s="7" t="s">
        <v>55</v>
      </c>
      <c r="AO49" s="7" t="s">
        <v>70</v>
      </c>
      <c r="AP49" s="13"/>
      <c r="AQ49" s="13"/>
      <c r="AR49" s="13"/>
      <c r="AS49" s="13"/>
      <c r="AT49" s="13"/>
      <c r="AU49" s="13"/>
    </row>
    <row r="50" hidden="1">
      <c r="A50" s="6">
        <v>45785.68788619213</v>
      </c>
      <c r="B50" s="7" t="s">
        <v>585</v>
      </c>
      <c r="C50" s="7" t="s">
        <v>586</v>
      </c>
      <c r="D50" s="8" t="s">
        <v>587</v>
      </c>
      <c r="E50" s="7" t="s">
        <v>588</v>
      </c>
      <c r="F50" s="7" t="s">
        <v>589</v>
      </c>
      <c r="G50" s="9" t="s">
        <v>44</v>
      </c>
      <c r="H50" s="7" t="s">
        <v>77</v>
      </c>
      <c r="I50" s="7" t="s">
        <v>46</v>
      </c>
      <c r="J50" s="8">
        <v>1.812201E7</v>
      </c>
      <c r="K50" s="8" t="s">
        <v>982</v>
      </c>
      <c r="L50" s="7" t="s">
        <v>588</v>
      </c>
      <c r="M50" s="7" t="s">
        <v>49</v>
      </c>
      <c r="N50" s="7" t="s">
        <v>590</v>
      </c>
      <c r="O50" s="8" t="s">
        <v>591</v>
      </c>
      <c r="P50" s="8">
        <v>1.908203E7</v>
      </c>
      <c r="Q50" s="11" t="s">
        <v>983</v>
      </c>
      <c r="R50" s="11" t="s">
        <v>984</v>
      </c>
      <c r="S50" s="7" t="s">
        <v>54</v>
      </c>
      <c r="T50" s="7" t="s">
        <v>362</v>
      </c>
      <c r="U50" s="7" t="s">
        <v>54</v>
      </c>
      <c r="V50" s="7" t="s">
        <v>362</v>
      </c>
      <c r="W50" s="11" t="s">
        <v>985</v>
      </c>
      <c r="X50" s="14" t="s">
        <v>194</v>
      </c>
      <c r="Y50" s="15"/>
      <c r="Z50" s="16"/>
      <c r="AA50" s="13"/>
      <c r="AB50" s="13"/>
      <c r="AC50" s="7" t="s">
        <v>589</v>
      </c>
      <c r="AD50" s="8" t="s">
        <v>982</v>
      </c>
      <c r="AE50" s="7" t="s">
        <v>362</v>
      </c>
      <c r="AF50" s="8">
        <v>9.999999999E9</v>
      </c>
      <c r="AG50" s="9" t="s">
        <v>64</v>
      </c>
      <c r="AH50" s="9">
        <v>2.0</v>
      </c>
      <c r="AI50" s="7" t="s">
        <v>986</v>
      </c>
      <c r="AJ50" s="7" t="s">
        <v>596</v>
      </c>
      <c r="AK50" s="9" t="s">
        <v>987</v>
      </c>
      <c r="AL50" s="7" t="s">
        <v>597</v>
      </c>
      <c r="AM50" s="7" t="s">
        <v>117</v>
      </c>
      <c r="AN50" s="7" t="s">
        <v>362</v>
      </c>
      <c r="AO50" s="7" t="s">
        <v>70</v>
      </c>
      <c r="AP50" s="13"/>
      <c r="AQ50" s="13"/>
      <c r="AR50" s="13"/>
      <c r="AS50" s="13"/>
      <c r="AT50" s="13"/>
      <c r="AU50" s="13"/>
    </row>
    <row r="51" hidden="1">
      <c r="A51" s="6">
        <v>45785.697269780096</v>
      </c>
      <c r="B51" s="7" t="s">
        <v>988</v>
      </c>
      <c r="C51" s="7" t="s">
        <v>989</v>
      </c>
      <c r="D51" s="10" t="s">
        <v>990</v>
      </c>
      <c r="E51" s="7" t="s">
        <v>991</v>
      </c>
      <c r="F51" s="7" t="s">
        <v>992</v>
      </c>
      <c r="G51" s="9" t="s">
        <v>76</v>
      </c>
      <c r="H51" s="7" t="s">
        <v>101</v>
      </c>
      <c r="I51" s="7" t="s">
        <v>78</v>
      </c>
      <c r="J51" s="8">
        <v>2.6072012E7</v>
      </c>
      <c r="K51" s="10" t="s">
        <v>993</v>
      </c>
      <c r="L51" s="7" t="s">
        <v>994</v>
      </c>
      <c r="M51" s="7" t="s">
        <v>49</v>
      </c>
      <c r="N51" s="7" t="s">
        <v>995</v>
      </c>
      <c r="O51" s="8" t="s">
        <v>996</v>
      </c>
      <c r="P51" s="8">
        <v>1.7092028E7</v>
      </c>
      <c r="Q51" s="11" t="s">
        <v>997</v>
      </c>
      <c r="R51" s="11" t="s">
        <v>998</v>
      </c>
      <c r="S51" s="7" t="s">
        <v>54</v>
      </c>
      <c r="T51" s="7" t="s">
        <v>109</v>
      </c>
      <c r="U51" s="7" t="s">
        <v>54</v>
      </c>
      <c r="V51" s="7" t="s">
        <v>109</v>
      </c>
      <c r="W51" s="11" t="s">
        <v>999</v>
      </c>
      <c r="X51" s="7" t="s">
        <v>57</v>
      </c>
      <c r="Y51" s="7" t="s">
        <v>992</v>
      </c>
      <c r="Z51" s="9" t="s">
        <v>1000</v>
      </c>
      <c r="AA51" s="7" t="s">
        <v>1001</v>
      </c>
      <c r="AB51" s="7" t="s">
        <v>1002</v>
      </c>
      <c r="AC51" s="7" t="s">
        <v>992</v>
      </c>
      <c r="AD51" s="10" t="s">
        <v>993</v>
      </c>
      <c r="AE51" s="7" t="s">
        <v>1003</v>
      </c>
      <c r="AF51" s="10" t="s">
        <v>990</v>
      </c>
      <c r="AG51" s="17" t="s">
        <v>260</v>
      </c>
      <c r="AH51" s="18"/>
      <c r="AI51" s="13"/>
      <c r="AJ51" s="13"/>
      <c r="AK51" s="16"/>
      <c r="AL51" s="7" t="s">
        <v>1003</v>
      </c>
      <c r="AM51" s="7" t="s">
        <v>117</v>
      </c>
      <c r="AN51" s="7" t="s">
        <v>1004</v>
      </c>
      <c r="AO51" s="7" t="s">
        <v>70</v>
      </c>
      <c r="AP51" s="13"/>
      <c r="AQ51" s="13"/>
      <c r="AR51" s="13"/>
      <c r="AS51" s="13"/>
      <c r="AT51" s="13"/>
      <c r="AU51" s="13"/>
    </row>
    <row r="52" hidden="1">
      <c r="A52" s="6">
        <v>45785.70097752315</v>
      </c>
      <c r="B52" s="7" t="s">
        <v>1005</v>
      </c>
      <c r="C52" s="7" t="s">
        <v>635</v>
      </c>
      <c r="D52" s="10" t="s">
        <v>636</v>
      </c>
      <c r="E52" s="7" t="s">
        <v>637</v>
      </c>
      <c r="F52" s="7" t="s">
        <v>1006</v>
      </c>
      <c r="G52" s="9" t="s">
        <v>76</v>
      </c>
      <c r="H52" s="7" t="s">
        <v>77</v>
      </c>
      <c r="I52" s="7" t="s">
        <v>78</v>
      </c>
      <c r="J52" s="8">
        <v>1.210201E7</v>
      </c>
      <c r="K52" s="10" t="s">
        <v>639</v>
      </c>
      <c r="L52" s="7" t="s">
        <v>640</v>
      </c>
      <c r="M52" s="7" t="s">
        <v>49</v>
      </c>
      <c r="N52" s="7" t="s">
        <v>1007</v>
      </c>
      <c r="O52" s="8" t="s">
        <v>642</v>
      </c>
      <c r="P52" s="8">
        <v>3.006203E7</v>
      </c>
      <c r="Q52" s="11" t="s">
        <v>1008</v>
      </c>
      <c r="R52" s="11" t="s">
        <v>1009</v>
      </c>
      <c r="S52" s="7" t="s">
        <v>54</v>
      </c>
      <c r="T52" s="7" t="s">
        <v>109</v>
      </c>
      <c r="U52" s="7" t="s">
        <v>54</v>
      </c>
      <c r="V52" s="7" t="s">
        <v>109</v>
      </c>
      <c r="W52" s="11" t="s">
        <v>1010</v>
      </c>
      <c r="X52" s="7" t="s">
        <v>57</v>
      </c>
      <c r="Y52" s="7" t="s">
        <v>1006</v>
      </c>
      <c r="Z52" s="9" t="s">
        <v>646</v>
      </c>
      <c r="AA52" s="7" t="s">
        <v>354</v>
      </c>
      <c r="AB52" s="7" t="s">
        <v>1011</v>
      </c>
      <c r="AC52" s="7" t="s">
        <v>649</v>
      </c>
      <c r="AD52" s="10" t="s">
        <v>639</v>
      </c>
      <c r="AE52" s="7" t="s">
        <v>650</v>
      </c>
      <c r="AF52" s="10" t="s">
        <v>636</v>
      </c>
      <c r="AG52" s="9" t="s">
        <v>64</v>
      </c>
      <c r="AH52" s="9">
        <v>2.0</v>
      </c>
      <c r="AI52" s="7" t="s">
        <v>1012</v>
      </c>
      <c r="AJ52" s="7" t="s">
        <v>1013</v>
      </c>
      <c r="AK52" s="9" t="s">
        <v>180</v>
      </c>
      <c r="AL52" s="7" t="s">
        <v>654</v>
      </c>
      <c r="AM52" s="7" t="s">
        <v>408</v>
      </c>
      <c r="AN52" s="7" t="s">
        <v>109</v>
      </c>
      <c r="AO52" s="7" t="s">
        <v>70</v>
      </c>
      <c r="AP52" s="13"/>
      <c r="AQ52" s="13"/>
      <c r="AR52" s="13"/>
      <c r="AS52" s="13"/>
      <c r="AT52" s="13"/>
      <c r="AU52" s="13"/>
    </row>
    <row r="53" hidden="1">
      <c r="A53" s="6">
        <v>45785.73232701389</v>
      </c>
      <c r="B53" s="7" t="s">
        <v>1014</v>
      </c>
      <c r="C53" s="7" t="s">
        <v>803</v>
      </c>
      <c r="D53" s="10" t="s">
        <v>1015</v>
      </c>
      <c r="E53" s="7" t="s">
        <v>1016</v>
      </c>
      <c r="F53" s="7" t="s">
        <v>1017</v>
      </c>
      <c r="G53" s="9" t="s">
        <v>76</v>
      </c>
      <c r="H53" s="7" t="s">
        <v>101</v>
      </c>
      <c r="I53" s="7" t="s">
        <v>78</v>
      </c>
      <c r="J53" s="8">
        <v>1.8052012E7</v>
      </c>
      <c r="K53" s="10" t="s">
        <v>1018</v>
      </c>
      <c r="L53" s="7" t="s">
        <v>1019</v>
      </c>
      <c r="M53" s="7" t="s">
        <v>49</v>
      </c>
      <c r="N53" s="7" t="s">
        <v>1017</v>
      </c>
      <c r="O53" s="8" t="s">
        <v>1020</v>
      </c>
      <c r="P53" s="10" t="s">
        <v>1021</v>
      </c>
      <c r="Q53" s="11" t="s">
        <v>1022</v>
      </c>
      <c r="R53" s="11" t="s">
        <v>1023</v>
      </c>
      <c r="S53" s="14" t="s">
        <v>573</v>
      </c>
      <c r="T53" s="14" t="s">
        <v>1024</v>
      </c>
      <c r="U53" s="14" t="s">
        <v>54</v>
      </c>
      <c r="V53" s="14" t="s">
        <v>55</v>
      </c>
      <c r="W53" s="11" t="s">
        <v>1025</v>
      </c>
      <c r="X53" s="7" t="s">
        <v>57</v>
      </c>
      <c r="Y53" s="7" t="s">
        <v>1017</v>
      </c>
      <c r="Z53" s="9" t="s">
        <v>1026</v>
      </c>
      <c r="AA53" s="7" t="s">
        <v>1027</v>
      </c>
      <c r="AB53" s="7" t="s">
        <v>1028</v>
      </c>
      <c r="AC53" s="7" t="s">
        <v>1017</v>
      </c>
      <c r="AD53" s="10" t="s">
        <v>1018</v>
      </c>
      <c r="AE53" s="7" t="s">
        <v>1029</v>
      </c>
      <c r="AF53" s="10" t="s">
        <v>1015</v>
      </c>
      <c r="AG53" s="17" t="s">
        <v>260</v>
      </c>
      <c r="AH53" s="18"/>
      <c r="AI53" s="13"/>
      <c r="AJ53" s="13"/>
      <c r="AK53" s="16"/>
      <c r="AL53" s="7" t="s">
        <v>1030</v>
      </c>
      <c r="AM53" s="7" t="s">
        <v>95</v>
      </c>
      <c r="AN53" s="7" t="s">
        <v>1031</v>
      </c>
      <c r="AO53" s="7" t="s">
        <v>70</v>
      </c>
      <c r="AP53" s="13"/>
      <c r="AQ53" s="13"/>
      <c r="AR53" s="13"/>
      <c r="AS53" s="13"/>
      <c r="AT53" s="13"/>
      <c r="AU53" s="13"/>
    </row>
    <row r="54" hidden="1">
      <c r="A54" s="6">
        <v>45785.74813939814</v>
      </c>
      <c r="B54" s="7" t="s">
        <v>1032</v>
      </c>
      <c r="C54" s="7" t="s">
        <v>388</v>
      </c>
      <c r="D54" s="8" t="s">
        <v>1033</v>
      </c>
      <c r="E54" s="7" t="s">
        <v>1034</v>
      </c>
      <c r="F54" s="7" t="s">
        <v>1035</v>
      </c>
      <c r="G54" s="9" t="s">
        <v>76</v>
      </c>
      <c r="H54" s="7" t="s">
        <v>77</v>
      </c>
      <c r="I54" s="7" t="s">
        <v>46</v>
      </c>
      <c r="J54" s="8">
        <v>1.1012011E7</v>
      </c>
      <c r="K54" s="8" t="s">
        <v>1036</v>
      </c>
      <c r="L54" s="7" t="s">
        <v>1034</v>
      </c>
      <c r="M54" s="7" t="s">
        <v>49</v>
      </c>
      <c r="N54" s="7" t="s">
        <v>1035</v>
      </c>
      <c r="O54" s="8" t="s">
        <v>1037</v>
      </c>
      <c r="P54" s="8">
        <v>1.4082028E7</v>
      </c>
      <c r="Q54" s="11" t="s">
        <v>1038</v>
      </c>
      <c r="R54" s="11" t="s">
        <v>1039</v>
      </c>
      <c r="S54" s="7" t="s">
        <v>54</v>
      </c>
      <c r="T54" s="7" t="s">
        <v>55</v>
      </c>
      <c r="U54" s="7" t="s">
        <v>54</v>
      </c>
      <c r="V54" s="7" t="s">
        <v>55</v>
      </c>
      <c r="W54" s="11" t="s">
        <v>1040</v>
      </c>
      <c r="X54" s="7" t="s">
        <v>57</v>
      </c>
      <c r="Y54" s="7" t="s">
        <v>1035</v>
      </c>
      <c r="Z54" s="9" t="s">
        <v>1041</v>
      </c>
      <c r="AA54" s="7" t="s">
        <v>708</v>
      </c>
      <c r="AB54" s="7" t="s">
        <v>1042</v>
      </c>
      <c r="AC54" s="7" t="s">
        <v>1035</v>
      </c>
      <c r="AD54" s="8" t="s">
        <v>1036</v>
      </c>
      <c r="AE54" s="7" t="s">
        <v>1043</v>
      </c>
      <c r="AF54" s="8" t="s">
        <v>1044</v>
      </c>
      <c r="AG54" s="9" t="s">
        <v>64</v>
      </c>
      <c r="AH54" s="9">
        <v>4.0</v>
      </c>
      <c r="AI54" s="7" t="s">
        <v>1045</v>
      </c>
      <c r="AJ54" s="7" t="s">
        <v>336</v>
      </c>
      <c r="AK54" s="9" t="s">
        <v>749</v>
      </c>
      <c r="AL54" s="7" t="s">
        <v>1046</v>
      </c>
      <c r="AM54" s="7" t="s">
        <v>157</v>
      </c>
      <c r="AN54" s="7" t="s">
        <v>55</v>
      </c>
      <c r="AO54" s="7" t="s">
        <v>70</v>
      </c>
      <c r="AP54" s="13"/>
      <c r="AQ54" s="13"/>
      <c r="AR54" s="13"/>
      <c r="AS54" s="13"/>
      <c r="AT54" s="13"/>
      <c r="AU54" s="13"/>
    </row>
    <row r="55" hidden="1">
      <c r="A55" s="6">
        <v>45785.76816291666</v>
      </c>
      <c r="B55" s="7" t="s">
        <v>1047</v>
      </c>
      <c r="C55" s="7" t="s">
        <v>1048</v>
      </c>
      <c r="D55" s="10" t="s">
        <v>1049</v>
      </c>
      <c r="E55" s="7" t="s">
        <v>1050</v>
      </c>
      <c r="F55" s="7" t="s">
        <v>1051</v>
      </c>
      <c r="G55" s="9" t="s">
        <v>44</v>
      </c>
      <c r="H55" s="7" t="s">
        <v>101</v>
      </c>
      <c r="I55" s="7" t="s">
        <v>141</v>
      </c>
      <c r="J55" s="8">
        <v>2.3012012E7</v>
      </c>
      <c r="K55" s="10" t="s">
        <v>1049</v>
      </c>
      <c r="L55" s="7" t="s">
        <v>1050</v>
      </c>
      <c r="M55" s="7" t="s">
        <v>49</v>
      </c>
      <c r="N55" s="7" t="s">
        <v>1052</v>
      </c>
      <c r="O55" s="8" t="s">
        <v>1053</v>
      </c>
      <c r="P55" s="10" t="s">
        <v>1054</v>
      </c>
      <c r="Q55" s="20" t="s">
        <v>1055</v>
      </c>
      <c r="R55" s="11" t="s">
        <v>1056</v>
      </c>
      <c r="S55" s="7" t="s">
        <v>54</v>
      </c>
      <c r="T55" s="7" t="s">
        <v>55</v>
      </c>
      <c r="U55" s="7" t="s">
        <v>54</v>
      </c>
      <c r="V55" s="7" t="s">
        <v>55</v>
      </c>
      <c r="W55" s="11" t="s">
        <v>1057</v>
      </c>
      <c r="X55" s="7" t="s">
        <v>57</v>
      </c>
      <c r="Y55" s="7" t="s">
        <v>1051</v>
      </c>
      <c r="Z55" s="9" t="s">
        <v>1058</v>
      </c>
      <c r="AA55" s="7" t="s">
        <v>1059</v>
      </c>
      <c r="AB55" s="7" t="s">
        <v>1060</v>
      </c>
      <c r="AC55" s="7" t="s">
        <v>1052</v>
      </c>
      <c r="AD55" s="10" t="s">
        <v>1061</v>
      </c>
      <c r="AE55" s="7" t="s">
        <v>1062</v>
      </c>
      <c r="AF55" s="10" t="s">
        <v>1049</v>
      </c>
      <c r="AG55" s="9" t="s">
        <v>64</v>
      </c>
      <c r="AH55" s="9">
        <v>3.0</v>
      </c>
      <c r="AI55" s="7" t="s">
        <v>1063</v>
      </c>
      <c r="AJ55" s="7" t="s">
        <v>1064</v>
      </c>
      <c r="AK55" s="9" t="s">
        <v>1065</v>
      </c>
      <c r="AL55" s="7" t="s">
        <v>1062</v>
      </c>
      <c r="AM55" s="7" t="s">
        <v>157</v>
      </c>
      <c r="AN55" s="7" t="s">
        <v>55</v>
      </c>
      <c r="AO55" s="7" t="s">
        <v>70</v>
      </c>
      <c r="AP55" s="13"/>
      <c r="AQ55" s="13"/>
      <c r="AR55" s="13"/>
      <c r="AS55" s="13"/>
      <c r="AT55" s="13"/>
      <c r="AU55" s="13"/>
    </row>
    <row r="56" hidden="1">
      <c r="A56" s="21">
        <v>45785.85632177083</v>
      </c>
      <c r="B56" s="22" t="s">
        <v>1066</v>
      </c>
      <c r="C56" s="22" t="s">
        <v>1067</v>
      </c>
      <c r="D56" s="23" t="s">
        <v>1068</v>
      </c>
      <c r="E56" s="22" t="s">
        <v>1069</v>
      </c>
      <c r="F56" s="22" t="s">
        <v>1070</v>
      </c>
      <c r="G56" s="24" t="s">
        <v>44</v>
      </c>
      <c r="H56" s="22" t="s">
        <v>101</v>
      </c>
      <c r="I56" s="22" t="s">
        <v>102</v>
      </c>
      <c r="J56" s="23" t="s">
        <v>1071</v>
      </c>
      <c r="K56" s="23" t="s">
        <v>1068</v>
      </c>
      <c r="L56" s="22" t="s">
        <v>1069</v>
      </c>
      <c r="M56" s="22" t="s">
        <v>1072</v>
      </c>
      <c r="N56" s="25"/>
      <c r="O56" s="26"/>
      <c r="P56" s="26"/>
      <c r="Q56" s="25"/>
      <c r="R56" s="25"/>
      <c r="S56" s="25"/>
      <c r="T56" s="25"/>
      <c r="U56" s="25"/>
      <c r="V56" s="25"/>
      <c r="W56" s="25"/>
      <c r="X56" s="25"/>
      <c r="Y56" s="25"/>
      <c r="Z56" s="27"/>
      <c r="AA56" s="25"/>
      <c r="AB56" s="25"/>
      <c r="AC56" s="25"/>
      <c r="AD56" s="26"/>
      <c r="AE56" s="25"/>
      <c r="AF56" s="26"/>
      <c r="AG56" s="27"/>
      <c r="AH56" s="27"/>
      <c r="AI56" s="25"/>
      <c r="AJ56" s="25"/>
      <c r="AK56" s="27"/>
      <c r="AL56" s="25"/>
      <c r="AM56" s="25"/>
      <c r="AN56" s="25"/>
      <c r="AO56" s="25"/>
      <c r="AP56" s="25"/>
      <c r="AQ56" s="25"/>
      <c r="AR56" s="25"/>
      <c r="AS56" s="25"/>
      <c r="AT56" s="25"/>
      <c r="AU56" s="25"/>
    </row>
    <row r="57" hidden="1">
      <c r="A57" s="6">
        <v>45785.86666509259</v>
      </c>
      <c r="B57" s="7" t="s">
        <v>1073</v>
      </c>
      <c r="C57" s="7" t="s">
        <v>1074</v>
      </c>
      <c r="D57" s="8" t="s">
        <v>1075</v>
      </c>
      <c r="E57" s="7" t="s">
        <v>1076</v>
      </c>
      <c r="F57" s="7" t="s">
        <v>1077</v>
      </c>
      <c r="G57" s="9" t="s">
        <v>44</v>
      </c>
      <c r="H57" s="7" t="s">
        <v>77</v>
      </c>
      <c r="I57" s="7" t="s">
        <v>46</v>
      </c>
      <c r="J57" s="10" t="s">
        <v>1078</v>
      </c>
      <c r="K57" s="8" t="s">
        <v>1079</v>
      </c>
      <c r="L57" s="7" t="s">
        <v>1080</v>
      </c>
      <c r="M57" s="7" t="s">
        <v>49</v>
      </c>
      <c r="N57" s="7" t="s">
        <v>1077</v>
      </c>
      <c r="O57" s="8" t="s">
        <v>1081</v>
      </c>
      <c r="P57" s="8" t="s">
        <v>1082</v>
      </c>
      <c r="Q57" s="11" t="s">
        <v>1083</v>
      </c>
      <c r="R57" s="11" t="s">
        <v>1084</v>
      </c>
      <c r="S57" s="7" t="s">
        <v>54</v>
      </c>
      <c r="T57" s="7" t="s">
        <v>55</v>
      </c>
      <c r="U57" s="7" t="s">
        <v>54</v>
      </c>
      <c r="V57" s="7" t="s">
        <v>55</v>
      </c>
      <c r="W57" s="11" t="s">
        <v>1085</v>
      </c>
      <c r="X57" s="7" t="s">
        <v>57</v>
      </c>
      <c r="Y57" s="7" t="s">
        <v>1077</v>
      </c>
      <c r="Z57" s="9" t="s">
        <v>1086</v>
      </c>
      <c r="AA57" s="7" t="s">
        <v>1087</v>
      </c>
      <c r="AB57" s="7" t="s">
        <v>112</v>
      </c>
      <c r="AC57" s="7" t="s">
        <v>1077</v>
      </c>
      <c r="AD57" s="8" t="s">
        <v>1079</v>
      </c>
      <c r="AE57" s="7" t="s">
        <v>1088</v>
      </c>
      <c r="AF57" s="8" t="s">
        <v>1075</v>
      </c>
      <c r="AG57" s="17" t="s">
        <v>260</v>
      </c>
      <c r="AH57" s="18"/>
      <c r="AI57" s="13"/>
      <c r="AJ57" s="13"/>
      <c r="AK57" s="16"/>
      <c r="AL57" s="7" t="s">
        <v>1089</v>
      </c>
      <c r="AM57" s="7" t="s">
        <v>1090</v>
      </c>
      <c r="AN57" s="7" t="s">
        <v>55</v>
      </c>
      <c r="AO57" s="7" t="s">
        <v>70</v>
      </c>
      <c r="AP57" s="13"/>
      <c r="AQ57" s="13"/>
      <c r="AR57" s="13"/>
      <c r="AS57" s="13"/>
      <c r="AT57" s="13"/>
      <c r="AU57" s="13"/>
    </row>
    <row r="58">
      <c r="A58" s="6">
        <v>45785.88120875</v>
      </c>
      <c r="B58" s="7" t="s">
        <v>1091</v>
      </c>
      <c r="C58" s="7" t="s">
        <v>1092</v>
      </c>
      <c r="D58" s="10" t="s">
        <v>1093</v>
      </c>
      <c r="E58" s="7" t="s">
        <v>1094</v>
      </c>
      <c r="F58" s="7" t="s">
        <v>1095</v>
      </c>
      <c r="G58" s="9" t="s">
        <v>76</v>
      </c>
      <c r="H58" s="7" t="s">
        <v>45</v>
      </c>
      <c r="I58" s="7" t="s">
        <v>1096</v>
      </c>
      <c r="J58" s="10" t="s">
        <v>1097</v>
      </c>
      <c r="K58" s="10" t="s">
        <v>1098</v>
      </c>
      <c r="L58" s="7" t="s">
        <v>1099</v>
      </c>
      <c r="M58" s="7" t="s">
        <v>49</v>
      </c>
      <c r="N58" s="7" t="s">
        <v>1100</v>
      </c>
      <c r="O58" s="8" t="s">
        <v>1101</v>
      </c>
      <c r="P58" s="8">
        <v>2.1092029E7</v>
      </c>
      <c r="Q58" s="11" t="s">
        <v>1102</v>
      </c>
      <c r="R58" s="11" t="s">
        <v>1103</v>
      </c>
      <c r="S58" s="14" t="s">
        <v>54</v>
      </c>
      <c r="T58" s="14" t="s">
        <v>55</v>
      </c>
      <c r="U58" s="14" t="s">
        <v>846</v>
      </c>
      <c r="V58" s="14" t="s">
        <v>1104</v>
      </c>
      <c r="W58" s="11" t="s">
        <v>1105</v>
      </c>
      <c r="X58" s="7" t="s">
        <v>57</v>
      </c>
      <c r="Y58" s="7" t="s">
        <v>1100</v>
      </c>
      <c r="Z58" s="9" t="s">
        <v>1106</v>
      </c>
      <c r="AA58" s="7" t="s">
        <v>1107</v>
      </c>
      <c r="AB58" s="7" t="s">
        <v>1108</v>
      </c>
      <c r="AC58" s="7" t="s">
        <v>1109</v>
      </c>
      <c r="AD58" s="10" t="s">
        <v>1098</v>
      </c>
      <c r="AE58" s="7" t="s">
        <v>1091</v>
      </c>
      <c r="AF58" s="10" t="s">
        <v>1093</v>
      </c>
      <c r="AG58" s="9" t="s">
        <v>64</v>
      </c>
      <c r="AH58" s="9">
        <v>3.0</v>
      </c>
      <c r="AI58" s="7" t="s">
        <v>1110</v>
      </c>
      <c r="AJ58" s="7" t="s">
        <v>1111</v>
      </c>
      <c r="AK58" s="12" t="s">
        <v>1112</v>
      </c>
      <c r="AL58" s="7" t="s">
        <v>1113</v>
      </c>
      <c r="AM58" s="7" t="s">
        <v>1114</v>
      </c>
      <c r="AN58" s="7" t="s">
        <v>55</v>
      </c>
      <c r="AO58" s="7" t="s">
        <v>70</v>
      </c>
      <c r="AP58" s="13"/>
      <c r="AQ58" s="13"/>
      <c r="AR58" s="13"/>
      <c r="AS58" s="13"/>
      <c r="AT58" s="13"/>
      <c r="AU58" s="13"/>
    </row>
    <row r="59" hidden="1">
      <c r="A59" s="6">
        <v>45785.88165296296</v>
      </c>
      <c r="B59" s="7" t="s">
        <v>751</v>
      </c>
      <c r="C59" s="7" t="s">
        <v>1115</v>
      </c>
      <c r="D59" s="10" t="s">
        <v>1116</v>
      </c>
      <c r="E59" s="7" t="s">
        <v>1117</v>
      </c>
      <c r="F59" s="7" t="s">
        <v>1118</v>
      </c>
      <c r="G59" s="9" t="s">
        <v>76</v>
      </c>
      <c r="H59" s="7" t="s">
        <v>45</v>
      </c>
      <c r="I59" s="7" t="s">
        <v>78</v>
      </c>
      <c r="J59" s="8">
        <v>1.9012009E7</v>
      </c>
      <c r="K59" s="10" t="s">
        <v>1119</v>
      </c>
      <c r="L59" s="7" t="s">
        <v>1120</v>
      </c>
      <c r="M59" s="7" t="s">
        <v>49</v>
      </c>
      <c r="N59" s="7" t="s">
        <v>1118</v>
      </c>
      <c r="O59" s="8" t="s">
        <v>1121</v>
      </c>
      <c r="P59" s="8">
        <v>3.0052029E7</v>
      </c>
      <c r="Q59" s="11" t="s">
        <v>1122</v>
      </c>
      <c r="R59" s="11" t="s">
        <v>1123</v>
      </c>
      <c r="S59" s="7" t="s">
        <v>54</v>
      </c>
      <c r="T59" s="7" t="s">
        <v>55</v>
      </c>
      <c r="U59" s="7" t="s">
        <v>54</v>
      </c>
      <c r="V59" s="7" t="s">
        <v>55</v>
      </c>
      <c r="W59" s="11" t="s">
        <v>1124</v>
      </c>
      <c r="X59" s="7" t="s">
        <v>57</v>
      </c>
      <c r="Y59" s="7" t="s">
        <v>1118</v>
      </c>
      <c r="Z59" s="9" t="s">
        <v>1125</v>
      </c>
      <c r="AA59" s="7" t="s">
        <v>1126</v>
      </c>
      <c r="AB59" s="7" t="s">
        <v>1127</v>
      </c>
      <c r="AC59" s="7" t="s">
        <v>1118</v>
      </c>
      <c r="AD59" s="10" t="s">
        <v>1119</v>
      </c>
      <c r="AE59" s="7" t="s">
        <v>1128</v>
      </c>
      <c r="AF59" s="10" t="s">
        <v>1116</v>
      </c>
      <c r="AG59" s="17" t="s">
        <v>260</v>
      </c>
      <c r="AH59" s="18"/>
      <c r="AI59" s="13"/>
      <c r="AJ59" s="13"/>
      <c r="AK59" s="16"/>
      <c r="AL59" s="7" t="s">
        <v>1129</v>
      </c>
      <c r="AM59" s="7" t="s">
        <v>95</v>
      </c>
      <c r="AN59" s="7" t="s">
        <v>55</v>
      </c>
      <c r="AO59" s="7" t="s">
        <v>70</v>
      </c>
      <c r="AP59" s="13"/>
      <c r="AQ59" s="13"/>
      <c r="AR59" s="13"/>
      <c r="AS59" s="13"/>
      <c r="AT59" s="13"/>
      <c r="AU59" s="13"/>
    </row>
    <row r="60" hidden="1">
      <c r="A60" s="6">
        <v>45785.9106142824</v>
      </c>
      <c r="B60" s="7" t="s">
        <v>1130</v>
      </c>
      <c r="C60" s="7" t="s">
        <v>1131</v>
      </c>
      <c r="D60" s="10" t="s">
        <v>1132</v>
      </c>
      <c r="E60" s="7" t="s">
        <v>1133</v>
      </c>
      <c r="F60" s="7" t="s">
        <v>1134</v>
      </c>
      <c r="G60" s="9" t="s">
        <v>76</v>
      </c>
      <c r="H60" s="7" t="s">
        <v>101</v>
      </c>
      <c r="I60" s="7" t="s">
        <v>78</v>
      </c>
      <c r="J60" s="10" t="s">
        <v>1135</v>
      </c>
      <c r="K60" s="10" t="s">
        <v>1136</v>
      </c>
      <c r="L60" s="7" t="s">
        <v>1137</v>
      </c>
      <c r="M60" s="7" t="s">
        <v>49</v>
      </c>
      <c r="N60" s="7" t="s">
        <v>1134</v>
      </c>
      <c r="O60" s="8" t="s">
        <v>1138</v>
      </c>
      <c r="P60" s="8" t="s">
        <v>1139</v>
      </c>
      <c r="Q60" s="11" t="s">
        <v>1140</v>
      </c>
      <c r="R60" s="11" t="s">
        <v>1141</v>
      </c>
      <c r="S60" s="7" t="s">
        <v>54</v>
      </c>
      <c r="T60" s="7" t="s">
        <v>55</v>
      </c>
      <c r="U60" s="7" t="s">
        <v>54</v>
      </c>
      <c r="V60" s="7" t="s">
        <v>55</v>
      </c>
      <c r="W60" s="11" t="s">
        <v>1142</v>
      </c>
      <c r="X60" s="7" t="s">
        <v>57</v>
      </c>
      <c r="Y60" s="7" t="s">
        <v>1134</v>
      </c>
      <c r="Z60" s="9" t="s">
        <v>1143</v>
      </c>
      <c r="AA60" s="7" t="s">
        <v>1144</v>
      </c>
      <c r="AB60" s="7" t="s">
        <v>1145</v>
      </c>
      <c r="AC60" s="7" t="s">
        <v>1134</v>
      </c>
      <c r="AD60" s="10" t="s">
        <v>1136</v>
      </c>
      <c r="AE60" s="7" t="s">
        <v>1146</v>
      </c>
      <c r="AF60" s="10" t="s">
        <v>1132</v>
      </c>
      <c r="AG60" s="9" t="s">
        <v>64</v>
      </c>
      <c r="AH60" s="9">
        <v>1.0</v>
      </c>
      <c r="AI60" s="7" t="s">
        <v>1147</v>
      </c>
      <c r="AJ60" s="7" t="s">
        <v>1148</v>
      </c>
      <c r="AK60" s="9" t="s">
        <v>1149</v>
      </c>
      <c r="AL60" s="7" t="s">
        <v>1150</v>
      </c>
      <c r="AM60" s="7" t="s">
        <v>95</v>
      </c>
      <c r="AN60" s="7" t="s">
        <v>55</v>
      </c>
      <c r="AO60" s="7" t="s">
        <v>70</v>
      </c>
      <c r="AP60" s="13"/>
      <c r="AQ60" s="13"/>
      <c r="AR60" s="13"/>
      <c r="AS60" s="13"/>
      <c r="AT60" s="13"/>
      <c r="AU60" s="13"/>
    </row>
    <row r="61" hidden="1">
      <c r="A61" s="6">
        <v>45785.91132032407</v>
      </c>
      <c r="B61" s="7" t="s">
        <v>1151</v>
      </c>
      <c r="C61" s="7" t="s">
        <v>1152</v>
      </c>
      <c r="D61" s="8" t="s">
        <v>1153</v>
      </c>
      <c r="E61" s="7" t="s">
        <v>1154</v>
      </c>
      <c r="F61" s="7" t="s">
        <v>1155</v>
      </c>
      <c r="G61" s="9" t="s">
        <v>44</v>
      </c>
      <c r="H61" s="7" t="s">
        <v>77</v>
      </c>
      <c r="I61" s="7" t="s">
        <v>46</v>
      </c>
      <c r="J61" s="8" t="s">
        <v>1156</v>
      </c>
      <c r="K61" s="8" t="s">
        <v>1157</v>
      </c>
      <c r="L61" s="7" t="s">
        <v>1158</v>
      </c>
      <c r="M61" s="7" t="s">
        <v>49</v>
      </c>
      <c r="N61" s="7" t="s">
        <v>1159</v>
      </c>
      <c r="O61" s="8" t="s">
        <v>1160</v>
      </c>
      <c r="P61" s="8" t="s">
        <v>1161</v>
      </c>
      <c r="Q61" s="11" t="s">
        <v>1162</v>
      </c>
      <c r="R61" s="11" t="s">
        <v>1163</v>
      </c>
      <c r="S61" s="7" t="s">
        <v>54</v>
      </c>
      <c r="T61" s="7" t="s">
        <v>55</v>
      </c>
      <c r="U61" s="7" t="s">
        <v>54</v>
      </c>
      <c r="V61" s="7" t="s">
        <v>55</v>
      </c>
      <c r="W61" s="11" t="s">
        <v>1164</v>
      </c>
      <c r="X61" s="7" t="s">
        <v>57</v>
      </c>
      <c r="Y61" s="7" t="s">
        <v>1155</v>
      </c>
      <c r="Z61" s="9" t="s">
        <v>1165</v>
      </c>
      <c r="AA61" s="7" t="s">
        <v>1166</v>
      </c>
      <c r="AB61" s="7" t="s">
        <v>1167</v>
      </c>
      <c r="AC61" s="7" t="s">
        <v>1155</v>
      </c>
      <c r="AD61" s="10" t="s">
        <v>1168</v>
      </c>
      <c r="AE61" s="7" t="s">
        <v>1169</v>
      </c>
      <c r="AF61" s="10" t="s">
        <v>1170</v>
      </c>
      <c r="AG61" s="17" t="s">
        <v>260</v>
      </c>
      <c r="AH61" s="18"/>
      <c r="AI61" s="13"/>
      <c r="AJ61" s="13"/>
      <c r="AK61" s="16"/>
      <c r="AL61" s="7" t="s">
        <v>1171</v>
      </c>
      <c r="AM61" s="7" t="s">
        <v>241</v>
      </c>
      <c r="AN61" s="7" t="s">
        <v>55</v>
      </c>
      <c r="AO61" s="7" t="s">
        <v>70</v>
      </c>
      <c r="AP61" s="13"/>
      <c r="AQ61" s="13"/>
      <c r="AR61" s="13"/>
      <c r="AS61" s="13"/>
      <c r="AT61" s="13"/>
      <c r="AU61" s="13"/>
    </row>
    <row r="62" hidden="1">
      <c r="A62" s="6">
        <v>45785.919514189816</v>
      </c>
      <c r="B62" s="7" t="s">
        <v>1172</v>
      </c>
      <c r="C62" s="7" t="s">
        <v>1173</v>
      </c>
      <c r="D62" s="10" t="s">
        <v>1174</v>
      </c>
      <c r="E62" s="7" t="s">
        <v>1175</v>
      </c>
      <c r="F62" s="7" t="s">
        <v>1176</v>
      </c>
      <c r="G62" s="9" t="s">
        <v>44</v>
      </c>
      <c r="H62" s="7" t="s">
        <v>77</v>
      </c>
      <c r="I62" s="7" t="s">
        <v>78</v>
      </c>
      <c r="J62" s="8">
        <v>1.711201E7</v>
      </c>
      <c r="K62" s="10" t="s">
        <v>1177</v>
      </c>
      <c r="L62" s="7" t="s">
        <v>1178</v>
      </c>
      <c r="M62" s="7" t="s">
        <v>49</v>
      </c>
      <c r="N62" s="7" t="s">
        <v>1179</v>
      </c>
      <c r="O62" s="8" t="s">
        <v>1180</v>
      </c>
      <c r="P62" s="8" t="s">
        <v>1181</v>
      </c>
      <c r="Q62" s="20" t="s">
        <v>1182</v>
      </c>
      <c r="R62" s="11" t="s">
        <v>1183</v>
      </c>
      <c r="S62" s="7" t="s">
        <v>54</v>
      </c>
      <c r="T62" s="7" t="s">
        <v>55</v>
      </c>
      <c r="U62" s="7" t="s">
        <v>54</v>
      </c>
      <c r="V62" s="7" t="s">
        <v>55</v>
      </c>
      <c r="W62" s="11" t="s">
        <v>1184</v>
      </c>
      <c r="X62" s="7" t="s">
        <v>57</v>
      </c>
      <c r="Y62" s="7" t="s">
        <v>1176</v>
      </c>
      <c r="Z62" s="9" t="s">
        <v>1185</v>
      </c>
      <c r="AA62" s="7" t="s">
        <v>1186</v>
      </c>
      <c r="AB62" s="7" t="s">
        <v>1187</v>
      </c>
      <c r="AC62" s="7" t="s">
        <v>1188</v>
      </c>
      <c r="AD62" s="10" t="s">
        <v>1177</v>
      </c>
      <c r="AE62" s="7" t="s">
        <v>1189</v>
      </c>
      <c r="AF62" s="10" t="s">
        <v>1174</v>
      </c>
      <c r="AG62" s="9" t="s">
        <v>64</v>
      </c>
      <c r="AH62" s="9">
        <v>2.0</v>
      </c>
      <c r="AI62" s="7" t="s">
        <v>1190</v>
      </c>
      <c r="AJ62" s="7" t="s">
        <v>1191</v>
      </c>
      <c r="AK62" s="12" t="s">
        <v>67</v>
      </c>
      <c r="AL62" s="7" t="s">
        <v>1192</v>
      </c>
      <c r="AM62" s="7" t="s">
        <v>241</v>
      </c>
      <c r="AN62" s="7" t="s">
        <v>55</v>
      </c>
      <c r="AO62" s="7" t="s">
        <v>70</v>
      </c>
      <c r="AP62" s="13"/>
      <c r="AQ62" s="13"/>
      <c r="AR62" s="13"/>
      <c r="AS62" s="13"/>
      <c r="AT62" s="13"/>
      <c r="AU62" s="13"/>
    </row>
    <row r="63" hidden="1">
      <c r="A63" s="6">
        <v>45785.92676594907</v>
      </c>
      <c r="B63" s="7" t="s">
        <v>1193</v>
      </c>
      <c r="C63" s="7" t="s">
        <v>564</v>
      </c>
      <c r="D63" s="10" t="s">
        <v>1194</v>
      </c>
      <c r="E63" s="7" t="s">
        <v>1195</v>
      </c>
      <c r="F63" s="7" t="s">
        <v>1196</v>
      </c>
      <c r="G63" s="9" t="s">
        <v>76</v>
      </c>
      <c r="H63" s="7" t="s">
        <v>77</v>
      </c>
      <c r="I63" s="7" t="s">
        <v>78</v>
      </c>
      <c r="J63" s="8">
        <v>2.010201E7</v>
      </c>
      <c r="K63" s="10" t="s">
        <v>1194</v>
      </c>
      <c r="L63" s="7" t="s">
        <v>1195</v>
      </c>
      <c r="M63" s="7" t="s">
        <v>49</v>
      </c>
      <c r="N63" s="7" t="s">
        <v>1196</v>
      </c>
      <c r="O63" s="8" t="s">
        <v>1197</v>
      </c>
      <c r="P63" s="10" t="s">
        <v>1198</v>
      </c>
      <c r="Q63" s="11" t="s">
        <v>1199</v>
      </c>
      <c r="R63" s="11" t="s">
        <v>1200</v>
      </c>
      <c r="S63" s="7" t="s">
        <v>54</v>
      </c>
      <c r="T63" s="7" t="s">
        <v>55</v>
      </c>
      <c r="U63" s="7" t="s">
        <v>54</v>
      </c>
      <c r="V63" s="7" t="s">
        <v>55</v>
      </c>
      <c r="W63" s="11" t="s">
        <v>1201</v>
      </c>
      <c r="X63" s="7" t="s">
        <v>57</v>
      </c>
      <c r="Y63" s="7" t="s">
        <v>1196</v>
      </c>
      <c r="Z63" s="9" t="s">
        <v>1202</v>
      </c>
      <c r="AA63" s="7" t="s">
        <v>1203</v>
      </c>
      <c r="AB63" s="7" t="s">
        <v>1204</v>
      </c>
      <c r="AC63" s="7" t="s">
        <v>1196</v>
      </c>
      <c r="AD63" s="10" t="s">
        <v>1205</v>
      </c>
      <c r="AE63" s="7" t="s">
        <v>1206</v>
      </c>
      <c r="AF63" s="10" t="s">
        <v>1194</v>
      </c>
      <c r="AG63" s="9" t="s">
        <v>64</v>
      </c>
      <c r="AH63" s="9">
        <v>2.0</v>
      </c>
      <c r="AI63" s="7" t="s">
        <v>1207</v>
      </c>
      <c r="AJ63" s="7" t="s">
        <v>1208</v>
      </c>
      <c r="AK63" s="9" t="s">
        <v>749</v>
      </c>
      <c r="AL63" s="7" t="s">
        <v>1209</v>
      </c>
      <c r="AM63" s="7" t="s">
        <v>408</v>
      </c>
      <c r="AN63" s="7" t="s">
        <v>55</v>
      </c>
      <c r="AO63" s="7" t="s">
        <v>70</v>
      </c>
      <c r="AP63" s="13"/>
      <c r="AQ63" s="13"/>
      <c r="AR63" s="13"/>
      <c r="AS63" s="13"/>
      <c r="AT63" s="13"/>
      <c r="AU63" s="13"/>
    </row>
    <row r="64" hidden="1">
      <c r="A64" s="6">
        <v>45785.93660103009</v>
      </c>
      <c r="B64" s="7" t="s">
        <v>1210</v>
      </c>
      <c r="C64" s="7" t="s">
        <v>97</v>
      </c>
      <c r="D64" s="10" t="s">
        <v>1211</v>
      </c>
      <c r="E64" s="7" t="s">
        <v>1212</v>
      </c>
      <c r="F64" s="7" t="s">
        <v>1213</v>
      </c>
      <c r="G64" s="9" t="s">
        <v>44</v>
      </c>
      <c r="H64" s="7" t="s">
        <v>45</v>
      </c>
      <c r="I64" s="7" t="s">
        <v>141</v>
      </c>
      <c r="J64" s="10" t="s">
        <v>1214</v>
      </c>
      <c r="K64" s="10" t="s">
        <v>1215</v>
      </c>
      <c r="L64" s="7" t="s">
        <v>1216</v>
      </c>
      <c r="M64" s="7" t="s">
        <v>49</v>
      </c>
      <c r="N64" s="7" t="s">
        <v>1213</v>
      </c>
      <c r="O64" s="8" t="s">
        <v>1217</v>
      </c>
      <c r="P64" s="8">
        <v>2.2072028E7</v>
      </c>
      <c r="Q64" s="11" t="s">
        <v>1218</v>
      </c>
      <c r="R64" s="11" t="s">
        <v>1219</v>
      </c>
      <c r="S64" s="7" t="s">
        <v>54</v>
      </c>
      <c r="T64" s="7" t="s">
        <v>55</v>
      </c>
      <c r="U64" s="7" t="s">
        <v>54</v>
      </c>
      <c r="V64" s="7" t="s">
        <v>55</v>
      </c>
      <c r="W64" s="11" t="s">
        <v>1220</v>
      </c>
      <c r="X64" s="7" t="s">
        <v>57</v>
      </c>
      <c r="Y64" s="7" t="s">
        <v>1213</v>
      </c>
      <c r="Z64" s="9" t="s">
        <v>1221</v>
      </c>
      <c r="AA64" s="7" t="s">
        <v>1222</v>
      </c>
      <c r="AB64" s="7" t="s">
        <v>1223</v>
      </c>
      <c r="AC64" s="7" t="s">
        <v>1213</v>
      </c>
      <c r="AD64" s="10" t="s">
        <v>1215</v>
      </c>
      <c r="AE64" s="7" t="s">
        <v>1224</v>
      </c>
      <c r="AF64" s="10" t="s">
        <v>1211</v>
      </c>
      <c r="AG64" s="9" t="s">
        <v>64</v>
      </c>
      <c r="AH64" s="9">
        <v>3.0</v>
      </c>
      <c r="AI64" s="7" t="s">
        <v>1225</v>
      </c>
      <c r="AJ64" s="7" t="s">
        <v>1226</v>
      </c>
      <c r="AK64" s="9" t="s">
        <v>749</v>
      </c>
      <c r="AL64" s="7" t="s">
        <v>1227</v>
      </c>
      <c r="AM64" s="7" t="s">
        <v>117</v>
      </c>
      <c r="AN64" s="7" t="s">
        <v>55</v>
      </c>
      <c r="AO64" s="7" t="s">
        <v>70</v>
      </c>
      <c r="AP64" s="13"/>
      <c r="AQ64" s="13"/>
      <c r="AR64" s="13"/>
      <c r="AS64" s="13"/>
      <c r="AT64" s="13"/>
      <c r="AU64" s="13"/>
    </row>
    <row r="65" hidden="1">
      <c r="A65" s="6">
        <v>45785.94071385417</v>
      </c>
      <c r="B65" s="7" t="s">
        <v>1228</v>
      </c>
      <c r="C65" s="7" t="s">
        <v>460</v>
      </c>
      <c r="D65" s="8" t="s">
        <v>1229</v>
      </c>
      <c r="E65" s="7" t="s">
        <v>1230</v>
      </c>
      <c r="F65" s="7" t="s">
        <v>1231</v>
      </c>
      <c r="G65" s="9" t="s">
        <v>44</v>
      </c>
      <c r="H65" s="7" t="s">
        <v>77</v>
      </c>
      <c r="I65" s="7" t="s">
        <v>46</v>
      </c>
      <c r="J65" s="8" t="s">
        <v>1232</v>
      </c>
      <c r="K65" s="8" t="s">
        <v>1233</v>
      </c>
      <c r="L65" s="7" t="s">
        <v>1234</v>
      </c>
      <c r="M65" s="7" t="s">
        <v>49</v>
      </c>
      <c r="N65" s="7" t="s">
        <v>1231</v>
      </c>
      <c r="O65" s="8" t="s">
        <v>1235</v>
      </c>
      <c r="P65" s="10" t="s">
        <v>1236</v>
      </c>
      <c r="Q65" s="11" t="s">
        <v>1237</v>
      </c>
      <c r="R65" s="11" t="s">
        <v>1238</v>
      </c>
      <c r="S65" s="7" t="s">
        <v>54</v>
      </c>
      <c r="T65" s="7" t="s">
        <v>55</v>
      </c>
      <c r="U65" s="7" t="s">
        <v>54</v>
      </c>
      <c r="V65" s="7" t="s">
        <v>55</v>
      </c>
      <c r="W65" s="11" t="s">
        <v>1239</v>
      </c>
      <c r="X65" s="7" t="s">
        <v>57</v>
      </c>
      <c r="Y65" s="7" t="s">
        <v>1231</v>
      </c>
      <c r="Z65" s="9" t="s">
        <v>1240</v>
      </c>
      <c r="AA65" s="7" t="s">
        <v>312</v>
      </c>
      <c r="AB65" s="7" t="s">
        <v>1241</v>
      </c>
      <c r="AC65" s="7" t="s">
        <v>1231</v>
      </c>
      <c r="AD65" s="8" t="s">
        <v>1233</v>
      </c>
      <c r="AE65" s="7" t="s">
        <v>1242</v>
      </c>
      <c r="AF65" s="8" t="s">
        <v>1229</v>
      </c>
      <c r="AG65" s="9" t="s">
        <v>64</v>
      </c>
      <c r="AH65" s="9">
        <v>3.0</v>
      </c>
      <c r="AI65" s="7" t="s">
        <v>1243</v>
      </c>
      <c r="AJ65" s="7" t="s">
        <v>1244</v>
      </c>
      <c r="AK65" s="9" t="s">
        <v>1245</v>
      </c>
      <c r="AL65" s="7" t="s">
        <v>1246</v>
      </c>
      <c r="AM65" s="7" t="s">
        <v>95</v>
      </c>
      <c r="AN65" s="7" t="s">
        <v>55</v>
      </c>
      <c r="AO65" s="7" t="s">
        <v>70</v>
      </c>
      <c r="AP65" s="13"/>
      <c r="AQ65" s="13"/>
      <c r="AR65" s="13"/>
      <c r="AS65" s="13"/>
      <c r="AT65" s="13"/>
      <c r="AU65" s="13"/>
    </row>
    <row r="66" hidden="1">
      <c r="A66" s="6">
        <v>45785.94523203703</v>
      </c>
      <c r="B66" s="7" t="s">
        <v>1247</v>
      </c>
      <c r="C66" s="7" t="s">
        <v>1248</v>
      </c>
      <c r="D66" s="8" t="s">
        <v>1249</v>
      </c>
      <c r="E66" s="7" t="s">
        <v>1250</v>
      </c>
      <c r="F66" s="7" t="s">
        <v>1251</v>
      </c>
      <c r="G66" s="9" t="s">
        <v>76</v>
      </c>
      <c r="H66" s="7" t="s">
        <v>77</v>
      </c>
      <c r="I66" s="7" t="s">
        <v>141</v>
      </c>
      <c r="J66" s="8" t="s">
        <v>1252</v>
      </c>
      <c r="K66" s="8" t="s">
        <v>1253</v>
      </c>
      <c r="L66" s="7" t="s">
        <v>1254</v>
      </c>
      <c r="M66" s="7" t="s">
        <v>49</v>
      </c>
      <c r="N66" s="7" t="s">
        <v>1251</v>
      </c>
      <c r="O66" s="8" t="s">
        <v>1255</v>
      </c>
      <c r="P66" s="10" t="s">
        <v>1256</v>
      </c>
      <c r="Q66" s="11" t="s">
        <v>1257</v>
      </c>
      <c r="R66" s="11" t="s">
        <v>1258</v>
      </c>
      <c r="S66" s="7" t="s">
        <v>54</v>
      </c>
      <c r="T66" s="7" t="s">
        <v>55</v>
      </c>
      <c r="U66" s="7" t="s">
        <v>54</v>
      </c>
      <c r="V66" s="7" t="s">
        <v>55</v>
      </c>
      <c r="W66" s="11" t="s">
        <v>1259</v>
      </c>
      <c r="X66" s="7" t="s">
        <v>57</v>
      </c>
      <c r="Y66" s="7" t="s">
        <v>1251</v>
      </c>
      <c r="Z66" s="9" t="s">
        <v>1260</v>
      </c>
      <c r="AA66" s="7" t="s">
        <v>1261</v>
      </c>
      <c r="AB66" s="7" t="s">
        <v>1262</v>
      </c>
      <c r="AC66" s="7" t="s">
        <v>1251</v>
      </c>
      <c r="AD66" s="8" t="s">
        <v>1253</v>
      </c>
      <c r="AE66" s="7" t="s">
        <v>1263</v>
      </c>
      <c r="AF66" s="10" t="s">
        <v>1264</v>
      </c>
      <c r="AG66" s="9" t="s">
        <v>64</v>
      </c>
      <c r="AH66" s="9">
        <v>3.0</v>
      </c>
      <c r="AI66" s="7" t="s">
        <v>1265</v>
      </c>
      <c r="AJ66" s="7" t="s">
        <v>1266</v>
      </c>
      <c r="AK66" s="9" t="s">
        <v>1267</v>
      </c>
      <c r="AL66" s="7" t="s">
        <v>1268</v>
      </c>
      <c r="AM66" s="7" t="s">
        <v>69</v>
      </c>
      <c r="AN66" s="7" t="s">
        <v>55</v>
      </c>
      <c r="AO66" s="7" t="s">
        <v>70</v>
      </c>
      <c r="AP66" s="13"/>
      <c r="AQ66" s="13"/>
      <c r="AR66" s="13"/>
      <c r="AS66" s="13"/>
      <c r="AT66" s="13"/>
      <c r="AU66" s="13"/>
    </row>
    <row r="67" hidden="1">
      <c r="A67" s="6">
        <v>45785.949901921296</v>
      </c>
      <c r="B67" s="7" t="s">
        <v>1269</v>
      </c>
      <c r="C67" s="7" t="s">
        <v>1270</v>
      </c>
      <c r="D67" s="8" t="s">
        <v>1271</v>
      </c>
      <c r="E67" s="7" t="s">
        <v>1272</v>
      </c>
      <c r="F67" s="7" t="s">
        <v>1273</v>
      </c>
      <c r="G67" s="9" t="s">
        <v>44</v>
      </c>
      <c r="H67" s="7" t="s">
        <v>77</v>
      </c>
      <c r="I67" s="7" t="s">
        <v>102</v>
      </c>
      <c r="J67" s="10" t="s">
        <v>1274</v>
      </c>
      <c r="K67" s="8" t="s">
        <v>1275</v>
      </c>
      <c r="L67" s="7" t="s">
        <v>1276</v>
      </c>
      <c r="M67" s="7" t="s">
        <v>49</v>
      </c>
      <c r="N67" s="7" t="s">
        <v>1273</v>
      </c>
      <c r="O67" s="8" t="s">
        <v>1277</v>
      </c>
      <c r="P67" s="8">
        <v>2.001203E7</v>
      </c>
      <c r="Q67" s="11" t="s">
        <v>1278</v>
      </c>
      <c r="R67" s="11" t="s">
        <v>1279</v>
      </c>
      <c r="S67" s="7" t="s">
        <v>54</v>
      </c>
      <c r="T67" s="7" t="s">
        <v>55</v>
      </c>
      <c r="U67" s="7" t="s">
        <v>54</v>
      </c>
      <c r="V67" s="7" t="s">
        <v>55</v>
      </c>
      <c r="W67" s="11" t="s">
        <v>1280</v>
      </c>
      <c r="X67" s="7" t="s">
        <v>57</v>
      </c>
      <c r="Y67" s="7" t="s">
        <v>1273</v>
      </c>
      <c r="Z67" s="9" t="s">
        <v>1281</v>
      </c>
      <c r="AA67" s="7" t="s">
        <v>1282</v>
      </c>
      <c r="AB67" s="7" t="s">
        <v>1283</v>
      </c>
      <c r="AC67" s="7" t="s">
        <v>1273</v>
      </c>
      <c r="AD67" s="10" t="s">
        <v>1284</v>
      </c>
      <c r="AE67" s="7" t="s">
        <v>1285</v>
      </c>
      <c r="AF67" s="8">
        <v>1.24314539E8</v>
      </c>
      <c r="AG67" s="17" t="s">
        <v>260</v>
      </c>
      <c r="AH67" s="18"/>
      <c r="AI67" s="13"/>
      <c r="AJ67" s="13"/>
      <c r="AK67" s="16"/>
      <c r="AL67" s="7" t="s">
        <v>1286</v>
      </c>
      <c r="AM67" s="7" t="s">
        <v>69</v>
      </c>
      <c r="AN67" s="7" t="s">
        <v>55</v>
      </c>
      <c r="AO67" s="7" t="s">
        <v>70</v>
      </c>
      <c r="AP67" s="13"/>
      <c r="AQ67" s="13"/>
      <c r="AR67" s="13"/>
      <c r="AS67" s="13"/>
      <c r="AT67" s="13"/>
      <c r="AU67" s="13"/>
    </row>
    <row r="68" hidden="1">
      <c r="A68" s="6">
        <v>45785.95013254629</v>
      </c>
      <c r="B68" s="7" t="s">
        <v>1287</v>
      </c>
      <c r="C68" s="7" t="s">
        <v>97</v>
      </c>
      <c r="D68" s="10" t="s">
        <v>1211</v>
      </c>
      <c r="E68" s="7" t="s">
        <v>1212</v>
      </c>
      <c r="F68" s="7" t="s">
        <v>1288</v>
      </c>
      <c r="G68" s="9" t="s">
        <v>44</v>
      </c>
      <c r="H68" s="7" t="s">
        <v>101</v>
      </c>
      <c r="I68" s="7" t="s">
        <v>78</v>
      </c>
      <c r="J68" s="8">
        <v>2.9082012E7</v>
      </c>
      <c r="K68" s="10" t="s">
        <v>1289</v>
      </c>
      <c r="L68" s="7" t="s">
        <v>1212</v>
      </c>
      <c r="M68" s="7" t="s">
        <v>49</v>
      </c>
      <c r="N68" s="7" t="s">
        <v>1288</v>
      </c>
      <c r="O68" s="8" t="s">
        <v>1290</v>
      </c>
      <c r="P68" s="8">
        <v>2.6052029E7</v>
      </c>
      <c r="Q68" s="11" t="s">
        <v>1291</v>
      </c>
      <c r="R68" s="11" t="s">
        <v>1292</v>
      </c>
      <c r="S68" s="7" t="s">
        <v>54</v>
      </c>
      <c r="T68" s="7" t="s">
        <v>55</v>
      </c>
      <c r="U68" s="7" t="s">
        <v>54</v>
      </c>
      <c r="V68" s="7" t="s">
        <v>55</v>
      </c>
      <c r="W68" s="11" t="s">
        <v>1293</v>
      </c>
      <c r="X68" s="7" t="s">
        <v>57</v>
      </c>
      <c r="Y68" s="7" t="s">
        <v>1294</v>
      </c>
      <c r="Z68" s="9" t="s">
        <v>1295</v>
      </c>
      <c r="AA68" s="7" t="s">
        <v>1222</v>
      </c>
      <c r="AB68" s="7" t="s">
        <v>1296</v>
      </c>
      <c r="AC68" s="7" t="s">
        <v>1288</v>
      </c>
      <c r="AD68" s="10" t="s">
        <v>1289</v>
      </c>
      <c r="AE68" s="7" t="s">
        <v>1224</v>
      </c>
      <c r="AF68" s="10" t="s">
        <v>1211</v>
      </c>
      <c r="AG68" s="9" t="s">
        <v>64</v>
      </c>
      <c r="AH68" s="9">
        <v>3.0</v>
      </c>
      <c r="AI68" s="7" t="s">
        <v>1225</v>
      </c>
      <c r="AJ68" s="7" t="s">
        <v>1297</v>
      </c>
      <c r="AK68" s="9" t="s">
        <v>749</v>
      </c>
      <c r="AL68" s="7" t="s">
        <v>1298</v>
      </c>
      <c r="AM68" s="7" t="s">
        <v>117</v>
      </c>
      <c r="AN68" s="7" t="s">
        <v>55</v>
      </c>
      <c r="AO68" s="7" t="s">
        <v>70</v>
      </c>
      <c r="AP68" s="13"/>
      <c r="AQ68" s="13"/>
      <c r="AR68" s="13"/>
      <c r="AS68" s="13"/>
      <c r="AT68" s="13"/>
      <c r="AU68" s="13"/>
    </row>
    <row r="69">
      <c r="A69" s="6">
        <v>45785.955442094906</v>
      </c>
      <c r="B69" s="7" t="s">
        <v>1299</v>
      </c>
      <c r="C69" s="7" t="s">
        <v>1300</v>
      </c>
      <c r="D69" s="10" t="s">
        <v>1301</v>
      </c>
      <c r="E69" s="7" t="s">
        <v>1302</v>
      </c>
      <c r="F69" s="7" t="s">
        <v>1303</v>
      </c>
      <c r="G69" s="9" t="s">
        <v>76</v>
      </c>
      <c r="H69" s="7" t="s">
        <v>77</v>
      </c>
      <c r="I69" s="7" t="s">
        <v>46</v>
      </c>
      <c r="J69" s="8">
        <v>1.5052011E7</v>
      </c>
      <c r="K69" s="10" t="s">
        <v>1304</v>
      </c>
      <c r="L69" s="7" t="s">
        <v>1305</v>
      </c>
      <c r="M69" s="7" t="s">
        <v>49</v>
      </c>
      <c r="N69" s="7" t="s">
        <v>1306</v>
      </c>
      <c r="O69" s="8" t="s">
        <v>1307</v>
      </c>
      <c r="P69" s="10" t="s">
        <v>1308</v>
      </c>
      <c r="Q69" s="11" t="s">
        <v>1309</v>
      </c>
      <c r="R69" s="11" t="s">
        <v>1310</v>
      </c>
      <c r="S69" s="7" t="s">
        <v>54</v>
      </c>
      <c r="T69" s="7" t="s">
        <v>55</v>
      </c>
      <c r="U69" s="7" t="s">
        <v>54</v>
      </c>
      <c r="V69" s="7" t="s">
        <v>55</v>
      </c>
      <c r="W69" s="11" t="s">
        <v>1311</v>
      </c>
      <c r="X69" s="7" t="s">
        <v>57</v>
      </c>
      <c r="Y69" s="7" t="s">
        <v>1312</v>
      </c>
      <c r="Z69" s="9" t="s">
        <v>1313</v>
      </c>
      <c r="AA69" s="7" t="s">
        <v>1314</v>
      </c>
      <c r="AB69" s="7" t="s">
        <v>1315</v>
      </c>
      <c r="AC69" s="7" t="s">
        <v>1316</v>
      </c>
      <c r="AD69" s="8" t="s">
        <v>1317</v>
      </c>
      <c r="AE69" s="7" t="s">
        <v>1318</v>
      </c>
      <c r="AF69" s="8" t="s">
        <v>1319</v>
      </c>
      <c r="AG69" s="9" t="s">
        <v>64</v>
      </c>
      <c r="AH69" s="9">
        <v>2.0</v>
      </c>
      <c r="AI69" s="7" t="s">
        <v>1320</v>
      </c>
      <c r="AJ69" s="7" t="s">
        <v>1321</v>
      </c>
      <c r="AK69" s="9" t="s">
        <v>1322</v>
      </c>
      <c r="AL69" s="7" t="s">
        <v>1323</v>
      </c>
      <c r="AM69" s="7" t="s">
        <v>117</v>
      </c>
      <c r="AN69" s="7" t="s">
        <v>55</v>
      </c>
      <c r="AO69" s="7" t="s">
        <v>70</v>
      </c>
      <c r="AP69" s="13"/>
      <c r="AQ69" s="13"/>
      <c r="AR69" s="13"/>
      <c r="AS69" s="13"/>
      <c r="AT69" s="13"/>
      <c r="AU69" s="13"/>
    </row>
    <row r="70" hidden="1">
      <c r="A70" s="6">
        <v>45785.95701704861</v>
      </c>
      <c r="B70" s="7" t="s">
        <v>1324</v>
      </c>
      <c r="C70" s="7" t="s">
        <v>1048</v>
      </c>
      <c r="D70" s="10" t="s">
        <v>1325</v>
      </c>
      <c r="E70" s="7" t="s">
        <v>1326</v>
      </c>
      <c r="F70" s="7" t="s">
        <v>1327</v>
      </c>
      <c r="G70" s="9" t="s">
        <v>76</v>
      </c>
      <c r="H70" s="7" t="s">
        <v>45</v>
      </c>
      <c r="I70" s="7" t="s">
        <v>78</v>
      </c>
      <c r="J70" s="8">
        <v>2.1032007E7</v>
      </c>
      <c r="K70" s="10" t="s">
        <v>1328</v>
      </c>
      <c r="L70" s="7" t="s">
        <v>1329</v>
      </c>
      <c r="M70" s="7" t="s">
        <v>49</v>
      </c>
      <c r="N70" s="7" t="s">
        <v>1330</v>
      </c>
      <c r="O70" s="8" t="s">
        <v>1331</v>
      </c>
      <c r="P70" s="10" t="s">
        <v>1332</v>
      </c>
      <c r="Q70" s="11" t="s">
        <v>1333</v>
      </c>
      <c r="R70" s="11" t="s">
        <v>1334</v>
      </c>
      <c r="S70" s="7" t="s">
        <v>54</v>
      </c>
      <c r="T70" s="7" t="s">
        <v>55</v>
      </c>
      <c r="U70" s="7" t="s">
        <v>54</v>
      </c>
      <c r="V70" s="7" t="s">
        <v>55</v>
      </c>
      <c r="W70" s="11" t="s">
        <v>1335</v>
      </c>
      <c r="X70" s="14" t="s">
        <v>194</v>
      </c>
      <c r="Y70" s="15"/>
      <c r="Z70" s="16"/>
      <c r="AA70" s="13"/>
      <c r="AB70" s="13"/>
      <c r="AC70" s="7" t="s">
        <v>1336</v>
      </c>
      <c r="AD70" s="10" t="s">
        <v>1328</v>
      </c>
      <c r="AE70" s="7" t="s">
        <v>1337</v>
      </c>
      <c r="AF70" s="8">
        <v>9.999999999E9</v>
      </c>
      <c r="AG70" s="17" t="s">
        <v>260</v>
      </c>
      <c r="AH70" s="18"/>
      <c r="AI70" s="13"/>
      <c r="AJ70" s="13"/>
      <c r="AK70" s="16"/>
      <c r="AL70" s="7" t="s">
        <v>1338</v>
      </c>
      <c r="AM70" s="7" t="s">
        <v>117</v>
      </c>
      <c r="AN70" s="7" t="s">
        <v>55</v>
      </c>
      <c r="AO70" s="7" t="s">
        <v>70</v>
      </c>
      <c r="AP70" s="13"/>
      <c r="AQ70" s="13"/>
      <c r="AR70" s="13"/>
      <c r="AS70" s="13"/>
      <c r="AT70" s="13"/>
      <c r="AU70" s="13"/>
    </row>
    <row r="71" hidden="1">
      <c r="A71" s="6">
        <v>45785.96903775463</v>
      </c>
      <c r="B71" s="7" t="s">
        <v>1339</v>
      </c>
      <c r="C71" s="7" t="s">
        <v>1340</v>
      </c>
      <c r="D71" s="8" t="s">
        <v>1341</v>
      </c>
      <c r="E71" s="7" t="s">
        <v>1342</v>
      </c>
      <c r="F71" s="7" t="s">
        <v>1343</v>
      </c>
      <c r="G71" s="9" t="s">
        <v>44</v>
      </c>
      <c r="H71" s="7" t="s">
        <v>45</v>
      </c>
      <c r="I71" s="7" t="s">
        <v>46</v>
      </c>
      <c r="J71" s="8" t="s">
        <v>1344</v>
      </c>
      <c r="K71" s="8" t="s">
        <v>1345</v>
      </c>
      <c r="L71" s="7" t="s">
        <v>1346</v>
      </c>
      <c r="M71" s="7" t="s">
        <v>49</v>
      </c>
      <c r="N71" s="7" t="s">
        <v>1343</v>
      </c>
      <c r="O71" s="8" t="s">
        <v>1347</v>
      </c>
      <c r="P71" s="8" t="s">
        <v>1348</v>
      </c>
      <c r="Q71" s="11" t="s">
        <v>1349</v>
      </c>
      <c r="R71" s="11" t="s">
        <v>1350</v>
      </c>
      <c r="S71" s="7" t="s">
        <v>54</v>
      </c>
      <c r="T71" s="7" t="s">
        <v>55</v>
      </c>
      <c r="U71" s="7" t="s">
        <v>54</v>
      </c>
      <c r="V71" s="7" t="s">
        <v>55</v>
      </c>
      <c r="W71" s="11" t="s">
        <v>1351</v>
      </c>
      <c r="X71" s="7" t="s">
        <v>57</v>
      </c>
      <c r="Y71" s="7" t="s">
        <v>1343</v>
      </c>
      <c r="Z71" s="9" t="s">
        <v>1352</v>
      </c>
      <c r="AA71" s="7" t="s">
        <v>1353</v>
      </c>
      <c r="AB71" s="7" t="s">
        <v>1354</v>
      </c>
      <c r="AC71" s="7" t="s">
        <v>1355</v>
      </c>
      <c r="AD71" s="8" t="s">
        <v>1356</v>
      </c>
      <c r="AE71" s="7" t="s">
        <v>1357</v>
      </c>
      <c r="AF71" s="8" t="s">
        <v>1358</v>
      </c>
      <c r="AG71" s="17" t="s">
        <v>260</v>
      </c>
      <c r="AH71" s="18"/>
      <c r="AI71" s="13"/>
      <c r="AJ71" s="13"/>
      <c r="AK71" s="16"/>
      <c r="AL71" s="7" t="s">
        <v>1358</v>
      </c>
      <c r="AM71" s="7" t="s">
        <v>117</v>
      </c>
      <c r="AN71" s="7" t="s">
        <v>55</v>
      </c>
      <c r="AO71" s="7" t="s">
        <v>70</v>
      </c>
      <c r="AP71" s="13"/>
      <c r="AQ71" s="13"/>
      <c r="AR71" s="13"/>
      <c r="AS71" s="13"/>
      <c r="AT71" s="13"/>
      <c r="AU71" s="13"/>
    </row>
    <row r="72" hidden="1">
      <c r="A72" s="6">
        <v>45785.9714537963</v>
      </c>
      <c r="B72" s="7" t="s">
        <v>1359</v>
      </c>
      <c r="C72" s="7" t="s">
        <v>1360</v>
      </c>
      <c r="D72" s="8" t="s">
        <v>1361</v>
      </c>
      <c r="E72" s="7" t="s">
        <v>1362</v>
      </c>
      <c r="F72" s="7" t="s">
        <v>1363</v>
      </c>
      <c r="G72" s="9" t="s">
        <v>44</v>
      </c>
      <c r="H72" s="7" t="s">
        <v>45</v>
      </c>
      <c r="I72" s="7" t="s">
        <v>46</v>
      </c>
      <c r="J72" s="8" t="s">
        <v>1364</v>
      </c>
      <c r="K72" s="8" t="s">
        <v>1365</v>
      </c>
      <c r="L72" s="7" t="s">
        <v>1366</v>
      </c>
      <c r="M72" s="7" t="s">
        <v>49</v>
      </c>
      <c r="N72" s="7" t="s">
        <v>1363</v>
      </c>
      <c r="O72" s="8" t="s">
        <v>1367</v>
      </c>
      <c r="P72" s="10" t="s">
        <v>1368</v>
      </c>
      <c r="Q72" s="11" t="s">
        <v>1369</v>
      </c>
      <c r="R72" s="11" t="s">
        <v>1370</v>
      </c>
      <c r="S72" s="7" t="s">
        <v>54</v>
      </c>
      <c r="T72" s="7" t="s">
        <v>55</v>
      </c>
      <c r="U72" s="7" t="s">
        <v>54</v>
      </c>
      <c r="V72" s="7" t="s">
        <v>55</v>
      </c>
      <c r="W72" s="11" t="s">
        <v>1371</v>
      </c>
      <c r="X72" s="14" t="s">
        <v>194</v>
      </c>
      <c r="Y72" s="15"/>
      <c r="Z72" s="16"/>
      <c r="AA72" s="13"/>
      <c r="AB72" s="13"/>
      <c r="AC72" s="7" t="s">
        <v>1372</v>
      </c>
      <c r="AD72" s="8" t="s">
        <v>1365</v>
      </c>
      <c r="AE72" s="7" t="s">
        <v>1359</v>
      </c>
      <c r="AF72" s="8" t="s">
        <v>1361</v>
      </c>
      <c r="AG72" s="9" t="s">
        <v>64</v>
      </c>
      <c r="AH72" s="9">
        <v>3.0</v>
      </c>
      <c r="AI72" s="7" t="s">
        <v>1373</v>
      </c>
      <c r="AJ72" s="7" t="s">
        <v>179</v>
      </c>
      <c r="AK72" s="7" t="s">
        <v>179</v>
      </c>
      <c r="AL72" s="7" t="s">
        <v>1374</v>
      </c>
      <c r="AM72" s="7" t="s">
        <v>117</v>
      </c>
      <c r="AN72" s="7" t="s">
        <v>55</v>
      </c>
      <c r="AO72" s="7" t="s">
        <v>70</v>
      </c>
      <c r="AP72" s="13"/>
      <c r="AQ72" s="13"/>
      <c r="AR72" s="13"/>
      <c r="AS72" s="13"/>
      <c r="AT72" s="13"/>
      <c r="AU72" s="13"/>
    </row>
    <row r="73" hidden="1">
      <c r="A73" s="6">
        <v>45786.005645173616</v>
      </c>
      <c r="B73" s="7" t="s">
        <v>1375</v>
      </c>
      <c r="C73" s="7" t="s">
        <v>1376</v>
      </c>
      <c r="D73" s="8" t="s">
        <v>1377</v>
      </c>
      <c r="E73" s="7" t="s">
        <v>1378</v>
      </c>
      <c r="F73" s="7" t="s">
        <v>1376</v>
      </c>
      <c r="G73" s="9" t="s">
        <v>76</v>
      </c>
      <c r="H73" s="7" t="s">
        <v>45</v>
      </c>
      <c r="I73" s="7" t="s">
        <v>78</v>
      </c>
      <c r="J73" s="10" t="s">
        <v>1379</v>
      </c>
      <c r="K73" s="8" t="s">
        <v>1377</v>
      </c>
      <c r="L73" s="7" t="s">
        <v>1378</v>
      </c>
      <c r="M73" s="7" t="s">
        <v>49</v>
      </c>
      <c r="N73" s="7" t="s">
        <v>1375</v>
      </c>
      <c r="O73" s="8" t="s">
        <v>1380</v>
      </c>
      <c r="P73" s="10" t="s">
        <v>1381</v>
      </c>
      <c r="Q73" s="11" t="s">
        <v>1382</v>
      </c>
      <c r="R73" s="11" t="s">
        <v>1383</v>
      </c>
      <c r="S73" s="7" t="s">
        <v>308</v>
      </c>
      <c r="T73" s="7" t="s">
        <v>1384</v>
      </c>
      <c r="U73" s="7" t="s">
        <v>54</v>
      </c>
      <c r="V73" s="7" t="s">
        <v>55</v>
      </c>
      <c r="W73" s="11" t="s">
        <v>1385</v>
      </c>
      <c r="X73" s="7" t="s">
        <v>57</v>
      </c>
      <c r="Y73" s="7" t="s">
        <v>1375</v>
      </c>
      <c r="Z73" s="9" t="s">
        <v>1386</v>
      </c>
      <c r="AA73" s="7" t="s">
        <v>1387</v>
      </c>
      <c r="AB73" s="7" t="s">
        <v>1388</v>
      </c>
      <c r="AC73" s="7" t="s">
        <v>1375</v>
      </c>
      <c r="AD73" s="8" t="s">
        <v>1377</v>
      </c>
      <c r="AE73" s="7" t="s">
        <v>422</v>
      </c>
      <c r="AF73" s="8">
        <v>9.999999999E9</v>
      </c>
      <c r="AG73" s="9" t="s">
        <v>64</v>
      </c>
      <c r="AH73" s="9">
        <v>2.0</v>
      </c>
      <c r="AI73" s="7" t="s">
        <v>1389</v>
      </c>
      <c r="AJ73" s="7" t="s">
        <v>1390</v>
      </c>
      <c r="AK73" s="7" t="s">
        <v>1391</v>
      </c>
      <c r="AL73" s="7" t="s">
        <v>1392</v>
      </c>
      <c r="AM73" s="7" t="s">
        <v>117</v>
      </c>
      <c r="AN73" s="7" t="s">
        <v>55</v>
      </c>
      <c r="AO73" s="7" t="s">
        <v>70</v>
      </c>
      <c r="AP73" s="13"/>
      <c r="AQ73" s="13"/>
      <c r="AR73" s="13"/>
      <c r="AS73" s="13"/>
      <c r="AT73" s="13"/>
      <c r="AU73" s="13"/>
    </row>
    <row r="74" hidden="1">
      <c r="A74" s="6">
        <v>45786.09306247685</v>
      </c>
      <c r="B74" s="7" t="s">
        <v>1393</v>
      </c>
      <c r="C74" s="7" t="s">
        <v>1394</v>
      </c>
      <c r="D74" s="8" t="s">
        <v>1395</v>
      </c>
      <c r="E74" s="7" t="s">
        <v>1396</v>
      </c>
      <c r="F74" s="7" t="s">
        <v>1397</v>
      </c>
      <c r="G74" s="9" t="s">
        <v>76</v>
      </c>
      <c r="H74" s="7" t="s">
        <v>77</v>
      </c>
      <c r="I74" s="7" t="s">
        <v>78</v>
      </c>
      <c r="J74" s="8" t="s">
        <v>1398</v>
      </c>
      <c r="K74" s="8" t="s">
        <v>1399</v>
      </c>
      <c r="L74" s="7" t="s">
        <v>1400</v>
      </c>
      <c r="M74" s="7" t="s">
        <v>49</v>
      </c>
      <c r="N74" s="7" t="s">
        <v>1397</v>
      </c>
      <c r="O74" s="8" t="s">
        <v>1401</v>
      </c>
      <c r="P74" s="10" t="s">
        <v>1402</v>
      </c>
      <c r="Q74" s="11" t="s">
        <v>1403</v>
      </c>
      <c r="R74" s="11" t="s">
        <v>1404</v>
      </c>
      <c r="S74" s="7" t="s">
        <v>54</v>
      </c>
      <c r="T74" s="7" t="s">
        <v>55</v>
      </c>
      <c r="U74" s="7" t="s">
        <v>54</v>
      </c>
      <c r="V74" s="7" t="s">
        <v>55</v>
      </c>
      <c r="W74" s="11" t="s">
        <v>1405</v>
      </c>
      <c r="X74" s="7" t="s">
        <v>57</v>
      </c>
      <c r="Y74" s="7" t="s">
        <v>1397</v>
      </c>
      <c r="Z74" s="9" t="s">
        <v>1406</v>
      </c>
      <c r="AA74" s="7" t="s">
        <v>1407</v>
      </c>
      <c r="AB74" s="7" t="s">
        <v>1408</v>
      </c>
      <c r="AC74" s="7" t="s">
        <v>1397</v>
      </c>
      <c r="AD74" s="8" t="s">
        <v>1399</v>
      </c>
      <c r="AE74" s="7" t="s">
        <v>1409</v>
      </c>
      <c r="AF74" s="8" t="s">
        <v>1395</v>
      </c>
      <c r="AG74" s="9" t="s">
        <v>64</v>
      </c>
      <c r="AH74" s="9">
        <v>3.0</v>
      </c>
      <c r="AI74" s="7" t="s">
        <v>1410</v>
      </c>
      <c r="AJ74" s="7" t="s">
        <v>299</v>
      </c>
      <c r="AK74" s="7" t="s">
        <v>299</v>
      </c>
      <c r="AL74" s="7" t="s">
        <v>1409</v>
      </c>
      <c r="AM74" s="7" t="s">
        <v>69</v>
      </c>
      <c r="AN74" s="7" t="s">
        <v>55</v>
      </c>
      <c r="AO74" s="7" t="s">
        <v>70</v>
      </c>
      <c r="AP74" s="13"/>
      <c r="AQ74" s="13"/>
      <c r="AR74" s="13"/>
      <c r="AS74" s="13"/>
      <c r="AT74" s="13"/>
      <c r="AU74" s="13"/>
    </row>
    <row r="75" hidden="1">
      <c r="A75" s="6">
        <v>45786.29603201389</v>
      </c>
      <c r="B75" s="7" t="s">
        <v>1411</v>
      </c>
      <c r="C75" s="7" t="s">
        <v>1412</v>
      </c>
      <c r="D75" s="10" t="s">
        <v>1413</v>
      </c>
      <c r="E75" s="7" t="s">
        <v>1414</v>
      </c>
      <c r="F75" s="7" t="s">
        <v>1415</v>
      </c>
      <c r="G75" s="9" t="s">
        <v>76</v>
      </c>
      <c r="H75" s="7" t="s">
        <v>101</v>
      </c>
      <c r="I75" s="7" t="s">
        <v>141</v>
      </c>
      <c r="J75" s="8">
        <v>2.1022012E7</v>
      </c>
      <c r="K75" s="10" t="s">
        <v>1416</v>
      </c>
      <c r="L75" s="7" t="s">
        <v>1414</v>
      </c>
      <c r="M75" s="7" t="s">
        <v>49</v>
      </c>
      <c r="N75" s="7" t="s">
        <v>1415</v>
      </c>
      <c r="O75" s="8" t="s">
        <v>1417</v>
      </c>
      <c r="P75" s="10" t="s">
        <v>943</v>
      </c>
      <c r="Q75" s="11" t="s">
        <v>1418</v>
      </c>
      <c r="R75" s="11" t="s">
        <v>1419</v>
      </c>
      <c r="S75" s="7" t="s">
        <v>54</v>
      </c>
      <c r="T75" s="7" t="s">
        <v>55</v>
      </c>
      <c r="U75" s="7" t="s">
        <v>54</v>
      </c>
      <c r="V75" s="7" t="s">
        <v>55</v>
      </c>
      <c r="W75" s="11" t="s">
        <v>1420</v>
      </c>
      <c r="X75" s="7" t="s">
        <v>57</v>
      </c>
      <c r="Y75" s="7" t="s">
        <v>1415</v>
      </c>
      <c r="Z75" s="9" t="s">
        <v>1421</v>
      </c>
      <c r="AA75" s="7" t="s">
        <v>1422</v>
      </c>
      <c r="AB75" s="7" t="s">
        <v>1423</v>
      </c>
      <c r="AC75" s="7" t="s">
        <v>1415</v>
      </c>
      <c r="AD75" s="10" t="s">
        <v>1416</v>
      </c>
      <c r="AE75" s="7" t="s">
        <v>1424</v>
      </c>
      <c r="AF75" s="10" t="s">
        <v>1413</v>
      </c>
      <c r="AG75" s="9" t="s">
        <v>64</v>
      </c>
      <c r="AH75" s="9">
        <v>4.0</v>
      </c>
      <c r="AI75" s="7" t="s">
        <v>69</v>
      </c>
      <c r="AJ75" s="7" t="s">
        <v>1425</v>
      </c>
      <c r="AK75" s="7">
        <v>2.4062025E7</v>
      </c>
      <c r="AL75" s="7" t="s">
        <v>1426</v>
      </c>
      <c r="AM75" s="7" t="s">
        <v>69</v>
      </c>
      <c r="AN75" s="7" t="s">
        <v>1427</v>
      </c>
      <c r="AO75" s="7" t="s">
        <v>70</v>
      </c>
      <c r="AP75" s="13"/>
      <c r="AQ75" s="13"/>
      <c r="AR75" s="13"/>
      <c r="AS75" s="13"/>
      <c r="AT75" s="13"/>
      <c r="AU75" s="13"/>
    </row>
    <row r="76" hidden="1">
      <c r="A76" s="6">
        <v>45786.32751758102</v>
      </c>
      <c r="B76" s="7" t="s">
        <v>1428</v>
      </c>
      <c r="C76" s="7" t="s">
        <v>1429</v>
      </c>
      <c r="D76" s="10" t="s">
        <v>1430</v>
      </c>
      <c r="E76" s="7" t="s">
        <v>1431</v>
      </c>
      <c r="F76" s="7" t="s">
        <v>1432</v>
      </c>
      <c r="G76" s="9" t="s">
        <v>44</v>
      </c>
      <c r="H76" s="7" t="s">
        <v>101</v>
      </c>
      <c r="I76" s="7" t="s">
        <v>141</v>
      </c>
      <c r="J76" s="8">
        <v>1.9012012E7</v>
      </c>
      <c r="K76" s="10" t="s">
        <v>1433</v>
      </c>
      <c r="L76" s="7" t="s">
        <v>1431</v>
      </c>
      <c r="M76" s="7" t="s">
        <v>49</v>
      </c>
      <c r="N76" s="7" t="s">
        <v>1432</v>
      </c>
      <c r="O76" s="8" t="s">
        <v>1434</v>
      </c>
      <c r="P76" s="10" t="s">
        <v>1435</v>
      </c>
      <c r="Q76" s="11" t="s">
        <v>1436</v>
      </c>
      <c r="R76" s="11" t="s">
        <v>1437</v>
      </c>
      <c r="S76" s="7" t="s">
        <v>54</v>
      </c>
      <c r="T76" s="7" t="s">
        <v>109</v>
      </c>
      <c r="U76" s="7" t="s">
        <v>54</v>
      </c>
      <c r="V76" s="7" t="s">
        <v>109</v>
      </c>
      <c r="W76" s="11" t="s">
        <v>1438</v>
      </c>
      <c r="X76" s="7" t="s">
        <v>57</v>
      </c>
      <c r="Y76" s="7" t="s">
        <v>1432</v>
      </c>
      <c r="Z76" s="9">
        <v>1.20119120576E11</v>
      </c>
      <c r="AA76" s="7" t="s">
        <v>1439</v>
      </c>
      <c r="AB76" s="7" t="s">
        <v>1440</v>
      </c>
      <c r="AC76" s="7" t="s">
        <v>1432</v>
      </c>
      <c r="AD76" s="10" t="s">
        <v>1433</v>
      </c>
      <c r="AE76" s="7" t="s">
        <v>1441</v>
      </c>
      <c r="AF76" s="10" t="s">
        <v>1430</v>
      </c>
      <c r="AG76" s="9" t="s">
        <v>64</v>
      </c>
      <c r="AH76" s="9">
        <v>1.0</v>
      </c>
      <c r="AI76" s="7" t="s">
        <v>1441</v>
      </c>
      <c r="AJ76" s="7" t="s">
        <v>109</v>
      </c>
      <c r="AK76" s="7" t="s">
        <v>109</v>
      </c>
      <c r="AL76" s="7" t="s">
        <v>1441</v>
      </c>
      <c r="AM76" s="7" t="s">
        <v>117</v>
      </c>
      <c r="AN76" s="7" t="s">
        <v>109</v>
      </c>
      <c r="AO76" s="7" t="s">
        <v>70</v>
      </c>
      <c r="AP76" s="13"/>
      <c r="AQ76" s="13"/>
      <c r="AR76" s="13"/>
      <c r="AS76" s="13"/>
      <c r="AT76" s="13"/>
      <c r="AU76" s="13"/>
    </row>
    <row r="77" hidden="1">
      <c r="A77" s="6">
        <v>45786.36105917824</v>
      </c>
      <c r="B77" s="7" t="s">
        <v>1442</v>
      </c>
      <c r="C77" s="7" t="s">
        <v>1443</v>
      </c>
      <c r="D77" s="8" t="s">
        <v>1444</v>
      </c>
      <c r="E77" s="7" t="s">
        <v>1445</v>
      </c>
      <c r="F77" s="7" t="s">
        <v>1446</v>
      </c>
      <c r="G77" s="9" t="s">
        <v>44</v>
      </c>
      <c r="H77" s="7" t="s">
        <v>77</v>
      </c>
      <c r="I77" s="7" t="s">
        <v>141</v>
      </c>
      <c r="J77" s="8">
        <v>2.806201E7</v>
      </c>
      <c r="K77" s="8" t="s">
        <v>1447</v>
      </c>
      <c r="L77" s="7" t="s">
        <v>1445</v>
      </c>
      <c r="M77" s="7" t="s">
        <v>49</v>
      </c>
      <c r="N77" s="7" t="s">
        <v>1448</v>
      </c>
      <c r="O77" s="8" t="s">
        <v>1449</v>
      </c>
      <c r="P77" s="10" t="s">
        <v>1450</v>
      </c>
      <c r="Q77" s="20" t="s">
        <v>1451</v>
      </c>
      <c r="R77" s="11" t="s">
        <v>1452</v>
      </c>
      <c r="S77" s="7" t="s">
        <v>54</v>
      </c>
      <c r="T77" s="7" t="s">
        <v>55</v>
      </c>
      <c r="U77" s="7" t="s">
        <v>54</v>
      </c>
      <c r="V77" s="7" t="s">
        <v>55</v>
      </c>
      <c r="W77" s="11" t="s">
        <v>1453</v>
      </c>
      <c r="X77" s="7" t="s">
        <v>57</v>
      </c>
      <c r="Y77" s="7" t="s">
        <v>1454</v>
      </c>
      <c r="Z77" s="9">
        <v>1.00628600078E11</v>
      </c>
      <c r="AA77" s="7" t="s">
        <v>1455</v>
      </c>
      <c r="AB77" s="7" t="s">
        <v>1456</v>
      </c>
      <c r="AC77" s="7" t="s">
        <v>1457</v>
      </c>
      <c r="AD77" s="8" t="s">
        <v>1447</v>
      </c>
      <c r="AE77" s="7" t="s">
        <v>1458</v>
      </c>
      <c r="AF77" s="8" t="s">
        <v>1444</v>
      </c>
      <c r="AG77" s="9" t="s">
        <v>64</v>
      </c>
      <c r="AH77" s="9">
        <v>3.0</v>
      </c>
      <c r="AI77" s="7" t="s">
        <v>1459</v>
      </c>
      <c r="AJ77" s="7" t="s">
        <v>1460</v>
      </c>
      <c r="AK77" s="7" t="s">
        <v>1461</v>
      </c>
      <c r="AL77" s="7" t="s">
        <v>1462</v>
      </c>
      <c r="AM77" s="7" t="s">
        <v>69</v>
      </c>
      <c r="AN77" s="7" t="s">
        <v>55</v>
      </c>
      <c r="AO77" s="7" t="s">
        <v>70</v>
      </c>
      <c r="AP77" s="13"/>
      <c r="AQ77" s="13"/>
      <c r="AR77" s="13"/>
      <c r="AS77" s="13"/>
      <c r="AT77" s="13"/>
      <c r="AU77" s="13"/>
    </row>
    <row r="78" hidden="1">
      <c r="A78" s="6">
        <v>45786.366681134255</v>
      </c>
      <c r="B78" s="7" t="s">
        <v>1463</v>
      </c>
      <c r="C78" s="7" t="s">
        <v>1464</v>
      </c>
      <c r="D78" s="8" t="s">
        <v>1465</v>
      </c>
      <c r="E78" s="7" t="s">
        <v>1466</v>
      </c>
      <c r="F78" s="7" t="s">
        <v>1467</v>
      </c>
      <c r="G78" s="9" t="s">
        <v>44</v>
      </c>
      <c r="H78" s="7" t="s">
        <v>77</v>
      </c>
      <c r="I78" s="7" t="s">
        <v>46</v>
      </c>
      <c r="J78" s="8">
        <v>1.809201E7</v>
      </c>
      <c r="K78" s="10" t="s">
        <v>1468</v>
      </c>
      <c r="L78" s="7" t="s">
        <v>1469</v>
      </c>
      <c r="M78" s="7" t="s">
        <v>49</v>
      </c>
      <c r="N78" s="7" t="s">
        <v>1467</v>
      </c>
      <c r="O78" s="8" t="s">
        <v>1470</v>
      </c>
      <c r="P78" s="8">
        <v>1.1062029E7</v>
      </c>
      <c r="Q78" s="11" t="s">
        <v>1471</v>
      </c>
      <c r="R78" s="11" t="s">
        <v>1472</v>
      </c>
      <c r="S78" s="7" t="s">
        <v>573</v>
      </c>
      <c r="T78" s="7" t="s">
        <v>1473</v>
      </c>
      <c r="U78" s="7" t="s">
        <v>54</v>
      </c>
      <c r="V78" s="7" t="s">
        <v>109</v>
      </c>
      <c r="W78" s="11" t="s">
        <v>1474</v>
      </c>
      <c r="X78" s="7" t="s">
        <v>57</v>
      </c>
      <c r="Y78" s="7" t="s">
        <v>1467</v>
      </c>
      <c r="Z78" s="9" t="s">
        <v>1475</v>
      </c>
      <c r="AA78" s="7" t="s">
        <v>1476</v>
      </c>
      <c r="AB78" s="7" t="s">
        <v>1477</v>
      </c>
      <c r="AC78" s="7" t="s">
        <v>1467</v>
      </c>
      <c r="AD78" s="10" t="s">
        <v>1468</v>
      </c>
      <c r="AE78" s="7" t="s">
        <v>1478</v>
      </c>
      <c r="AF78" s="10" t="s">
        <v>1479</v>
      </c>
      <c r="AG78" s="9" t="s">
        <v>64</v>
      </c>
      <c r="AH78" s="9">
        <v>3.0</v>
      </c>
      <c r="AI78" s="7" t="s">
        <v>1480</v>
      </c>
      <c r="AJ78" s="7" t="s">
        <v>1481</v>
      </c>
      <c r="AK78" s="19" t="s">
        <v>1482</v>
      </c>
      <c r="AL78" s="7" t="s">
        <v>1483</v>
      </c>
      <c r="AM78" s="7" t="s">
        <v>95</v>
      </c>
      <c r="AN78" s="7" t="s">
        <v>109</v>
      </c>
      <c r="AO78" s="7" t="s">
        <v>70</v>
      </c>
      <c r="AP78" s="13"/>
      <c r="AQ78" s="13"/>
      <c r="AR78" s="13"/>
      <c r="AS78" s="13"/>
      <c r="AT78" s="13"/>
      <c r="AU78" s="13"/>
    </row>
    <row r="79" hidden="1">
      <c r="A79" s="6">
        <v>45786.373263229165</v>
      </c>
      <c r="B79" s="7" t="s">
        <v>1484</v>
      </c>
      <c r="C79" s="7" t="s">
        <v>119</v>
      </c>
      <c r="D79" s="8" t="s">
        <v>1485</v>
      </c>
      <c r="E79" s="7" t="s">
        <v>1486</v>
      </c>
      <c r="F79" s="7" t="s">
        <v>1487</v>
      </c>
      <c r="G79" s="9" t="s">
        <v>76</v>
      </c>
      <c r="H79" s="7" t="s">
        <v>101</v>
      </c>
      <c r="I79" s="7" t="s">
        <v>141</v>
      </c>
      <c r="J79" s="8" t="s">
        <v>1488</v>
      </c>
      <c r="K79" s="8" t="s">
        <v>1489</v>
      </c>
      <c r="L79" s="7" t="s">
        <v>1486</v>
      </c>
      <c r="M79" s="7">
        <v>0.0</v>
      </c>
      <c r="N79" s="7" t="s">
        <v>1490</v>
      </c>
      <c r="O79" s="8" t="s">
        <v>1491</v>
      </c>
      <c r="P79" s="10" t="s">
        <v>1492</v>
      </c>
      <c r="Q79" s="11" t="s">
        <v>1493</v>
      </c>
      <c r="R79" s="11" t="s">
        <v>1494</v>
      </c>
      <c r="S79" s="7" t="s">
        <v>54</v>
      </c>
      <c r="T79" s="7" t="s">
        <v>1495</v>
      </c>
      <c r="U79" s="7" t="s">
        <v>54</v>
      </c>
      <c r="V79" s="7" t="s">
        <v>55</v>
      </c>
      <c r="W79" s="11" t="s">
        <v>1496</v>
      </c>
      <c r="X79" s="7" t="s">
        <v>57</v>
      </c>
      <c r="Y79" s="7" t="s">
        <v>1497</v>
      </c>
      <c r="Z79" s="9" t="s">
        <v>1498</v>
      </c>
      <c r="AA79" s="7" t="s">
        <v>1499</v>
      </c>
      <c r="AB79" s="7" t="s">
        <v>1500</v>
      </c>
      <c r="AC79" s="7" t="s">
        <v>1487</v>
      </c>
      <c r="AD79" s="8" t="s">
        <v>1489</v>
      </c>
      <c r="AE79" s="7" t="s">
        <v>1501</v>
      </c>
      <c r="AF79" s="8" t="s">
        <v>1502</v>
      </c>
      <c r="AG79" s="17" t="s">
        <v>260</v>
      </c>
      <c r="AH79" s="18"/>
      <c r="AI79" s="13"/>
      <c r="AJ79" s="13"/>
      <c r="AK79" s="13"/>
      <c r="AL79" s="7" t="s">
        <v>1503</v>
      </c>
      <c r="AM79" s="7" t="s">
        <v>117</v>
      </c>
      <c r="AN79" s="7" t="s">
        <v>55</v>
      </c>
      <c r="AO79" s="7" t="s">
        <v>70</v>
      </c>
      <c r="AP79" s="13"/>
      <c r="AQ79" s="13"/>
      <c r="AR79" s="13"/>
      <c r="AS79" s="13"/>
      <c r="AT79" s="13"/>
      <c r="AU79" s="13"/>
    </row>
    <row r="80" hidden="1">
      <c r="A80" s="6">
        <v>45786.40495819444</v>
      </c>
      <c r="B80" s="7" t="s">
        <v>1504</v>
      </c>
      <c r="C80" s="7" t="s">
        <v>936</v>
      </c>
      <c r="D80" s="8" t="s">
        <v>1505</v>
      </c>
      <c r="E80" s="7" t="s">
        <v>1506</v>
      </c>
      <c r="F80" s="7" t="s">
        <v>1507</v>
      </c>
      <c r="G80" s="9" t="s">
        <v>44</v>
      </c>
      <c r="H80" s="7" t="s">
        <v>45</v>
      </c>
      <c r="I80" s="7" t="s">
        <v>141</v>
      </c>
      <c r="J80" s="8" t="s">
        <v>1508</v>
      </c>
      <c r="K80" s="8" t="s">
        <v>1509</v>
      </c>
      <c r="L80" s="7" t="s">
        <v>1510</v>
      </c>
      <c r="M80" s="7" t="s">
        <v>49</v>
      </c>
      <c r="N80" s="7" t="s">
        <v>1507</v>
      </c>
      <c r="O80" s="8" t="s">
        <v>1511</v>
      </c>
      <c r="P80" s="8" t="s">
        <v>1512</v>
      </c>
      <c r="Q80" s="11" t="s">
        <v>1513</v>
      </c>
      <c r="R80" s="11" t="s">
        <v>1514</v>
      </c>
      <c r="S80" s="7" t="s">
        <v>54</v>
      </c>
      <c r="T80" s="7" t="s">
        <v>109</v>
      </c>
      <c r="U80" s="7" t="s">
        <v>54</v>
      </c>
      <c r="V80" s="7" t="s">
        <v>109</v>
      </c>
      <c r="W80" s="11" t="s">
        <v>1515</v>
      </c>
      <c r="X80" s="7" t="s">
        <v>57</v>
      </c>
      <c r="Y80" s="7" t="s">
        <v>1507</v>
      </c>
      <c r="Z80" s="12" t="s">
        <v>1516</v>
      </c>
      <c r="AA80" s="7" t="s">
        <v>1517</v>
      </c>
      <c r="AB80" s="7" t="s">
        <v>1518</v>
      </c>
      <c r="AC80" s="7" t="s">
        <v>1519</v>
      </c>
      <c r="AD80" s="10" t="s">
        <v>1520</v>
      </c>
      <c r="AE80" s="7" t="s">
        <v>1521</v>
      </c>
      <c r="AF80" s="10" t="s">
        <v>1522</v>
      </c>
      <c r="AG80" s="9" t="s">
        <v>64</v>
      </c>
      <c r="AH80" s="9">
        <v>3.0</v>
      </c>
      <c r="AI80" s="7" t="s">
        <v>1521</v>
      </c>
      <c r="AJ80" s="7" t="s">
        <v>299</v>
      </c>
      <c r="AK80" s="7" t="s">
        <v>1523</v>
      </c>
      <c r="AL80" s="7" t="s">
        <v>1524</v>
      </c>
      <c r="AM80" s="7" t="s">
        <v>1525</v>
      </c>
      <c r="AN80" s="7" t="s">
        <v>109</v>
      </c>
      <c r="AO80" s="7" t="s">
        <v>70</v>
      </c>
      <c r="AP80" s="13"/>
      <c r="AQ80" s="13"/>
      <c r="AR80" s="13"/>
      <c r="AS80" s="13"/>
      <c r="AT80" s="13"/>
      <c r="AU80" s="13"/>
    </row>
    <row r="81" hidden="1">
      <c r="A81" s="6">
        <v>45786.40817190972</v>
      </c>
      <c r="B81" s="7" t="s">
        <v>751</v>
      </c>
      <c r="C81" s="7" t="s">
        <v>752</v>
      </c>
      <c r="D81" s="8" t="s">
        <v>753</v>
      </c>
      <c r="E81" s="7" t="s">
        <v>754</v>
      </c>
      <c r="F81" s="7" t="s">
        <v>1526</v>
      </c>
      <c r="G81" s="9" t="s">
        <v>76</v>
      </c>
      <c r="H81" s="7" t="s">
        <v>45</v>
      </c>
      <c r="I81" s="7" t="s">
        <v>78</v>
      </c>
      <c r="J81" s="10" t="s">
        <v>1527</v>
      </c>
      <c r="K81" s="8" t="s">
        <v>1528</v>
      </c>
      <c r="L81" s="7" t="s">
        <v>1529</v>
      </c>
      <c r="M81" s="7" t="s">
        <v>49</v>
      </c>
      <c r="N81" s="7" t="s">
        <v>1526</v>
      </c>
      <c r="O81" s="8" t="s">
        <v>1530</v>
      </c>
      <c r="P81" s="8">
        <v>2.3072028E7</v>
      </c>
      <c r="Q81" s="11" t="s">
        <v>1531</v>
      </c>
      <c r="R81" s="11" t="s">
        <v>1532</v>
      </c>
      <c r="S81" s="7" t="s">
        <v>54</v>
      </c>
      <c r="T81" s="7" t="s">
        <v>55</v>
      </c>
      <c r="U81" s="7" t="s">
        <v>54</v>
      </c>
      <c r="V81" s="7" t="s">
        <v>55</v>
      </c>
      <c r="W81" s="11" t="s">
        <v>1533</v>
      </c>
      <c r="X81" s="14" t="s">
        <v>194</v>
      </c>
      <c r="Y81" s="15"/>
      <c r="Z81" s="16"/>
      <c r="AA81" s="13"/>
      <c r="AB81" s="13"/>
      <c r="AC81" s="7" t="s">
        <v>1526</v>
      </c>
      <c r="AD81" s="8" t="s">
        <v>1528</v>
      </c>
      <c r="AE81" s="7" t="s">
        <v>1534</v>
      </c>
      <c r="AF81" s="8" t="s">
        <v>753</v>
      </c>
      <c r="AG81" s="17" t="s">
        <v>260</v>
      </c>
      <c r="AH81" s="18"/>
      <c r="AI81" s="13"/>
      <c r="AJ81" s="13"/>
      <c r="AK81" s="13"/>
      <c r="AL81" s="7" t="s">
        <v>1535</v>
      </c>
      <c r="AM81" s="7" t="s">
        <v>95</v>
      </c>
      <c r="AN81" s="7" t="s">
        <v>1536</v>
      </c>
      <c r="AO81" s="7" t="s">
        <v>70</v>
      </c>
      <c r="AP81" s="13"/>
      <c r="AQ81" s="13"/>
      <c r="AR81" s="13"/>
      <c r="AS81" s="13"/>
      <c r="AT81" s="13"/>
      <c r="AU81" s="13"/>
    </row>
    <row r="82" hidden="1">
      <c r="A82" s="6">
        <v>45786.42734634259</v>
      </c>
      <c r="B82" s="7" t="s">
        <v>1537</v>
      </c>
      <c r="C82" s="7" t="s">
        <v>1538</v>
      </c>
      <c r="D82" s="10" t="s">
        <v>1539</v>
      </c>
      <c r="E82" s="7" t="s">
        <v>1540</v>
      </c>
      <c r="F82" s="7" t="s">
        <v>1541</v>
      </c>
      <c r="G82" s="9" t="s">
        <v>76</v>
      </c>
      <c r="H82" s="7" t="s">
        <v>101</v>
      </c>
      <c r="I82" s="7" t="s">
        <v>78</v>
      </c>
      <c r="J82" s="10" t="s">
        <v>1542</v>
      </c>
      <c r="K82" s="8" t="s">
        <v>1543</v>
      </c>
      <c r="L82" s="7" t="s">
        <v>1540</v>
      </c>
      <c r="M82" s="7" t="s">
        <v>49</v>
      </c>
      <c r="N82" s="7" t="s">
        <v>1541</v>
      </c>
      <c r="O82" s="8" t="s">
        <v>1544</v>
      </c>
      <c r="P82" s="8">
        <v>2.9092028E7</v>
      </c>
      <c r="Q82" s="11" t="s">
        <v>1545</v>
      </c>
      <c r="R82" s="11" t="s">
        <v>1546</v>
      </c>
      <c r="S82" s="7" t="s">
        <v>170</v>
      </c>
      <c r="T82" s="7" t="s">
        <v>55</v>
      </c>
      <c r="U82" s="7" t="s">
        <v>54</v>
      </c>
      <c r="V82" s="7" t="s">
        <v>55</v>
      </c>
      <c r="W82" s="11" t="s">
        <v>1547</v>
      </c>
      <c r="X82" s="7" t="s">
        <v>57</v>
      </c>
      <c r="Y82" s="7" t="s">
        <v>1541</v>
      </c>
      <c r="Z82" s="9" t="s">
        <v>1548</v>
      </c>
      <c r="AA82" s="7" t="s">
        <v>331</v>
      </c>
      <c r="AB82" s="7" t="s">
        <v>1549</v>
      </c>
      <c r="AC82" s="7" t="s">
        <v>1541</v>
      </c>
      <c r="AD82" s="8" t="s">
        <v>1550</v>
      </c>
      <c r="AE82" s="7" t="s">
        <v>1551</v>
      </c>
      <c r="AF82" s="8" t="s">
        <v>1543</v>
      </c>
      <c r="AG82" s="9" t="s">
        <v>64</v>
      </c>
      <c r="AH82" s="9">
        <v>1.0</v>
      </c>
      <c r="AI82" s="7" t="s">
        <v>1551</v>
      </c>
      <c r="AJ82" s="7" t="s">
        <v>1552</v>
      </c>
      <c r="AK82" s="19" t="s">
        <v>1482</v>
      </c>
      <c r="AL82" s="7" t="s">
        <v>1553</v>
      </c>
      <c r="AM82" s="7" t="s">
        <v>157</v>
      </c>
      <c r="AN82" s="7" t="s">
        <v>55</v>
      </c>
      <c r="AO82" s="7" t="s">
        <v>70</v>
      </c>
      <c r="AP82" s="13"/>
      <c r="AQ82" s="13"/>
      <c r="AR82" s="13"/>
      <c r="AS82" s="13"/>
      <c r="AT82" s="13"/>
      <c r="AU82" s="13"/>
    </row>
    <row r="83" hidden="1">
      <c r="A83" s="6">
        <v>45786.46991190972</v>
      </c>
      <c r="B83" s="7" t="s">
        <v>1554</v>
      </c>
      <c r="C83" s="7" t="s">
        <v>72</v>
      </c>
      <c r="D83" s="10" t="s">
        <v>73</v>
      </c>
      <c r="E83" s="7" t="s">
        <v>74</v>
      </c>
      <c r="F83" s="7" t="s">
        <v>1555</v>
      </c>
      <c r="G83" s="9" t="s">
        <v>76</v>
      </c>
      <c r="H83" s="7" t="s">
        <v>77</v>
      </c>
      <c r="I83" s="7" t="s">
        <v>78</v>
      </c>
      <c r="J83" s="10" t="s">
        <v>79</v>
      </c>
      <c r="K83" s="10" t="s">
        <v>80</v>
      </c>
      <c r="L83" s="7" t="s">
        <v>81</v>
      </c>
      <c r="M83" s="7" t="s">
        <v>49</v>
      </c>
      <c r="N83" s="7" t="s">
        <v>1555</v>
      </c>
      <c r="O83" s="8" t="s">
        <v>82</v>
      </c>
      <c r="P83" s="8">
        <v>1.7022027E7</v>
      </c>
      <c r="Q83" s="11" t="s">
        <v>1556</v>
      </c>
      <c r="R83" s="11" t="s">
        <v>1557</v>
      </c>
      <c r="S83" s="7" t="s">
        <v>54</v>
      </c>
      <c r="T83" s="7" t="s">
        <v>55</v>
      </c>
      <c r="U83" s="7" t="s">
        <v>54</v>
      </c>
      <c r="V83" s="7" t="s">
        <v>55</v>
      </c>
      <c r="W83" s="11" t="s">
        <v>1558</v>
      </c>
      <c r="X83" s="7" t="s">
        <v>57</v>
      </c>
      <c r="Y83" s="7" t="s">
        <v>75</v>
      </c>
      <c r="Z83" s="9" t="s">
        <v>86</v>
      </c>
      <c r="AA83" s="7" t="s">
        <v>87</v>
      </c>
      <c r="AB83" s="7" t="s">
        <v>88</v>
      </c>
      <c r="AC83" s="7" t="s">
        <v>1559</v>
      </c>
      <c r="AD83" s="10" t="s">
        <v>80</v>
      </c>
      <c r="AE83" s="7" t="s">
        <v>1560</v>
      </c>
      <c r="AF83" s="10" t="s">
        <v>73</v>
      </c>
      <c r="AG83" s="9" t="s">
        <v>64</v>
      </c>
      <c r="AH83" s="9">
        <v>2.0</v>
      </c>
      <c r="AI83" s="7" t="s">
        <v>1561</v>
      </c>
      <c r="AJ83" s="7" t="s">
        <v>1562</v>
      </c>
      <c r="AK83" s="7" t="s">
        <v>1563</v>
      </c>
      <c r="AL83" s="7" t="s">
        <v>1564</v>
      </c>
      <c r="AM83" s="7" t="s">
        <v>69</v>
      </c>
      <c r="AN83" s="7" t="s">
        <v>1565</v>
      </c>
      <c r="AO83" s="7" t="s">
        <v>70</v>
      </c>
      <c r="AP83" s="13"/>
      <c r="AQ83" s="13"/>
      <c r="AR83" s="13"/>
      <c r="AS83" s="13"/>
      <c r="AT83" s="13"/>
      <c r="AU83" s="13"/>
    </row>
    <row r="84" hidden="1">
      <c r="A84" s="6">
        <v>45786.47990145833</v>
      </c>
      <c r="B84" s="7" t="s">
        <v>1566</v>
      </c>
      <c r="C84" s="7" t="s">
        <v>388</v>
      </c>
      <c r="D84" s="8" t="s">
        <v>1567</v>
      </c>
      <c r="E84" s="7" t="s">
        <v>1568</v>
      </c>
      <c r="F84" s="7" t="s">
        <v>1569</v>
      </c>
      <c r="G84" s="9" t="s">
        <v>44</v>
      </c>
      <c r="H84" s="7" t="s">
        <v>101</v>
      </c>
      <c r="I84" s="7" t="s">
        <v>78</v>
      </c>
      <c r="J84" s="8">
        <v>1.4092012E7</v>
      </c>
      <c r="K84" s="8" t="s">
        <v>1570</v>
      </c>
      <c r="L84" s="7" t="s">
        <v>1568</v>
      </c>
      <c r="M84" s="7" t="s">
        <v>49</v>
      </c>
      <c r="N84" s="7" t="s">
        <v>1569</v>
      </c>
      <c r="O84" s="8" t="s">
        <v>1571</v>
      </c>
      <c r="P84" s="10" t="s">
        <v>1572</v>
      </c>
      <c r="Q84" s="11" t="s">
        <v>1573</v>
      </c>
      <c r="R84" s="11" t="s">
        <v>1574</v>
      </c>
      <c r="S84" s="7" t="s">
        <v>54</v>
      </c>
      <c r="T84" s="7" t="s">
        <v>55</v>
      </c>
      <c r="U84" s="7" t="s">
        <v>54</v>
      </c>
      <c r="V84" s="7" t="s">
        <v>55</v>
      </c>
      <c r="W84" s="11" t="s">
        <v>1575</v>
      </c>
      <c r="X84" s="7" t="s">
        <v>57</v>
      </c>
      <c r="Y84" s="7" t="s">
        <v>1569</v>
      </c>
      <c r="Z84" s="9" t="s">
        <v>1576</v>
      </c>
      <c r="AA84" s="7" t="s">
        <v>1577</v>
      </c>
      <c r="AB84" s="7" t="s">
        <v>1578</v>
      </c>
      <c r="AC84" s="7" t="s">
        <v>1569</v>
      </c>
      <c r="AD84" s="8" t="s">
        <v>1579</v>
      </c>
      <c r="AE84" s="7" t="s">
        <v>1580</v>
      </c>
      <c r="AF84" s="8" t="s">
        <v>1581</v>
      </c>
      <c r="AG84" s="9" t="s">
        <v>64</v>
      </c>
      <c r="AH84" s="9">
        <v>3.0</v>
      </c>
      <c r="AI84" s="7" t="s">
        <v>1582</v>
      </c>
      <c r="AJ84" s="7" t="s">
        <v>55</v>
      </c>
      <c r="AK84" s="7" t="s">
        <v>55</v>
      </c>
      <c r="AL84" s="7" t="s">
        <v>1580</v>
      </c>
      <c r="AM84" s="7" t="s">
        <v>95</v>
      </c>
      <c r="AN84" s="7" t="s">
        <v>55</v>
      </c>
      <c r="AO84" s="7" t="s">
        <v>70</v>
      </c>
      <c r="AP84" s="13"/>
      <c r="AQ84" s="13"/>
      <c r="AR84" s="13"/>
      <c r="AS84" s="13"/>
      <c r="AT84" s="13"/>
      <c r="AU84" s="13"/>
    </row>
    <row r="85" hidden="1">
      <c r="A85" s="6">
        <v>45786.48722210648</v>
      </c>
      <c r="B85" s="7" t="s">
        <v>1583</v>
      </c>
      <c r="C85" s="7" t="s">
        <v>1584</v>
      </c>
      <c r="D85" s="10" t="s">
        <v>1585</v>
      </c>
      <c r="E85" s="7" t="s">
        <v>1586</v>
      </c>
      <c r="F85" s="7" t="s">
        <v>1587</v>
      </c>
      <c r="G85" s="9" t="s">
        <v>76</v>
      </c>
      <c r="H85" s="7" t="s">
        <v>101</v>
      </c>
      <c r="I85" s="7" t="s">
        <v>78</v>
      </c>
      <c r="J85" s="8">
        <v>1.8042012E7</v>
      </c>
      <c r="K85" s="10" t="s">
        <v>1588</v>
      </c>
      <c r="L85" s="7" t="s">
        <v>1586</v>
      </c>
      <c r="M85" s="7" t="s">
        <v>49</v>
      </c>
      <c r="N85" s="7" t="s">
        <v>1587</v>
      </c>
      <c r="O85" s="8" t="s">
        <v>1589</v>
      </c>
      <c r="P85" s="10" t="s">
        <v>1572</v>
      </c>
      <c r="Q85" s="11" t="s">
        <v>1590</v>
      </c>
      <c r="R85" s="11" t="s">
        <v>1591</v>
      </c>
      <c r="S85" s="7" t="s">
        <v>54</v>
      </c>
      <c r="T85" s="7" t="s">
        <v>55</v>
      </c>
      <c r="U85" s="7" t="s">
        <v>54</v>
      </c>
      <c r="V85" s="7" t="s">
        <v>55</v>
      </c>
      <c r="W85" s="11" t="s">
        <v>1592</v>
      </c>
      <c r="X85" s="7" t="s">
        <v>57</v>
      </c>
      <c r="Y85" s="7" t="s">
        <v>1587</v>
      </c>
      <c r="Z85" s="9" t="s">
        <v>1593</v>
      </c>
      <c r="AA85" s="7" t="s">
        <v>1594</v>
      </c>
      <c r="AB85" s="7" t="s">
        <v>1595</v>
      </c>
      <c r="AC85" s="7" t="s">
        <v>1587</v>
      </c>
      <c r="AD85" s="10" t="s">
        <v>1588</v>
      </c>
      <c r="AE85" s="7" t="s">
        <v>1596</v>
      </c>
      <c r="AF85" s="10" t="s">
        <v>1585</v>
      </c>
      <c r="AG85" s="9" t="s">
        <v>64</v>
      </c>
      <c r="AH85" s="9">
        <v>2.0</v>
      </c>
      <c r="AI85" s="7" t="s">
        <v>1597</v>
      </c>
      <c r="AJ85" s="7" t="s">
        <v>1598</v>
      </c>
      <c r="AK85" s="7">
        <v>2.4062025E7</v>
      </c>
      <c r="AL85" s="7" t="s">
        <v>1599</v>
      </c>
      <c r="AM85" s="7" t="s">
        <v>157</v>
      </c>
      <c r="AN85" s="7" t="s">
        <v>55</v>
      </c>
      <c r="AO85" s="7" t="s">
        <v>70</v>
      </c>
      <c r="AP85" s="13"/>
      <c r="AQ85" s="13"/>
      <c r="AR85" s="13"/>
      <c r="AS85" s="13"/>
      <c r="AT85" s="13"/>
      <c r="AU85" s="13"/>
    </row>
    <row r="86" hidden="1">
      <c r="A86" s="6">
        <v>45786.49419702546</v>
      </c>
      <c r="B86" s="7" t="s">
        <v>1600</v>
      </c>
      <c r="C86" s="7" t="s">
        <v>388</v>
      </c>
      <c r="D86" s="8" t="s">
        <v>1601</v>
      </c>
      <c r="E86" s="7" t="s">
        <v>1602</v>
      </c>
      <c r="F86" s="7" t="s">
        <v>1603</v>
      </c>
      <c r="G86" s="9" t="s">
        <v>44</v>
      </c>
      <c r="H86" s="7" t="s">
        <v>101</v>
      </c>
      <c r="I86" s="7" t="s">
        <v>78</v>
      </c>
      <c r="J86" s="8">
        <v>2.4012014E7</v>
      </c>
      <c r="K86" s="8" t="s">
        <v>1604</v>
      </c>
      <c r="L86" s="7" t="s">
        <v>1605</v>
      </c>
      <c r="M86" s="7" t="s">
        <v>49</v>
      </c>
      <c r="N86" s="7" t="s">
        <v>1603</v>
      </c>
      <c r="O86" s="8" t="s">
        <v>1606</v>
      </c>
      <c r="P86" s="8">
        <v>1.5042029E7</v>
      </c>
      <c r="Q86" s="11" t="s">
        <v>1607</v>
      </c>
      <c r="R86" s="11" t="s">
        <v>1608</v>
      </c>
      <c r="S86" s="7" t="s">
        <v>54</v>
      </c>
      <c r="T86" s="7" t="s">
        <v>55</v>
      </c>
      <c r="U86" s="7" t="s">
        <v>54</v>
      </c>
      <c r="V86" s="7" t="s">
        <v>55</v>
      </c>
      <c r="W86" s="11" t="s">
        <v>1609</v>
      </c>
      <c r="X86" s="7" t="s">
        <v>57</v>
      </c>
      <c r="Y86" s="7" t="s">
        <v>1603</v>
      </c>
      <c r="Z86" s="9" t="s">
        <v>1610</v>
      </c>
      <c r="AA86" s="7" t="s">
        <v>1611</v>
      </c>
      <c r="AB86" s="7" t="s">
        <v>1612</v>
      </c>
      <c r="AC86" s="7" t="s">
        <v>1603</v>
      </c>
      <c r="AD86" s="8" t="s">
        <v>1604</v>
      </c>
      <c r="AE86" s="7" t="s">
        <v>1613</v>
      </c>
      <c r="AF86" s="8" t="s">
        <v>1601</v>
      </c>
      <c r="AG86" s="9" t="s">
        <v>64</v>
      </c>
      <c r="AH86" s="9">
        <v>3.0</v>
      </c>
      <c r="AI86" s="7" t="s">
        <v>1614</v>
      </c>
      <c r="AJ86" s="7" t="s">
        <v>1615</v>
      </c>
      <c r="AK86" s="7" t="s">
        <v>1616</v>
      </c>
      <c r="AL86" s="7" t="s">
        <v>1617</v>
      </c>
      <c r="AM86" s="7" t="s">
        <v>157</v>
      </c>
      <c r="AN86" s="7" t="s">
        <v>55</v>
      </c>
      <c r="AO86" s="7" t="s">
        <v>70</v>
      </c>
      <c r="AP86" s="13"/>
      <c r="AQ86" s="13"/>
      <c r="AR86" s="13"/>
      <c r="AS86" s="13"/>
      <c r="AT86" s="13"/>
      <c r="AU86" s="13"/>
    </row>
    <row r="87" hidden="1">
      <c r="A87" s="6">
        <v>45786.51234631945</v>
      </c>
      <c r="B87" s="7" t="s">
        <v>1618</v>
      </c>
      <c r="C87" s="7" t="s">
        <v>1048</v>
      </c>
      <c r="D87" s="8" t="s">
        <v>1619</v>
      </c>
      <c r="E87" s="7" t="s">
        <v>1620</v>
      </c>
      <c r="F87" s="7" t="s">
        <v>1621</v>
      </c>
      <c r="G87" s="9" t="s">
        <v>76</v>
      </c>
      <c r="H87" s="7" t="s">
        <v>77</v>
      </c>
      <c r="I87" s="7" t="s">
        <v>141</v>
      </c>
      <c r="J87" s="8">
        <v>2.910201E7</v>
      </c>
      <c r="K87" s="8" t="s">
        <v>1619</v>
      </c>
      <c r="L87" s="7" t="s">
        <v>1620</v>
      </c>
      <c r="M87" s="7" t="s">
        <v>49</v>
      </c>
      <c r="N87" s="7" t="s">
        <v>1622</v>
      </c>
      <c r="O87" s="8" t="s">
        <v>1623</v>
      </c>
      <c r="P87" s="8">
        <v>3.1072028E7</v>
      </c>
      <c r="Q87" s="11" t="s">
        <v>1624</v>
      </c>
      <c r="R87" s="11" t="s">
        <v>1625</v>
      </c>
      <c r="S87" s="7" t="s">
        <v>573</v>
      </c>
      <c r="T87" s="7" t="s">
        <v>1626</v>
      </c>
      <c r="U87" s="7" t="s">
        <v>1627</v>
      </c>
      <c r="V87" s="7" t="s">
        <v>1628</v>
      </c>
      <c r="W87" s="11" t="s">
        <v>1629</v>
      </c>
      <c r="X87" s="14" t="s">
        <v>194</v>
      </c>
      <c r="Y87" s="15"/>
      <c r="Z87" s="16"/>
      <c r="AA87" s="13"/>
      <c r="AB87" s="13"/>
      <c r="AC87" s="7" t="s">
        <v>1630</v>
      </c>
      <c r="AD87" s="8" t="s">
        <v>1631</v>
      </c>
      <c r="AE87" s="7" t="s">
        <v>1632</v>
      </c>
      <c r="AF87" s="8" t="s">
        <v>1619</v>
      </c>
      <c r="AG87" s="17" t="s">
        <v>260</v>
      </c>
      <c r="AH87" s="18"/>
      <c r="AI87" s="13"/>
      <c r="AJ87" s="13"/>
      <c r="AK87" s="13"/>
      <c r="AL87" s="7" t="s">
        <v>1633</v>
      </c>
      <c r="AM87" s="7" t="s">
        <v>117</v>
      </c>
      <c r="AN87" s="7" t="s">
        <v>109</v>
      </c>
      <c r="AO87" s="7" t="s">
        <v>70</v>
      </c>
      <c r="AP87" s="13"/>
      <c r="AQ87" s="13"/>
      <c r="AR87" s="13"/>
      <c r="AS87" s="13"/>
      <c r="AT87" s="13"/>
      <c r="AU87" s="13"/>
    </row>
    <row r="88" hidden="1">
      <c r="A88" s="6">
        <v>45786.519790266204</v>
      </c>
      <c r="B88" s="7" t="s">
        <v>1634</v>
      </c>
      <c r="C88" s="7" t="s">
        <v>1635</v>
      </c>
      <c r="D88" s="8" t="s">
        <v>1636</v>
      </c>
      <c r="E88" s="7" t="s">
        <v>1637</v>
      </c>
      <c r="F88" s="7" t="s">
        <v>1638</v>
      </c>
      <c r="G88" s="9" t="s">
        <v>44</v>
      </c>
      <c r="H88" s="7" t="s">
        <v>45</v>
      </c>
      <c r="I88" s="7" t="s">
        <v>858</v>
      </c>
      <c r="J88" s="8" t="s">
        <v>1639</v>
      </c>
      <c r="K88" s="8" t="s">
        <v>1640</v>
      </c>
      <c r="L88" s="7" t="s">
        <v>1641</v>
      </c>
      <c r="M88" s="7" t="s">
        <v>49</v>
      </c>
      <c r="N88" s="7" t="s">
        <v>1638</v>
      </c>
      <c r="O88" s="8" t="s">
        <v>1642</v>
      </c>
      <c r="P88" s="8" t="s">
        <v>1643</v>
      </c>
      <c r="Q88" s="11" t="s">
        <v>1644</v>
      </c>
      <c r="R88" s="11" t="s">
        <v>1645</v>
      </c>
      <c r="S88" s="7" t="s">
        <v>54</v>
      </c>
      <c r="T88" s="7" t="s">
        <v>55</v>
      </c>
      <c r="U88" s="7" t="s">
        <v>54</v>
      </c>
      <c r="V88" s="7" t="s">
        <v>55</v>
      </c>
      <c r="W88" s="11" t="s">
        <v>1646</v>
      </c>
      <c r="X88" s="14" t="s">
        <v>194</v>
      </c>
      <c r="Y88" s="15"/>
      <c r="Z88" s="16"/>
      <c r="AA88" s="13"/>
      <c r="AB88" s="13"/>
      <c r="AC88" s="7" t="s">
        <v>1638</v>
      </c>
      <c r="AD88" s="8" t="s">
        <v>1647</v>
      </c>
      <c r="AE88" s="7" t="s">
        <v>1648</v>
      </c>
      <c r="AF88" s="8" t="s">
        <v>1636</v>
      </c>
      <c r="AG88" s="9" t="s">
        <v>64</v>
      </c>
      <c r="AH88" s="9">
        <v>2.0</v>
      </c>
      <c r="AI88" s="7" t="s">
        <v>1649</v>
      </c>
      <c r="AJ88" s="7" t="s">
        <v>1650</v>
      </c>
      <c r="AK88" s="7" t="s">
        <v>221</v>
      </c>
      <c r="AL88" s="7" t="s">
        <v>1651</v>
      </c>
      <c r="AM88" s="7" t="s">
        <v>1652</v>
      </c>
      <c r="AN88" s="7" t="s">
        <v>55</v>
      </c>
      <c r="AO88" s="7" t="s">
        <v>70</v>
      </c>
      <c r="AP88" s="13"/>
      <c r="AQ88" s="13"/>
      <c r="AR88" s="13"/>
      <c r="AS88" s="13"/>
      <c r="AT88" s="13"/>
      <c r="AU88" s="13"/>
    </row>
    <row r="89" hidden="1">
      <c r="A89" s="6">
        <v>45786.53297425926</v>
      </c>
      <c r="B89" s="7" t="s">
        <v>1653</v>
      </c>
      <c r="C89" s="7" t="s">
        <v>1654</v>
      </c>
      <c r="D89" s="10" t="s">
        <v>1655</v>
      </c>
      <c r="E89" s="7" t="s">
        <v>1656</v>
      </c>
      <c r="F89" s="7" t="s">
        <v>1657</v>
      </c>
      <c r="G89" s="9" t="s">
        <v>76</v>
      </c>
      <c r="H89" s="7" t="s">
        <v>101</v>
      </c>
      <c r="I89" s="7" t="s">
        <v>78</v>
      </c>
      <c r="J89" s="8" t="s">
        <v>1658</v>
      </c>
      <c r="K89" s="10" t="s">
        <v>1655</v>
      </c>
      <c r="L89" s="7" t="s">
        <v>1656</v>
      </c>
      <c r="M89" s="7" t="s">
        <v>49</v>
      </c>
      <c r="N89" s="7" t="s">
        <v>1657</v>
      </c>
      <c r="O89" s="8" t="s">
        <v>1659</v>
      </c>
      <c r="P89" s="10" t="s">
        <v>1660</v>
      </c>
      <c r="Q89" s="11" t="s">
        <v>1661</v>
      </c>
      <c r="R89" s="11" t="s">
        <v>1662</v>
      </c>
      <c r="S89" s="7" t="s">
        <v>54</v>
      </c>
      <c r="T89" s="7" t="s">
        <v>55</v>
      </c>
      <c r="U89" s="7" t="s">
        <v>54</v>
      </c>
      <c r="V89" s="7" t="s">
        <v>55</v>
      </c>
      <c r="W89" s="11" t="s">
        <v>1663</v>
      </c>
      <c r="X89" s="7" t="s">
        <v>57</v>
      </c>
      <c r="Y89" s="7" t="s">
        <v>1657</v>
      </c>
      <c r="Z89" s="9" t="s">
        <v>1664</v>
      </c>
      <c r="AA89" s="7" t="s">
        <v>1665</v>
      </c>
      <c r="AB89" s="7" t="s">
        <v>1666</v>
      </c>
      <c r="AC89" s="7" t="s">
        <v>1657</v>
      </c>
      <c r="AD89" s="8" t="s">
        <v>1667</v>
      </c>
      <c r="AE89" s="7" t="s">
        <v>1653</v>
      </c>
      <c r="AF89" s="8" t="s">
        <v>1668</v>
      </c>
      <c r="AG89" s="17" t="s">
        <v>260</v>
      </c>
      <c r="AH89" s="18"/>
      <c r="AI89" s="13"/>
      <c r="AJ89" s="13"/>
      <c r="AK89" s="13"/>
      <c r="AL89" s="7" t="s">
        <v>1669</v>
      </c>
      <c r="AM89" s="7" t="s">
        <v>1670</v>
      </c>
      <c r="AN89" s="7" t="s">
        <v>55</v>
      </c>
      <c r="AO89" s="7" t="s">
        <v>70</v>
      </c>
      <c r="AP89" s="13"/>
      <c r="AQ89" s="13"/>
      <c r="AR89" s="13"/>
      <c r="AS89" s="13"/>
      <c r="AT89" s="13"/>
      <c r="AU89" s="13"/>
    </row>
    <row r="90" hidden="1">
      <c r="A90" s="6">
        <v>45786.53580229166</v>
      </c>
      <c r="B90" s="7" t="s">
        <v>1671</v>
      </c>
      <c r="C90" s="7" t="s">
        <v>1672</v>
      </c>
      <c r="D90" s="10" t="s">
        <v>1673</v>
      </c>
      <c r="E90" s="7" t="s">
        <v>1674</v>
      </c>
      <c r="F90" s="7" t="s">
        <v>1675</v>
      </c>
      <c r="G90" s="9" t="s">
        <v>44</v>
      </c>
      <c r="H90" s="7" t="s">
        <v>45</v>
      </c>
      <c r="I90" s="7" t="s">
        <v>46</v>
      </c>
      <c r="J90" s="10" t="s">
        <v>1676</v>
      </c>
      <c r="K90" s="10" t="s">
        <v>1677</v>
      </c>
      <c r="L90" s="7" t="s">
        <v>1678</v>
      </c>
      <c r="M90" s="7" t="s">
        <v>49</v>
      </c>
      <c r="N90" s="7" t="s">
        <v>1675</v>
      </c>
      <c r="O90" s="8" t="s">
        <v>1679</v>
      </c>
      <c r="P90" s="8">
        <v>1.5022028E7</v>
      </c>
      <c r="Q90" s="11" t="s">
        <v>1680</v>
      </c>
      <c r="R90" s="11" t="s">
        <v>1681</v>
      </c>
      <c r="S90" s="7" t="s">
        <v>54</v>
      </c>
      <c r="T90" s="7" t="s">
        <v>55</v>
      </c>
      <c r="U90" s="7" t="s">
        <v>54</v>
      </c>
      <c r="V90" s="7" t="s">
        <v>55</v>
      </c>
      <c r="W90" s="11" t="s">
        <v>1682</v>
      </c>
      <c r="X90" s="14" t="s">
        <v>194</v>
      </c>
      <c r="Y90" s="15"/>
      <c r="Z90" s="16"/>
      <c r="AA90" s="13"/>
      <c r="AB90" s="13"/>
      <c r="AC90" s="7" t="s">
        <v>1675</v>
      </c>
      <c r="AD90" s="10" t="s">
        <v>1677</v>
      </c>
      <c r="AE90" s="7" t="s">
        <v>422</v>
      </c>
      <c r="AF90" s="8">
        <v>9.999999999E9</v>
      </c>
      <c r="AG90" s="9" t="s">
        <v>64</v>
      </c>
      <c r="AH90" s="9">
        <v>1.0</v>
      </c>
      <c r="AI90" s="7" t="s">
        <v>1683</v>
      </c>
      <c r="AJ90" s="7" t="s">
        <v>932</v>
      </c>
      <c r="AK90" s="7" t="s">
        <v>749</v>
      </c>
      <c r="AL90" s="7" t="s">
        <v>1684</v>
      </c>
      <c r="AM90" s="7" t="s">
        <v>241</v>
      </c>
      <c r="AN90" s="7" t="s">
        <v>55</v>
      </c>
      <c r="AO90" s="7" t="s">
        <v>70</v>
      </c>
      <c r="AP90" s="13"/>
      <c r="AQ90" s="13"/>
      <c r="AR90" s="13"/>
      <c r="AS90" s="13"/>
      <c r="AT90" s="13"/>
      <c r="AU90" s="13"/>
    </row>
    <row r="91" hidden="1">
      <c r="A91" s="6">
        <v>45786.5506581713</v>
      </c>
      <c r="B91" s="7" t="s">
        <v>729</v>
      </c>
      <c r="C91" s="7" t="s">
        <v>730</v>
      </c>
      <c r="D91" s="10" t="s">
        <v>1685</v>
      </c>
      <c r="E91" s="7" t="s">
        <v>732</v>
      </c>
      <c r="F91" s="7" t="s">
        <v>733</v>
      </c>
      <c r="G91" s="9" t="s">
        <v>44</v>
      </c>
      <c r="H91" s="7" t="s">
        <v>101</v>
      </c>
      <c r="I91" s="7" t="s">
        <v>78</v>
      </c>
      <c r="J91" s="8">
        <v>2.6042014E7</v>
      </c>
      <c r="K91" s="10" t="s">
        <v>1685</v>
      </c>
      <c r="L91" s="7" t="s">
        <v>732</v>
      </c>
      <c r="M91" s="7" t="s">
        <v>49</v>
      </c>
      <c r="N91" s="7" t="s">
        <v>733</v>
      </c>
      <c r="O91" s="8" t="s">
        <v>735</v>
      </c>
      <c r="P91" s="8">
        <v>2.101203E7</v>
      </c>
      <c r="Q91" s="11" t="s">
        <v>1686</v>
      </c>
      <c r="R91" s="11" t="s">
        <v>1687</v>
      </c>
      <c r="S91" s="14" t="s">
        <v>573</v>
      </c>
      <c r="T91" s="14" t="s">
        <v>1688</v>
      </c>
      <c r="U91" s="14" t="s">
        <v>1689</v>
      </c>
      <c r="V91" s="14" t="s">
        <v>1690</v>
      </c>
      <c r="W91" s="11" t="s">
        <v>1691</v>
      </c>
      <c r="X91" s="7" t="s">
        <v>57</v>
      </c>
      <c r="Y91" s="7" t="s">
        <v>733</v>
      </c>
      <c r="Z91" s="9" t="s">
        <v>1692</v>
      </c>
      <c r="AA91" s="7" t="s">
        <v>743</v>
      </c>
      <c r="AB91" s="7" t="s">
        <v>744</v>
      </c>
      <c r="AC91" s="7" t="s">
        <v>733</v>
      </c>
      <c r="AD91" s="10" t="s">
        <v>1693</v>
      </c>
      <c r="AE91" s="7" t="s">
        <v>746</v>
      </c>
      <c r="AF91" s="10" t="s">
        <v>1685</v>
      </c>
      <c r="AG91" s="9" t="s">
        <v>64</v>
      </c>
      <c r="AH91" s="9">
        <v>2.0</v>
      </c>
      <c r="AI91" s="7" t="s">
        <v>1694</v>
      </c>
      <c r="AJ91" s="7" t="s">
        <v>1695</v>
      </c>
      <c r="AK91" s="19" t="s">
        <v>1482</v>
      </c>
      <c r="AL91" s="7" t="s">
        <v>1696</v>
      </c>
      <c r="AM91" s="7" t="s">
        <v>1697</v>
      </c>
      <c r="AN91" s="7" t="s">
        <v>55</v>
      </c>
      <c r="AO91" s="7" t="s">
        <v>70</v>
      </c>
      <c r="AP91" s="13"/>
      <c r="AQ91" s="13"/>
      <c r="AR91" s="13"/>
      <c r="AS91" s="13"/>
      <c r="AT91" s="13"/>
      <c r="AU91" s="13"/>
    </row>
    <row r="92" hidden="1">
      <c r="A92" s="21">
        <v>45786.55903940972</v>
      </c>
      <c r="B92" s="22" t="s">
        <v>1698</v>
      </c>
      <c r="C92" s="22" t="s">
        <v>803</v>
      </c>
      <c r="D92" s="23" t="s">
        <v>1699</v>
      </c>
      <c r="E92" s="22" t="s">
        <v>1700</v>
      </c>
      <c r="F92" s="22" t="s">
        <v>1701</v>
      </c>
      <c r="G92" s="24" t="s">
        <v>76</v>
      </c>
      <c r="H92" s="22" t="s">
        <v>45</v>
      </c>
      <c r="I92" s="22" t="s">
        <v>102</v>
      </c>
      <c r="J92" s="23" t="s">
        <v>1702</v>
      </c>
      <c r="K92" s="23" t="s">
        <v>1703</v>
      </c>
      <c r="L92" s="22" t="s">
        <v>1704</v>
      </c>
      <c r="M92" s="22" t="s">
        <v>1072</v>
      </c>
      <c r="N92" s="25"/>
      <c r="O92" s="26"/>
      <c r="P92" s="26"/>
      <c r="Q92" s="25"/>
      <c r="R92" s="25"/>
      <c r="S92" s="25"/>
      <c r="T92" s="25"/>
      <c r="U92" s="25"/>
      <c r="V92" s="25"/>
      <c r="W92" s="25"/>
      <c r="X92" s="25"/>
      <c r="Y92" s="25"/>
      <c r="Z92" s="27"/>
      <c r="AA92" s="25"/>
      <c r="AB92" s="25"/>
      <c r="AC92" s="25"/>
      <c r="AD92" s="26"/>
      <c r="AE92" s="25"/>
      <c r="AF92" s="26"/>
      <c r="AG92" s="27"/>
      <c r="AH92" s="27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</row>
    <row r="93" hidden="1">
      <c r="A93" s="6">
        <v>45786.574428611115</v>
      </c>
      <c r="B93" s="7" t="s">
        <v>1705</v>
      </c>
      <c r="C93" s="7" t="s">
        <v>893</v>
      </c>
      <c r="D93" s="8" t="s">
        <v>1706</v>
      </c>
      <c r="E93" s="7" t="s">
        <v>895</v>
      </c>
      <c r="F93" s="7" t="s">
        <v>896</v>
      </c>
      <c r="G93" s="9" t="s">
        <v>76</v>
      </c>
      <c r="H93" s="7" t="s">
        <v>101</v>
      </c>
      <c r="I93" s="7" t="s">
        <v>102</v>
      </c>
      <c r="J93" s="8" t="s">
        <v>1707</v>
      </c>
      <c r="K93" s="10" t="s">
        <v>898</v>
      </c>
      <c r="L93" s="7" t="s">
        <v>899</v>
      </c>
      <c r="M93" s="7" t="s">
        <v>49</v>
      </c>
      <c r="N93" s="7" t="s">
        <v>896</v>
      </c>
      <c r="O93" s="8" t="s">
        <v>900</v>
      </c>
      <c r="P93" s="8">
        <v>1.1122027E7</v>
      </c>
      <c r="Q93" s="11" t="s">
        <v>1708</v>
      </c>
      <c r="R93" s="11" t="s">
        <v>1709</v>
      </c>
      <c r="S93" s="7" t="s">
        <v>54</v>
      </c>
      <c r="T93" s="7" t="s">
        <v>55</v>
      </c>
      <c r="U93" s="7" t="s">
        <v>54</v>
      </c>
      <c r="V93" s="7" t="s">
        <v>55</v>
      </c>
      <c r="W93" s="11" t="s">
        <v>1710</v>
      </c>
      <c r="X93" s="7" t="s">
        <v>57</v>
      </c>
      <c r="Y93" s="7" t="s">
        <v>1711</v>
      </c>
      <c r="Z93" s="9" t="s">
        <v>905</v>
      </c>
      <c r="AA93" s="7" t="s">
        <v>354</v>
      </c>
      <c r="AB93" s="7" t="s">
        <v>1712</v>
      </c>
      <c r="AC93" s="7" t="s">
        <v>896</v>
      </c>
      <c r="AD93" s="8" t="s">
        <v>1713</v>
      </c>
      <c r="AE93" s="7" t="s">
        <v>1705</v>
      </c>
      <c r="AF93" s="8" t="s">
        <v>1706</v>
      </c>
      <c r="AG93" s="9" t="s">
        <v>64</v>
      </c>
      <c r="AH93" s="9">
        <v>2.0</v>
      </c>
      <c r="AI93" s="7" t="s">
        <v>1714</v>
      </c>
      <c r="AJ93" s="7" t="s">
        <v>1715</v>
      </c>
      <c r="AK93" s="7" t="s">
        <v>1716</v>
      </c>
      <c r="AL93" s="7" t="s">
        <v>1706</v>
      </c>
      <c r="AM93" s="7" t="s">
        <v>117</v>
      </c>
      <c r="AN93" s="7" t="s">
        <v>55</v>
      </c>
      <c r="AO93" s="7" t="s">
        <v>70</v>
      </c>
      <c r="AP93" s="13"/>
      <c r="AQ93" s="13"/>
      <c r="AR93" s="13"/>
      <c r="AS93" s="13"/>
      <c r="AT93" s="13"/>
      <c r="AU93" s="13"/>
    </row>
    <row r="94" hidden="1">
      <c r="A94" s="6">
        <v>45786.58110435185</v>
      </c>
      <c r="B94" s="7" t="s">
        <v>1717</v>
      </c>
      <c r="C94" s="7" t="s">
        <v>1718</v>
      </c>
      <c r="D94" s="10" t="s">
        <v>1719</v>
      </c>
      <c r="E94" s="7" t="s">
        <v>1720</v>
      </c>
      <c r="F94" s="7" t="s">
        <v>1721</v>
      </c>
      <c r="G94" s="9" t="s">
        <v>44</v>
      </c>
      <c r="H94" s="7" t="s">
        <v>45</v>
      </c>
      <c r="I94" s="7" t="s">
        <v>141</v>
      </c>
      <c r="J94" s="8">
        <v>2.0032007E7</v>
      </c>
      <c r="K94" s="10" t="s">
        <v>1719</v>
      </c>
      <c r="L94" s="7" t="s">
        <v>1720</v>
      </c>
      <c r="M94" s="7" t="s">
        <v>49</v>
      </c>
      <c r="N94" s="7" t="s">
        <v>1721</v>
      </c>
      <c r="O94" s="8" t="s">
        <v>1722</v>
      </c>
      <c r="P94" s="8">
        <v>1.2042028E7</v>
      </c>
      <c r="Q94" s="11" t="s">
        <v>1723</v>
      </c>
      <c r="R94" s="11" t="s">
        <v>1724</v>
      </c>
      <c r="S94" s="14" t="s">
        <v>573</v>
      </c>
      <c r="T94" s="14" t="s">
        <v>1725</v>
      </c>
      <c r="U94" s="14" t="s">
        <v>54</v>
      </c>
      <c r="V94" s="14" t="s">
        <v>1726</v>
      </c>
      <c r="W94" s="11" t="s">
        <v>1727</v>
      </c>
      <c r="X94" s="7" t="s">
        <v>57</v>
      </c>
      <c r="Y94" s="7" t="s">
        <v>1721</v>
      </c>
      <c r="Z94" s="9" t="s">
        <v>1728</v>
      </c>
      <c r="AA94" s="7" t="s">
        <v>1729</v>
      </c>
      <c r="AB94" s="7" t="s">
        <v>1730</v>
      </c>
      <c r="AC94" s="7" t="s">
        <v>1721</v>
      </c>
      <c r="AD94" s="10" t="s">
        <v>1719</v>
      </c>
      <c r="AE94" s="7" t="s">
        <v>1731</v>
      </c>
      <c r="AF94" s="8">
        <v>9.999999999E9</v>
      </c>
      <c r="AG94" s="17" t="s">
        <v>260</v>
      </c>
      <c r="AH94" s="18"/>
      <c r="AI94" s="13"/>
      <c r="AJ94" s="13"/>
      <c r="AK94" s="13"/>
      <c r="AL94" s="19" t="s">
        <v>1732</v>
      </c>
      <c r="AM94" s="7" t="s">
        <v>69</v>
      </c>
      <c r="AN94" s="7" t="s">
        <v>1004</v>
      </c>
      <c r="AO94" s="7" t="s">
        <v>70</v>
      </c>
      <c r="AP94" s="13"/>
      <c r="AQ94" s="13"/>
      <c r="AR94" s="13"/>
      <c r="AS94" s="13"/>
      <c r="AT94" s="13"/>
      <c r="AU94" s="13"/>
    </row>
    <row r="95" hidden="1">
      <c r="A95" s="6">
        <v>45786.588665347226</v>
      </c>
      <c r="B95" s="7" t="s">
        <v>1733</v>
      </c>
      <c r="C95" s="7" t="s">
        <v>893</v>
      </c>
      <c r="D95" s="10" t="s">
        <v>1734</v>
      </c>
      <c r="E95" s="7" t="s">
        <v>1735</v>
      </c>
      <c r="F95" s="7" t="s">
        <v>1736</v>
      </c>
      <c r="G95" s="9" t="s">
        <v>44</v>
      </c>
      <c r="H95" s="7" t="s">
        <v>45</v>
      </c>
      <c r="I95" s="7" t="s">
        <v>78</v>
      </c>
      <c r="J95" s="10" t="s">
        <v>1737</v>
      </c>
      <c r="K95" s="8" t="s">
        <v>1738</v>
      </c>
      <c r="L95" s="7" t="s">
        <v>1735</v>
      </c>
      <c r="M95" s="7" t="s">
        <v>49</v>
      </c>
      <c r="N95" s="7" t="s">
        <v>1736</v>
      </c>
      <c r="O95" s="8" t="s">
        <v>1739</v>
      </c>
      <c r="P95" s="10" t="s">
        <v>1740</v>
      </c>
      <c r="Q95" s="20" t="s">
        <v>1741</v>
      </c>
      <c r="R95" s="11" t="s">
        <v>1742</v>
      </c>
      <c r="S95" s="7" t="s">
        <v>54</v>
      </c>
      <c r="T95" s="7" t="s">
        <v>55</v>
      </c>
      <c r="U95" s="7" t="s">
        <v>54</v>
      </c>
      <c r="V95" s="7" t="s">
        <v>55</v>
      </c>
      <c r="W95" s="11" t="s">
        <v>1743</v>
      </c>
      <c r="X95" s="7" t="s">
        <v>57</v>
      </c>
      <c r="Y95" s="7" t="s">
        <v>1736</v>
      </c>
      <c r="Z95" s="9" t="s">
        <v>1744</v>
      </c>
      <c r="AA95" s="7" t="s">
        <v>1745</v>
      </c>
      <c r="AB95" s="7" t="s">
        <v>1746</v>
      </c>
      <c r="AC95" s="7" t="s">
        <v>1736</v>
      </c>
      <c r="AD95" s="8" t="s">
        <v>1738</v>
      </c>
      <c r="AE95" s="7" t="s">
        <v>1747</v>
      </c>
      <c r="AF95" s="10" t="s">
        <v>1734</v>
      </c>
      <c r="AG95" s="17" t="s">
        <v>260</v>
      </c>
      <c r="AH95" s="18"/>
      <c r="AI95" s="13"/>
      <c r="AJ95" s="13"/>
      <c r="AK95" s="13"/>
      <c r="AL95" s="7" t="s">
        <v>1748</v>
      </c>
      <c r="AM95" s="7" t="s">
        <v>117</v>
      </c>
      <c r="AN95" s="7" t="s">
        <v>55</v>
      </c>
      <c r="AO95" s="7" t="s">
        <v>70</v>
      </c>
      <c r="AP95" s="13"/>
      <c r="AQ95" s="13"/>
      <c r="AR95" s="13"/>
      <c r="AS95" s="13"/>
      <c r="AT95" s="13"/>
      <c r="AU95" s="13"/>
    </row>
    <row r="96" hidden="1">
      <c r="A96" s="6">
        <v>45786.59886666667</v>
      </c>
      <c r="B96" s="7" t="s">
        <v>1749</v>
      </c>
      <c r="C96" s="7" t="s">
        <v>1750</v>
      </c>
      <c r="D96" s="10" t="s">
        <v>1751</v>
      </c>
      <c r="E96" s="7" t="s">
        <v>1752</v>
      </c>
      <c r="F96" s="7" t="s">
        <v>1753</v>
      </c>
      <c r="G96" s="9" t="s">
        <v>76</v>
      </c>
      <c r="H96" s="7" t="s">
        <v>45</v>
      </c>
      <c r="I96" s="7" t="s">
        <v>102</v>
      </c>
      <c r="J96" s="8" t="s">
        <v>1754</v>
      </c>
      <c r="K96" s="8">
        <v>1.23325142E8</v>
      </c>
      <c r="L96" s="7" t="s">
        <v>1755</v>
      </c>
      <c r="M96" s="7" t="s">
        <v>49</v>
      </c>
      <c r="N96" s="7" t="s">
        <v>1756</v>
      </c>
      <c r="O96" s="8" t="s">
        <v>1757</v>
      </c>
      <c r="P96" s="10" t="s">
        <v>1758</v>
      </c>
      <c r="Q96" s="11" t="s">
        <v>1759</v>
      </c>
      <c r="R96" s="11" t="s">
        <v>1760</v>
      </c>
      <c r="S96" s="7" t="s">
        <v>54</v>
      </c>
      <c r="T96" s="7" t="s">
        <v>194</v>
      </c>
      <c r="U96" s="7" t="s">
        <v>54</v>
      </c>
      <c r="V96" s="7" t="s">
        <v>194</v>
      </c>
      <c r="W96" s="11" t="s">
        <v>1761</v>
      </c>
      <c r="X96" s="7" t="s">
        <v>57</v>
      </c>
      <c r="Y96" s="7" t="s">
        <v>1756</v>
      </c>
      <c r="Z96" s="12" t="s">
        <v>1762</v>
      </c>
      <c r="AA96" s="7" t="s">
        <v>1763</v>
      </c>
      <c r="AB96" s="7" t="s">
        <v>1764</v>
      </c>
      <c r="AC96" s="7" t="s">
        <v>1756</v>
      </c>
      <c r="AD96" s="10" t="s">
        <v>1765</v>
      </c>
      <c r="AE96" s="7" t="s">
        <v>1766</v>
      </c>
      <c r="AF96" s="10" t="s">
        <v>1751</v>
      </c>
      <c r="AG96" s="17" t="s">
        <v>260</v>
      </c>
      <c r="AH96" s="18"/>
      <c r="AI96" s="13"/>
      <c r="AJ96" s="13"/>
      <c r="AK96" s="13"/>
      <c r="AL96" s="19" t="s">
        <v>1751</v>
      </c>
      <c r="AM96" s="7" t="s">
        <v>1525</v>
      </c>
      <c r="AN96" s="7" t="s">
        <v>54</v>
      </c>
      <c r="AO96" s="7" t="s">
        <v>70</v>
      </c>
      <c r="AP96" s="13"/>
      <c r="AQ96" s="13"/>
      <c r="AR96" s="13"/>
      <c r="AS96" s="13"/>
      <c r="AT96" s="13"/>
      <c r="AU96" s="13"/>
    </row>
    <row r="97" hidden="1">
      <c r="A97" s="21">
        <v>45786.62055648148</v>
      </c>
      <c r="B97" s="22" t="s">
        <v>317</v>
      </c>
      <c r="C97" s="22" t="s">
        <v>318</v>
      </c>
      <c r="D97" s="23" t="s">
        <v>1767</v>
      </c>
      <c r="E97" s="22" t="s">
        <v>320</v>
      </c>
      <c r="F97" s="22" t="s">
        <v>1768</v>
      </c>
      <c r="G97" s="24" t="s">
        <v>44</v>
      </c>
      <c r="H97" s="22" t="s">
        <v>101</v>
      </c>
      <c r="I97" s="22" t="s">
        <v>78</v>
      </c>
      <c r="J97" s="23" t="s">
        <v>1769</v>
      </c>
      <c r="K97" s="23" t="s">
        <v>1770</v>
      </c>
      <c r="L97" s="22" t="s">
        <v>320</v>
      </c>
      <c r="M97" s="22" t="s">
        <v>1072</v>
      </c>
      <c r="N97" s="25"/>
      <c r="O97" s="26"/>
      <c r="P97" s="26"/>
      <c r="Q97" s="25"/>
      <c r="R97" s="25"/>
      <c r="S97" s="25"/>
      <c r="T97" s="25"/>
      <c r="U97" s="25"/>
      <c r="V97" s="25"/>
      <c r="W97" s="25"/>
      <c r="X97" s="25"/>
      <c r="Y97" s="25"/>
      <c r="Z97" s="27"/>
      <c r="AA97" s="25"/>
      <c r="AB97" s="25"/>
      <c r="AC97" s="25"/>
      <c r="AD97" s="26"/>
      <c r="AE97" s="25"/>
      <c r="AF97" s="26"/>
      <c r="AG97" s="27"/>
      <c r="AH97" s="27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</row>
    <row r="98" hidden="1">
      <c r="A98" s="6">
        <v>45786.64409878472</v>
      </c>
      <c r="B98" s="7" t="s">
        <v>1771</v>
      </c>
      <c r="C98" s="7" t="s">
        <v>769</v>
      </c>
      <c r="D98" s="10" t="s">
        <v>1772</v>
      </c>
      <c r="E98" s="7" t="s">
        <v>1773</v>
      </c>
      <c r="F98" s="7" t="s">
        <v>1774</v>
      </c>
      <c r="G98" s="9" t="s">
        <v>76</v>
      </c>
      <c r="H98" s="7" t="s">
        <v>45</v>
      </c>
      <c r="I98" s="7" t="s">
        <v>322</v>
      </c>
      <c r="J98" s="8" t="s">
        <v>1775</v>
      </c>
      <c r="K98" s="10" t="s">
        <v>1776</v>
      </c>
      <c r="L98" s="7" t="s">
        <v>1777</v>
      </c>
      <c r="M98" s="7" t="s">
        <v>49</v>
      </c>
      <c r="N98" s="7" t="s">
        <v>1774</v>
      </c>
      <c r="O98" s="8" t="s">
        <v>1778</v>
      </c>
      <c r="P98" s="10" t="s">
        <v>1779</v>
      </c>
      <c r="Q98" s="11" t="s">
        <v>1780</v>
      </c>
      <c r="R98" s="11" t="s">
        <v>1781</v>
      </c>
      <c r="S98" s="7" t="s">
        <v>54</v>
      </c>
      <c r="T98" s="7" t="s">
        <v>55</v>
      </c>
      <c r="U98" s="7" t="s">
        <v>54</v>
      </c>
      <c r="V98" s="7" t="s">
        <v>55</v>
      </c>
      <c r="W98" s="11" t="s">
        <v>1782</v>
      </c>
      <c r="X98" s="7" t="s">
        <v>57</v>
      </c>
      <c r="Y98" s="7" t="s">
        <v>1783</v>
      </c>
      <c r="Z98" s="9" t="s">
        <v>1784</v>
      </c>
      <c r="AA98" s="7" t="s">
        <v>1785</v>
      </c>
      <c r="AB98" s="7" t="s">
        <v>1786</v>
      </c>
      <c r="AC98" s="7" t="s">
        <v>1783</v>
      </c>
      <c r="AD98" s="10" t="s">
        <v>1776</v>
      </c>
      <c r="AE98" s="7" t="s">
        <v>1787</v>
      </c>
      <c r="AF98" s="10" t="s">
        <v>1772</v>
      </c>
      <c r="AG98" s="17" t="s">
        <v>260</v>
      </c>
      <c r="AH98" s="18"/>
      <c r="AI98" s="13"/>
      <c r="AJ98" s="13"/>
      <c r="AK98" s="13"/>
      <c r="AL98" s="7" t="s">
        <v>1788</v>
      </c>
      <c r="AM98" s="7" t="s">
        <v>501</v>
      </c>
      <c r="AN98" s="7" t="s">
        <v>55</v>
      </c>
      <c r="AO98" s="7" t="s">
        <v>70</v>
      </c>
      <c r="AP98" s="13"/>
      <c r="AQ98" s="13"/>
      <c r="AR98" s="13"/>
      <c r="AS98" s="13"/>
      <c r="AT98" s="13"/>
      <c r="AU98" s="13"/>
    </row>
    <row r="99" hidden="1">
      <c r="A99" s="6">
        <v>45786.646414710645</v>
      </c>
      <c r="B99" s="7" t="s">
        <v>1789</v>
      </c>
      <c r="C99" s="7" t="s">
        <v>1790</v>
      </c>
      <c r="D99" s="10" t="s">
        <v>1791</v>
      </c>
      <c r="E99" s="7" t="s">
        <v>1792</v>
      </c>
      <c r="F99" s="7" t="s">
        <v>1793</v>
      </c>
      <c r="G99" s="9" t="s">
        <v>76</v>
      </c>
      <c r="H99" s="7" t="s">
        <v>45</v>
      </c>
      <c r="I99" s="7" t="s">
        <v>78</v>
      </c>
      <c r="J99" s="10" t="s">
        <v>1794</v>
      </c>
      <c r="K99" s="8" t="s">
        <v>1795</v>
      </c>
      <c r="L99" s="7" t="s">
        <v>1796</v>
      </c>
      <c r="M99" s="7" t="s">
        <v>49</v>
      </c>
      <c r="N99" s="7" t="s">
        <v>1797</v>
      </c>
      <c r="O99" s="8" t="s">
        <v>1798</v>
      </c>
      <c r="P99" s="8" t="s">
        <v>1799</v>
      </c>
      <c r="Q99" s="11" t="s">
        <v>1800</v>
      </c>
      <c r="R99" s="11" t="s">
        <v>1801</v>
      </c>
      <c r="S99" s="7" t="s">
        <v>54</v>
      </c>
      <c r="T99" s="7" t="s">
        <v>55</v>
      </c>
      <c r="U99" s="7" t="s">
        <v>54</v>
      </c>
      <c r="V99" s="7" t="s">
        <v>55</v>
      </c>
      <c r="W99" s="11" t="s">
        <v>1802</v>
      </c>
      <c r="X99" s="14" t="s">
        <v>194</v>
      </c>
      <c r="Y99" s="15"/>
      <c r="Z99" s="16"/>
      <c r="AA99" s="13"/>
      <c r="AB99" s="13"/>
      <c r="AC99" s="7" t="s">
        <v>1793</v>
      </c>
      <c r="AD99" s="8" t="s">
        <v>1795</v>
      </c>
      <c r="AE99" s="7" t="s">
        <v>1337</v>
      </c>
      <c r="AF99" s="8">
        <v>9.999999999E9</v>
      </c>
      <c r="AG99" s="9" t="s">
        <v>64</v>
      </c>
      <c r="AH99" s="9">
        <v>2.0</v>
      </c>
      <c r="AI99" s="7" t="s">
        <v>1803</v>
      </c>
      <c r="AJ99" s="7" t="s">
        <v>299</v>
      </c>
      <c r="AK99" s="7" t="s">
        <v>1804</v>
      </c>
      <c r="AL99" s="7" t="s">
        <v>1805</v>
      </c>
      <c r="AM99" s="7" t="s">
        <v>117</v>
      </c>
      <c r="AN99" s="7" t="s">
        <v>55</v>
      </c>
      <c r="AO99" s="7" t="s">
        <v>70</v>
      </c>
      <c r="AP99" s="13"/>
      <c r="AQ99" s="13"/>
      <c r="AR99" s="13"/>
      <c r="AS99" s="13"/>
      <c r="AT99" s="13"/>
      <c r="AU99" s="13"/>
    </row>
    <row r="100" hidden="1">
      <c r="A100" s="6">
        <v>45786.66246990741</v>
      </c>
      <c r="B100" s="7" t="s">
        <v>1806</v>
      </c>
      <c r="C100" s="7" t="s">
        <v>1807</v>
      </c>
      <c r="D100" s="10" t="s">
        <v>1808</v>
      </c>
      <c r="E100" s="7" t="s">
        <v>1809</v>
      </c>
      <c r="F100" s="7" t="s">
        <v>1810</v>
      </c>
      <c r="G100" s="9" t="s">
        <v>76</v>
      </c>
      <c r="H100" s="7" t="s">
        <v>45</v>
      </c>
      <c r="I100" s="7" t="s">
        <v>102</v>
      </c>
      <c r="J100" s="8">
        <v>2.1032008E7</v>
      </c>
      <c r="K100" s="10" t="s">
        <v>1808</v>
      </c>
      <c r="L100" s="7" t="s">
        <v>1809</v>
      </c>
      <c r="M100" s="7" t="s">
        <v>49</v>
      </c>
      <c r="N100" s="7" t="s">
        <v>1811</v>
      </c>
      <c r="O100" s="8" t="s">
        <v>1812</v>
      </c>
      <c r="P100" s="8">
        <v>2.1102028E7</v>
      </c>
      <c r="Q100" s="11" t="s">
        <v>1813</v>
      </c>
      <c r="R100" s="11" t="s">
        <v>1814</v>
      </c>
      <c r="S100" s="7" t="s">
        <v>54</v>
      </c>
      <c r="T100" s="7" t="s">
        <v>55</v>
      </c>
      <c r="U100" s="7" t="s">
        <v>54</v>
      </c>
      <c r="V100" s="7" t="s">
        <v>55</v>
      </c>
      <c r="W100" s="11" t="s">
        <v>1815</v>
      </c>
      <c r="X100" s="14" t="s">
        <v>194</v>
      </c>
      <c r="Y100" s="15"/>
      <c r="Z100" s="16"/>
      <c r="AA100" s="13"/>
      <c r="AB100" s="13"/>
      <c r="AC100" s="7" t="s">
        <v>1811</v>
      </c>
      <c r="AD100" s="10" t="s">
        <v>1816</v>
      </c>
      <c r="AE100" s="7" t="s">
        <v>1817</v>
      </c>
      <c r="AF100" s="10" t="s">
        <v>1808</v>
      </c>
      <c r="AG100" s="17" t="s">
        <v>260</v>
      </c>
      <c r="AH100" s="18"/>
      <c r="AI100" s="13"/>
      <c r="AJ100" s="13"/>
      <c r="AK100" s="13"/>
      <c r="AL100" s="7" t="s">
        <v>1817</v>
      </c>
      <c r="AM100" s="7" t="s">
        <v>69</v>
      </c>
      <c r="AN100" s="7" t="s">
        <v>55</v>
      </c>
      <c r="AO100" s="7" t="s">
        <v>70</v>
      </c>
      <c r="AP100" s="13"/>
      <c r="AQ100" s="13"/>
      <c r="AR100" s="13"/>
      <c r="AS100" s="13"/>
      <c r="AT100" s="13"/>
      <c r="AU100" s="13"/>
    </row>
    <row r="101" hidden="1">
      <c r="A101" s="6">
        <v>45786.67695418981</v>
      </c>
      <c r="B101" s="7" t="s">
        <v>364</v>
      </c>
      <c r="C101" s="7" t="s">
        <v>1818</v>
      </c>
      <c r="D101" s="8" t="s">
        <v>1819</v>
      </c>
      <c r="E101" s="7" t="s">
        <v>1820</v>
      </c>
      <c r="F101" s="7" t="s">
        <v>1821</v>
      </c>
      <c r="G101" s="9" t="s">
        <v>44</v>
      </c>
      <c r="H101" s="7" t="s">
        <v>45</v>
      </c>
      <c r="I101" s="7" t="s">
        <v>322</v>
      </c>
      <c r="J101" s="8" t="s">
        <v>1822</v>
      </c>
      <c r="K101" s="8" t="s">
        <v>1823</v>
      </c>
      <c r="L101" s="7" t="s">
        <v>1824</v>
      </c>
      <c r="M101" s="7" t="s">
        <v>49</v>
      </c>
      <c r="N101" s="7" t="s">
        <v>1825</v>
      </c>
      <c r="O101" s="8" t="s">
        <v>1826</v>
      </c>
      <c r="P101" s="10" t="s">
        <v>1827</v>
      </c>
      <c r="Q101" s="20" t="s">
        <v>1828</v>
      </c>
      <c r="R101" s="11" t="s">
        <v>1829</v>
      </c>
      <c r="S101" s="14" t="s">
        <v>54</v>
      </c>
      <c r="T101" s="14" t="s">
        <v>55</v>
      </c>
      <c r="U101" s="14" t="s">
        <v>1830</v>
      </c>
      <c r="V101" s="14" t="s">
        <v>55</v>
      </c>
      <c r="W101" s="11" t="s">
        <v>1831</v>
      </c>
      <c r="X101" s="7" t="s">
        <v>57</v>
      </c>
      <c r="Y101" s="7" t="s">
        <v>1821</v>
      </c>
      <c r="Z101" s="9" t="s">
        <v>1832</v>
      </c>
      <c r="AA101" s="7" t="s">
        <v>1833</v>
      </c>
      <c r="AB101" s="7" t="s">
        <v>1834</v>
      </c>
      <c r="AC101" s="7" t="s">
        <v>1821</v>
      </c>
      <c r="AD101" s="8" t="s">
        <v>1823</v>
      </c>
      <c r="AE101" s="7" t="s">
        <v>1835</v>
      </c>
      <c r="AF101" s="8" t="s">
        <v>1819</v>
      </c>
      <c r="AG101" s="17" t="s">
        <v>260</v>
      </c>
      <c r="AH101" s="18"/>
      <c r="AI101" s="13"/>
      <c r="AJ101" s="13"/>
      <c r="AK101" s="13"/>
      <c r="AL101" s="7" t="s">
        <v>1836</v>
      </c>
      <c r="AM101" s="7" t="s">
        <v>408</v>
      </c>
      <c r="AN101" s="7" t="s">
        <v>55</v>
      </c>
      <c r="AO101" s="7" t="s">
        <v>70</v>
      </c>
      <c r="AP101" s="13"/>
      <c r="AQ101" s="13"/>
      <c r="AR101" s="13"/>
      <c r="AS101" s="13"/>
      <c r="AT101" s="13"/>
      <c r="AU101" s="13"/>
    </row>
    <row r="102" hidden="1">
      <c r="A102" s="6">
        <v>45786.70642221065</v>
      </c>
      <c r="B102" s="7" t="s">
        <v>1837</v>
      </c>
      <c r="C102" s="7" t="s">
        <v>1838</v>
      </c>
      <c r="D102" s="10" t="s">
        <v>1839</v>
      </c>
      <c r="E102" s="7" t="s">
        <v>1840</v>
      </c>
      <c r="F102" s="7" t="s">
        <v>1841</v>
      </c>
      <c r="G102" s="9" t="s">
        <v>44</v>
      </c>
      <c r="H102" s="7" t="s">
        <v>101</v>
      </c>
      <c r="I102" s="7" t="s">
        <v>78</v>
      </c>
      <c r="J102" s="10" t="s">
        <v>1842</v>
      </c>
      <c r="K102" s="10" t="s">
        <v>1843</v>
      </c>
      <c r="L102" s="7" t="s">
        <v>1840</v>
      </c>
      <c r="M102" s="7" t="s">
        <v>49</v>
      </c>
      <c r="N102" s="7" t="s">
        <v>1841</v>
      </c>
      <c r="O102" s="8" t="s">
        <v>1844</v>
      </c>
      <c r="P102" s="10" t="s">
        <v>1845</v>
      </c>
      <c r="Q102" s="20" t="s">
        <v>1846</v>
      </c>
      <c r="R102" s="11" t="s">
        <v>1847</v>
      </c>
      <c r="S102" s="7" t="s">
        <v>54</v>
      </c>
      <c r="T102" s="7" t="s">
        <v>55</v>
      </c>
      <c r="U102" s="7" t="s">
        <v>54</v>
      </c>
      <c r="V102" s="7" t="s">
        <v>55</v>
      </c>
      <c r="W102" s="11" t="s">
        <v>1848</v>
      </c>
      <c r="X102" s="7" t="s">
        <v>57</v>
      </c>
      <c r="Y102" s="7" t="s">
        <v>1841</v>
      </c>
      <c r="Z102" s="9" t="s">
        <v>1849</v>
      </c>
      <c r="AA102" s="7" t="s">
        <v>1850</v>
      </c>
      <c r="AB102" s="7" t="s">
        <v>1851</v>
      </c>
      <c r="AC102" s="7" t="s">
        <v>1841</v>
      </c>
      <c r="AD102" s="10" t="s">
        <v>1843</v>
      </c>
      <c r="AE102" s="7" t="s">
        <v>1852</v>
      </c>
      <c r="AF102" s="10" t="s">
        <v>1839</v>
      </c>
      <c r="AG102" s="9" t="s">
        <v>64</v>
      </c>
      <c r="AH102" s="9">
        <v>4.0</v>
      </c>
      <c r="AI102" s="7" t="s">
        <v>1853</v>
      </c>
      <c r="AJ102" s="7" t="s">
        <v>179</v>
      </c>
      <c r="AK102" s="7">
        <v>2.4062025E7</v>
      </c>
      <c r="AL102" s="7" t="s">
        <v>1854</v>
      </c>
      <c r="AM102" s="7" t="s">
        <v>95</v>
      </c>
      <c r="AN102" s="7" t="s">
        <v>1855</v>
      </c>
      <c r="AO102" s="7" t="s">
        <v>70</v>
      </c>
      <c r="AP102" s="13"/>
      <c r="AQ102" s="13"/>
      <c r="AR102" s="13"/>
      <c r="AS102" s="13"/>
      <c r="AT102" s="13"/>
      <c r="AU102" s="13"/>
    </row>
    <row r="103" hidden="1">
      <c r="A103" s="6">
        <v>45786.7303330787</v>
      </c>
      <c r="B103" s="7" t="s">
        <v>1856</v>
      </c>
      <c r="C103" s="7" t="s">
        <v>364</v>
      </c>
      <c r="D103" s="8" t="s">
        <v>1857</v>
      </c>
      <c r="E103" s="7" t="s">
        <v>1858</v>
      </c>
      <c r="F103" s="7" t="s">
        <v>1859</v>
      </c>
      <c r="G103" s="9" t="s">
        <v>76</v>
      </c>
      <c r="H103" s="7" t="s">
        <v>45</v>
      </c>
      <c r="I103" s="7" t="s">
        <v>78</v>
      </c>
      <c r="J103" s="10" t="s">
        <v>1860</v>
      </c>
      <c r="K103" s="8" t="s">
        <v>1861</v>
      </c>
      <c r="L103" s="7" t="s">
        <v>1862</v>
      </c>
      <c r="M103" s="7" t="s">
        <v>49</v>
      </c>
      <c r="N103" s="7" t="s">
        <v>1859</v>
      </c>
      <c r="O103" s="8" t="s">
        <v>1863</v>
      </c>
      <c r="P103" s="8" t="s">
        <v>1864</v>
      </c>
      <c r="Q103" s="11" t="s">
        <v>1865</v>
      </c>
      <c r="R103" s="11" t="s">
        <v>1866</v>
      </c>
      <c r="S103" s="7" t="s">
        <v>54</v>
      </c>
      <c r="T103" s="7" t="s">
        <v>55</v>
      </c>
      <c r="U103" s="7" t="s">
        <v>54</v>
      </c>
      <c r="V103" s="7" t="s">
        <v>55</v>
      </c>
      <c r="W103" s="11" t="s">
        <v>1867</v>
      </c>
      <c r="X103" s="7" t="s">
        <v>57</v>
      </c>
      <c r="Y103" s="7" t="s">
        <v>1859</v>
      </c>
      <c r="Z103" s="9" t="s">
        <v>1868</v>
      </c>
      <c r="AA103" s="7" t="s">
        <v>1869</v>
      </c>
      <c r="AB103" s="7" t="s">
        <v>1870</v>
      </c>
      <c r="AC103" s="7" t="s">
        <v>1871</v>
      </c>
      <c r="AD103" s="8" t="s">
        <v>1872</v>
      </c>
      <c r="AE103" s="7" t="s">
        <v>1873</v>
      </c>
      <c r="AF103" s="8" t="s">
        <v>1857</v>
      </c>
      <c r="AG103" s="9" t="s">
        <v>64</v>
      </c>
      <c r="AH103" s="9">
        <v>2.0</v>
      </c>
      <c r="AI103" s="7" t="s">
        <v>1874</v>
      </c>
      <c r="AJ103" s="7" t="s">
        <v>1875</v>
      </c>
      <c r="AK103" s="7" t="s">
        <v>1876</v>
      </c>
      <c r="AL103" s="7" t="s">
        <v>1877</v>
      </c>
      <c r="AM103" s="7" t="s">
        <v>1525</v>
      </c>
      <c r="AN103" s="7" t="s">
        <v>55</v>
      </c>
      <c r="AO103" s="7" t="s">
        <v>70</v>
      </c>
      <c r="AP103" s="13"/>
      <c r="AQ103" s="13"/>
      <c r="AR103" s="13"/>
      <c r="AS103" s="13"/>
      <c r="AT103" s="13"/>
      <c r="AU103" s="13"/>
    </row>
    <row r="104" hidden="1">
      <c r="A104" s="6">
        <v>45786.73102957176</v>
      </c>
      <c r="B104" s="7" t="s">
        <v>1878</v>
      </c>
      <c r="C104" s="7" t="s">
        <v>1879</v>
      </c>
      <c r="D104" s="10" t="s">
        <v>1880</v>
      </c>
      <c r="E104" s="7" t="s">
        <v>1881</v>
      </c>
      <c r="F104" s="7" t="s">
        <v>1882</v>
      </c>
      <c r="G104" s="9" t="s">
        <v>44</v>
      </c>
      <c r="H104" s="7" t="s">
        <v>101</v>
      </c>
      <c r="I104" s="7" t="s">
        <v>78</v>
      </c>
      <c r="J104" s="8">
        <v>1.8012012E7</v>
      </c>
      <c r="K104" s="10" t="s">
        <v>1880</v>
      </c>
      <c r="L104" s="7" t="s">
        <v>1881</v>
      </c>
      <c r="M104" s="7" t="s">
        <v>49</v>
      </c>
      <c r="N104" s="7" t="s">
        <v>1882</v>
      </c>
      <c r="O104" s="8" t="s">
        <v>1883</v>
      </c>
      <c r="P104" s="10" t="s">
        <v>1884</v>
      </c>
      <c r="Q104" s="20" t="s">
        <v>1885</v>
      </c>
      <c r="R104" s="11" t="s">
        <v>1886</v>
      </c>
      <c r="S104" s="7" t="s">
        <v>54</v>
      </c>
      <c r="T104" s="7" t="s">
        <v>55</v>
      </c>
      <c r="U104" s="7" t="s">
        <v>54</v>
      </c>
      <c r="V104" s="7" t="s">
        <v>55</v>
      </c>
      <c r="W104" s="11" t="s">
        <v>1887</v>
      </c>
      <c r="X104" s="7" t="s">
        <v>57</v>
      </c>
      <c r="Y104" s="7" t="s">
        <v>1882</v>
      </c>
      <c r="Z104" s="9" t="s">
        <v>1888</v>
      </c>
      <c r="AA104" s="7" t="s">
        <v>949</v>
      </c>
      <c r="AB104" s="7" t="s">
        <v>1889</v>
      </c>
      <c r="AC104" s="7" t="s">
        <v>1882</v>
      </c>
      <c r="AD104" s="10" t="s">
        <v>1890</v>
      </c>
      <c r="AE104" s="7" t="s">
        <v>1891</v>
      </c>
      <c r="AF104" s="10" t="s">
        <v>1880</v>
      </c>
      <c r="AG104" s="17" t="s">
        <v>260</v>
      </c>
      <c r="AH104" s="18"/>
      <c r="AI104" s="13"/>
      <c r="AJ104" s="13"/>
      <c r="AK104" s="13"/>
      <c r="AL104" s="7" t="s">
        <v>1892</v>
      </c>
      <c r="AM104" s="7" t="s">
        <v>1893</v>
      </c>
      <c r="AN104" s="7" t="s">
        <v>55</v>
      </c>
      <c r="AO104" s="7" t="s">
        <v>70</v>
      </c>
      <c r="AP104" s="13"/>
      <c r="AQ104" s="13"/>
      <c r="AR104" s="13"/>
      <c r="AS104" s="13"/>
      <c r="AT104" s="13"/>
      <c r="AU104" s="13"/>
    </row>
    <row r="105" hidden="1">
      <c r="A105" s="6">
        <v>45786.75168422454</v>
      </c>
      <c r="B105" s="7" t="s">
        <v>1894</v>
      </c>
      <c r="C105" s="7" t="s">
        <v>1895</v>
      </c>
      <c r="D105" s="8" t="s">
        <v>1896</v>
      </c>
      <c r="E105" s="7" t="s">
        <v>1897</v>
      </c>
      <c r="F105" s="7" t="s">
        <v>1898</v>
      </c>
      <c r="G105" s="9" t="s">
        <v>76</v>
      </c>
      <c r="H105" s="7" t="s">
        <v>101</v>
      </c>
      <c r="I105" s="7" t="s">
        <v>78</v>
      </c>
      <c r="J105" s="8">
        <v>2.5092012E7</v>
      </c>
      <c r="K105" s="8" t="s">
        <v>1899</v>
      </c>
      <c r="L105" s="7" t="s">
        <v>1897</v>
      </c>
      <c r="M105" s="7" t="s">
        <v>49</v>
      </c>
      <c r="N105" s="7" t="s">
        <v>1900</v>
      </c>
      <c r="O105" s="8" t="s">
        <v>1901</v>
      </c>
      <c r="P105" s="8" t="s">
        <v>1902</v>
      </c>
      <c r="Q105" s="11" t="s">
        <v>1903</v>
      </c>
      <c r="R105" s="11" t="s">
        <v>1904</v>
      </c>
      <c r="S105" s="14" t="s">
        <v>573</v>
      </c>
      <c r="T105" s="14" t="s">
        <v>1905</v>
      </c>
      <c r="U105" s="14" t="s">
        <v>54</v>
      </c>
      <c r="V105" s="14" t="s">
        <v>55</v>
      </c>
      <c r="W105" s="11" t="s">
        <v>1906</v>
      </c>
      <c r="X105" s="7" t="s">
        <v>57</v>
      </c>
      <c r="Y105" s="7" t="s">
        <v>1907</v>
      </c>
      <c r="Z105" s="9" t="s">
        <v>1908</v>
      </c>
      <c r="AA105" s="7" t="s">
        <v>1909</v>
      </c>
      <c r="AB105" s="7" t="s">
        <v>1910</v>
      </c>
      <c r="AC105" s="7" t="s">
        <v>1900</v>
      </c>
      <c r="AD105" s="8" t="s">
        <v>1899</v>
      </c>
      <c r="AE105" s="7" t="s">
        <v>1911</v>
      </c>
      <c r="AF105" s="8" t="s">
        <v>1896</v>
      </c>
      <c r="AG105" s="9" t="s">
        <v>64</v>
      </c>
      <c r="AH105" s="9">
        <v>5.0</v>
      </c>
      <c r="AI105" s="7" t="s">
        <v>1912</v>
      </c>
      <c r="AJ105" s="7" t="s">
        <v>1913</v>
      </c>
      <c r="AK105" s="7" t="s">
        <v>1914</v>
      </c>
      <c r="AL105" s="7" t="s">
        <v>1915</v>
      </c>
      <c r="AM105" s="7" t="s">
        <v>408</v>
      </c>
      <c r="AN105" s="7" t="s">
        <v>1916</v>
      </c>
      <c r="AO105" s="7" t="s">
        <v>70</v>
      </c>
      <c r="AP105" s="13"/>
      <c r="AQ105" s="13"/>
      <c r="AR105" s="13"/>
      <c r="AS105" s="13"/>
      <c r="AT105" s="13"/>
      <c r="AU105" s="13"/>
    </row>
    <row r="106" hidden="1">
      <c r="A106" s="21">
        <v>45786.76622322916</v>
      </c>
      <c r="B106" s="22" t="s">
        <v>1917</v>
      </c>
      <c r="C106" s="22" t="s">
        <v>1918</v>
      </c>
      <c r="D106" s="28" t="s">
        <v>1919</v>
      </c>
      <c r="E106" s="22" t="s">
        <v>1920</v>
      </c>
      <c r="F106" s="22" t="s">
        <v>1917</v>
      </c>
      <c r="G106" s="24" t="s">
        <v>76</v>
      </c>
      <c r="H106" s="22" t="s">
        <v>77</v>
      </c>
      <c r="I106" s="22" t="s">
        <v>78</v>
      </c>
      <c r="J106" s="28">
        <v>1.3122011E7</v>
      </c>
      <c r="K106" s="28">
        <v>6.0194529872E10</v>
      </c>
      <c r="L106" s="22" t="s">
        <v>1920</v>
      </c>
      <c r="M106" s="22" t="s">
        <v>1072</v>
      </c>
      <c r="N106" s="25"/>
      <c r="O106" s="26"/>
      <c r="P106" s="26"/>
      <c r="Q106" s="25"/>
      <c r="R106" s="25"/>
      <c r="S106" s="25"/>
      <c r="T106" s="25"/>
      <c r="U106" s="25"/>
      <c r="V106" s="25"/>
      <c r="W106" s="25"/>
      <c r="X106" s="25"/>
      <c r="Y106" s="25"/>
      <c r="Z106" s="27"/>
      <c r="AA106" s="25"/>
      <c r="AB106" s="25"/>
      <c r="AC106" s="25"/>
      <c r="AD106" s="26"/>
      <c r="AE106" s="25"/>
      <c r="AF106" s="26"/>
      <c r="AG106" s="27"/>
      <c r="AH106" s="27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</row>
    <row r="107" hidden="1">
      <c r="A107" s="6">
        <v>45786.79270016204</v>
      </c>
      <c r="B107" s="7" t="s">
        <v>1921</v>
      </c>
      <c r="C107" s="7" t="s">
        <v>1922</v>
      </c>
      <c r="D107" s="10" t="s">
        <v>1923</v>
      </c>
      <c r="E107" s="7" t="s">
        <v>1924</v>
      </c>
      <c r="F107" s="7" t="s">
        <v>1925</v>
      </c>
      <c r="G107" s="9" t="s">
        <v>44</v>
      </c>
      <c r="H107" s="7" t="s">
        <v>101</v>
      </c>
      <c r="I107" s="7" t="s">
        <v>102</v>
      </c>
      <c r="J107" s="8">
        <v>1.3042012E7</v>
      </c>
      <c r="K107" s="10" t="s">
        <v>1923</v>
      </c>
      <c r="L107" s="7" t="s">
        <v>1924</v>
      </c>
      <c r="M107" s="7" t="s">
        <v>49</v>
      </c>
      <c r="N107" s="7" t="s">
        <v>1926</v>
      </c>
      <c r="O107" s="8" t="s">
        <v>1927</v>
      </c>
      <c r="P107" s="10" t="s">
        <v>1928</v>
      </c>
      <c r="Q107" s="11" t="s">
        <v>1929</v>
      </c>
      <c r="R107" s="11" t="s">
        <v>1930</v>
      </c>
      <c r="S107" s="7" t="s">
        <v>54</v>
      </c>
      <c r="T107" s="7" t="s">
        <v>55</v>
      </c>
      <c r="U107" s="7" t="s">
        <v>54</v>
      </c>
      <c r="V107" s="7" t="s">
        <v>55</v>
      </c>
      <c r="W107" s="11" t="s">
        <v>1931</v>
      </c>
      <c r="X107" s="7" t="s">
        <v>57</v>
      </c>
      <c r="Y107" s="7" t="s">
        <v>1925</v>
      </c>
      <c r="Z107" s="9">
        <v>1.20413140666E11</v>
      </c>
      <c r="AA107" s="7" t="s">
        <v>1932</v>
      </c>
      <c r="AB107" s="7" t="s">
        <v>1933</v>
      </c>
      <c r="AC107" s="7" t="s">
        <v>1925</v>
      </c>
      <c r="AD107" s="10" t="s">
        <v>1934</v>
      </c>
      <c r="AE107" s="7" t="s">
        <v>1935</v>
      </c>
      <c r="AF107" s="10" t="s">
        <v>1923</v>
      </c>
      <c r="AG107" s="9" t="s">
        <v>64</v>
      </c>
      <c r="AH107" s="9">
        <v>2.0</v>
      </c>
      <c r="AI107" s="7" t="s">
        <v>1936</v>
      </c>
      <c r="AJ107" s="7" t="s">
        <v>1937</v>
      </c>
      <c r="AK107" s="7" t="s">
        <v>801</v>
      </c>
      <c r="AL107" s="7" t="s">
        <v>1935</v>
      </c>
      <c r="AM107" s="7" t="s">
        <v>117</v>
      </c>
      <c r="AN107" s="7" t="s">
        <v>55</v>
      </c>
      <c r="AO107" s="7" t="s">
        <v>70</v>
      </c>
      <c r="AP107" s="13"/>
      <c r="AQ107" s="13"/>
      <c r="AR107" s="13"/>
      <c r="AS107" s="13"/>
      <c r="AT107" s="13"/>
      <c r="AU107" s="13"/>
    </row>
    <row r="108" hidden="1">
      <c r="A108" s="21">
        <v>45786.80262966435</v>
      </c>
      <c r="B108" s="22" t="s">
        <v>1938</v>
      </c>
      <c r="C108" s="22" t="s">
        <v>460</v>
      </c>
      <c r="D108" s="28" t="s">
        <v>1939</v>
      </c>
      <c r="E108" s="22" t="s">
        <v>1940</v>
      </c>
      <c r="F108" s="22" t="s">
        <v>1941</v>
      </c>
      <c r="G108" s="24" t="s">
        <v>76</v>
      </c>
      <c r="H108" s="22" t="s">
        <v>45</v>
      </c>
      <c r="I108" s="22" t="s">
        <v>78</v>
      </c>
      <c r="J108" s="23" t="s">
        <v>1942</v>
      </c>
      <c r="K108" s="23" t="s">
        <v>1943</v>
      </c>
      <c r="L108" s="22" t="s">
        <v>1940</v>
      </c>
      <c r="M108" s="22" t="s">
        <v>1072</v>
      </c>
      <c r="N108" s="25"/>
      <c r="O108" s="26"/>
      <c r="P108" s="26"/>
      <c r="Q108" s="25"/>
      <c r="R108" s="25"/>
      <c r="S108" s="25"/>
      <c r="T108" s="25"/>
      <c r="U108" s="25"/>
      <c r="V108" s="25"/>
      <c r="W108" s="25"/>
      <c r="X108" s="25"/>
      <c r="Y108" s="25"/>
      <c r="Z108" s="27"/>
      <c r="AA108" s="25"/>
      <c r="AB108" s="25"/>
      <c r="AC108" s="25"/>
      <c r="AD108" s="26"/>
      <c r="AE108" s="25"/>
      <c r="AF108" s="26"/>
      <c r="AG108" s="27"/>
      <c r="AH108" s="27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</row>
    <row r="109" hidden="1">
      <c r="A109" s="21">
        <v>45786.81678421296</v>
      </c>
      <c r="B109" s="22" t="s">
        <v>1944</v>
      </c>
      <c r="C109" s="22" t="s">
        <v>1945</v>
      </c>
      <c r="D109" s="23" t="s">
        <v>1946</v>
      </c>
      <c r="E109" s="22" t="s">
        <v>1947</v>
      </c>
      <c r="F109" s="22" t="s">
        <v>1948</v>
      </c>
      <c r="G109" s="24" t="s">
        <v>44</v>
      </c>
      <c r="H109" s="22" t="s">
        <v>77</v>
      </c>
      <c r="I109" s="22" t="s">
        <v>141</v>
      </c>
      <c r="J109" s="28">
        <v>2.7042011E7</v>
      </c>
      <c r="K109" s="23" t="s">
        <v>1946</v>
      </c>
      <c r="L109" s="22" t="s">
        <v>1947</v>
      </c>
      <c r="M109" s="22" t="s">
        <v>1072</v>
      </c>
      <c r="N109" s="25"/>
      <c r="O109" s="26"/>
      <c r="P109" s="26"/>
      <c r="Q109" s="25"/>
      <c r="R109" s="25"/>
      <c r="S109" s="25"/>
      <c r="T109" s="25"/>
      <c r="U109" s="25"/>
      <c r="V109" s="25"/>
      <c r="W109" s="25"/>
      <c r="X109" s="25"/>
      <c r="Y109" s="25"/>
      <c r="Z109" s="27"/>
      <c r="AA109" s="25"/>
      <c r="AB109" s="25"/>
      <c r="AC109" s="25"/>
      <c r="AD109" s="26"/>
      <c r="AE109" s="25"/>
      <c r="AF109" s="26"/>
      <c r="AG109" s="27"/>
      <c r="AH109" s="27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</row>
    <row r="110">
      <c r="A110" s="6">
        <v>45786.82495659722</v>
      </c>
      <c r="B110" s="7" t="s">
        <v>1949</v>
      </c>
      <c r="C110" s="7" t="s">
        <v>1950</v>
      </c>
      <c r="D110" s="10" t="s">
        <v>1951</v>
      </c>
      <c r="E110" s="7" t="s">
        <v>1952</v>
      </c>
      <c r="F110" s="7" t="s">
        <v>1953</v>
      </c>
      <c r="G110" s="9" t="s">
        <v>76</v>
      </c>
      <c r="H110" s="7" t="s">
        <v>45</v>
      </c>
      <c r="I110" s="7" t="s">
        <v>141</v>
      </c>
      <c r="J110" s="8">
        <v>1.2122008E7</v>
      </c>
      <c r="K110" s="10" t="s">
        <v>1954</v>
      </c>
      <c r="L110" s="7" t="s">
        <v>1955</v>
      </c>
      <c r="M110" s="7" t="s">
        <v>49</v>
      </c>
      <c r="N110" s="7" t="s">
        <v>1953</v>
      </c>
      <c r="O110" s="8" t="s">
        <v>1956</v>
      </c>
      <c r="P110" s="8">
        <v>3.0072029E7</v>
      </c>
      <c r="Q110" s="11" t="s">
        <v>1957</v>
      </c>
      <c r="R110" s="11" t="s">
        <v>1958</v>
      </c>
      <c r="S110" s="7" t="s">
        <v>54</v>
      </c>
      <c r="T110" s="7" t="s">
        <v>55</v>
      </c>
      <c r="U110" s="7" t="s">
        <v>54</v>
      </c>
      <c r="V110" s="7" t="s">
        <v>55</v>
      </c>
      <c r="W110" s="11" t="s">
        <v>1959</v>
      </c>
      <c r="X110" s="7" t="s">
        <v>57</v>
      </c>
      <c r="Y110" s="7" t="s">
        <v>1953</v>
      </c>
      <c r="Z110" s="9" t="s">
        <v>1960</v>
      </c>
      <c r="AA110" s="7" t="s">
        <v>1961</v>
      </c>
      <c r="AB110" s="7" t="s">
        <v>1962</v>
      </c>
      <c r="AC110" s="7" t="s">
        <v>1953</v>
      </c>
      <c r="AD110" s="10" t="s">
        <v>1954</v>
      </c>
      <c r="AE110" s="7" t="s">
        <v>1963</v>
      </c>
      <c r="AF110" s="10" t="s">
        <v>1951</v>
      </c>
      <c r="AG110" s="9" t="s">
        <v>64</v>
      </c>
      <c r="AH110" s="9">
        <v>2.0</v>
      </c>
      <c r="AI110" s="7" t="s">
        <v>1964</v>
      </c>
      <c r="AJ110" s="7" t="s">
        <v>932</v>
      </c>
      <c r="AK110" s="7" t="s">
        <v>932</v>
      </c>
      <c r="AL110" s="7" t="s">
        <v>1965</v>
      </c>
      <c r="AM110" s="7" t="s">
        <v>501</v>
      </c>
      <c r="AN110" s="7" t="s">
        <v>55</v>
      </c>
      <c r="AO110" s="7" t="s">
        <v>70</v>
      </c>
      <c r="AP110" s="13"/>
      <c r="AQ110" s="13"/>
      <c r="AR110" s="13"/>
      <c r="AS110" s="13"/>
      <c r="AT110" s="13"/>
      <c r="AU110" s="13"/>
    </row>
    <row r="111" hidden="1">
      <c r="A111" s="6">
        <v>45786.83055730324</v>
      </c>
      <c r="B111" s="7" t="s">
        <v>1966</v>
      </c>
      <c r="C111" s="7" t="s">
        <v>1967</v>
      </c>
      <c r="D111" s="10" t="s">
        <v>1968</v>
      </c>
      <c r="E111" s="7" t="s">
        <v>1969</v>
      </c>
      <c r="F111" s="7" t="s">
        <v>1970</v>
      </c>
      <c r="G111" s="9" t="s">
        <v>44</v>
      </c>
      <c r="H111" s="7" t="s">
        <v>101</v>
      </c>
      <c r="I111" s="7" t="s">
        <v>78</v>
      </c>
      <c r="J111" s="8" t="s">
        <v>1971</v>
      </c>
      <c r="K111" s="10" t="s">
        <v>1972</v>
      </c>
      <c r="L111" s="7" t="s">
        <v>1969</v>
      </c>
      <c r="M111" s="7" t="s">
        <v>49</v>
      </c>
      <c r="N111" s="7" t="s">
        <v>1970</v>
      </c>
      <c r="O111" s="8" t="s">
        <v>1973</v>
      </c>
      <c r="P111" s="10" t="s">
        <v>1974</v>
      </c>
      <c r="Q111" s="11" t="s">
        <v>1975</v>
      </c>
      <c r="R111" s="11" t="s">
        <v>1976</v>
      </c>
      <c r="S111" s="7" t="s">
        <v>54</v>
      </c>
      <c r="T111" s="7" t="s">
        <v>55</v>
      </c>
      <c r="U111" s="7" t="s">
        <v>54</v>
      </c>
      <c r="V111" s="7" t="s">
        <v>55</v>
      </c>
      <c r="W111" s="11" t="s">
        <v>1977</v>
      </c>
      <c r="X111" s="7" t="s">
        <v>57</v>
      </c>
      <c r="Y111" s="7" t="s">
        <v>1970</v>
      </c>
      <c r="Z111" s="9" t="s">
        <v>1978</v>
      </c>
      <c r="AA111" s="7" t="s">
        <v>1979</v>
      </c>
      <c r="AB111" s="7" t="s">
        <v>1980</v>
      </c>
      <c r="AC111" s="7" t="s">
        <v>1970</v>
      </c>
      <c r="AD111" s="10" t="s">
        <v>1972</v>
      </c>
      <c r="AE111" s="7" t="s">
        <v>1981</v>
      </c>
      <c r="AF111" s="10" t="s">
        <v>1968</v>
      </c>
      <c r="AG111" s="17" t="s">
        <v>260</v>
      </c>
      <c r="AH111" s="18"/>
      <c r="AI111" s="13"/>
      <c r="AJ111" s="13"/>
      <c r="AK111" s="13"/>
      <c r="AL111" s="7" t="s">
        <v>1981</v>
      </c>
      <c r="AM111" s="7" t="s">
        <v>117</v>
      </c>
      <c r="AN111" s="7" t="s">
        <v>55</v>
      </c>
      <c r="AO111" s="7" t="s">
        <v>70</v>
      </c>
      <c r="AP111" s="13"/>
      <c r="AQ111" s="13"/>
      <c r="AR111" s="13"/>
      <c r="AS111" s="13"/>
      <c r="AT111" s="13"/>
      <c r="AU111" s="13"/>
    </row>
    <row r="112" hidden="1">
      <c r="A112" s="6">
        <v>45786.834402650464</v>
      </c>
      <c r="B112" s="7" t="s">
        <v>1982</v>
      </c>
      <c r="C112" s="7" t="s">
        <v>1983</v>
      </c>
      <c r="D112" s="10" t="s">
        <v>1984</v>
      </c>
      <c r="E112" s="7" t="s">
        <v>1985</v>
      </c>
      <c r="F112" s="7" t="s">
        <v>1986</v>
      </c>
      <c r="G112" s="9" t="s">
        <v>76</v>
      </c>
      <c r="H112" s="7" t="s">
        <v>101</v>
      </c>
      <c r="I112" s="7" t="s">
        <v>102</v>
      </c>
      <c r="J112" s="8">
        <v>1.6052012E7</v>
      </c>
      <c r="K112" s="10" t="s">
        <v>1984</v>
      </c>
      <c r="L112" s="7" t="s">
        <v>1987</v>
      </c>
      <c r="M112" s="7" t="s">
        <v>49</v>
      </c>
      <c r="N112" s="7" t="s">
        <v>1988</v>
      </c>
      <c r="O112" s="8" t="s">
        <v>1989</v>
      </c>
      <c r="P112" s="8">
        <v>2.0122027E7</v>
      </c>
      <c r="Q112" s="11" t="s">
        <v>1990</v>
      </c>
      <c r="R112" s="11" t="s">
        <v>1991</v>
      </c>
      <c r="S112" s="7" t="s">
        <v>54</v>
      </c>
      <c r="T112" s="7" t="s">
        <v>55</v>
      </c>
      <c r="U112" s="7" t="s">
        <v>54</v>
      </c>
      <c r="V112" s="7" t="s">
        <v>55</v>
      </c>
      <c r="W112" s="11" t="s">
        <v>1992</v>
      </c>
      <c r="X112" s="7" t="s">
        <v>57</v>
      </c>
      <c r="Y112" s="7" t="s">
        <v>1988</v>
      </c>
      <c r="Z112" s="9">
        <v>1.20516012333E11</v>
      </c>
      <c r="AA112" s="7" t="s">
        <v>1993</v>
      </c>
      <c r="AB112" s="7" t="s">
        <v>1994</v>
      </c>
      <c r="AC112" s="7" t="s">
        <v>1986</v>
      </c>
      <c r="AD112" s="10" t="s">
        <v>1984</v>
      </c>
      <c r="AE112" s="7" t="s">
        <v>1995</v>
      </c>
      <c r="AF112" s="10" t="s">
        <v>1984</v>
      </c>
      <c r="AG112" s="9" t="s">
        <v>64</v>
      </c>
      <c r="AH112" s="9">
        <v>2.0</v>
      </c>
      <c r="AI112" s="7" t="s">
        <v>1996</v>
      </c>
      <c r="AJ112" s="7" t="s">
        <v>1997</v>
      </c>
      <c r="AK112" s="7" t="s">
        <v>1998</v>
      </c>
      <c r="AL112" s="7" t="s">
        <v>1999</v>
      </c>
      <c r="AM112" s="7" t="s">
        <v>2000</v>
      </c>
      <c r="AN112" s="7" t="s">
        <v>55</v>
      </c>
      <c r="AO112" s="7" t="s">
        <v>70</v>
      </c>
      <c r="AP112" s="13"/>
      <c r="AQ112" s="13"/>
      <c r="AR112" s="13"/>
      <c r="AS112" s="13"/>
      <c r="AT112" s="13"/>
      <c r="AU112" s="13"/>
    </row>
    <row r="113" hidden="1">
      <c r="A113" s="6">
        <v>45786.83723391204</v>
      </c>
      <c r="B113" s="7" t="s">
        <v>2001</v>
      </c>
      <c r="C113" s="7" t="s">
        <v>2002</v>
      </c>
      <c r="D113" s="10" t="s">
        <v>2003</v>
      </c>
      <c r="E113" s="7" t="s">
        <v>2004</v>
      </c>
      <c r="F113" s="7" t="s">
        <v>2005</v>
      </c>
      <c r="G113" s="9" t="s">
        <v>76</v>
      </c>
      <c r="H113" s="7" t="s">
        <v>101</v>
      </c>
      <c r="I113" s="7" t="s">
        <v>141</v>
      </c>
      <c r="J113" s="8" t="s">
        <v>2006</v>
      </c>
      <c r="K113" s="10" t="s">
        <v>2007</v>
      </c>
      <c r="L113" s="7" t="s">
        <v>2004</v>
      </c>
      <c r="M113" s="7" t="s">
        <v>49</v>
      </c>
      <c r="N113" s="7" t="s">
        <v>2008</v>
      </c>
      <c r="O113" s="8" t="s">
        <v>2009</v>
      </c>
      <c r="P113" s="10" t="s">
        <v>2010</v>
      </c>
      <c r="Q113" s="11" t="s">
        <v>2011</v>
      </c>
      <c r="R113" s="11" t="s">
        <v>2012</v>
      </c>
      <c r="S113" s="7" t="s">
        <v>54</v>
      </c>
      <c r="T113" s="7" t="s">
        <v>55</v>
      </c>
      <c r="U113" s="7" t="s">
        <v>54</v>
      </c>
      <c r="V113" s="7" t="s">
        <v>55</v>
      </c>
      <c r="W113" s="11" t="s">
        <v>2013</v>
      </c>
      <c r="X113" s="7" t="s">
        <v>57</v>
      </c>
      <c r="Y113" s="7" t="s">
        <v>2014</v>
      </c>
      <c r="Z113" s="9" t="s">
        <v>2015</v>
      </c>
      <c r="AA113" s="7" t="s">
        <v>2016</v>
      </c>
      <c r="AB113" s="7" t="s">
        <v>2017</v>
      </c>
      <c r="AC113" s="7" t="s">
        <v>2018</v>
      </c>
      <c r="AD113" s="10" t="s">
        <v>2007</v>
      </c>
      <c r="AE113" s="7" t="s">
        <v>2019</v>
      </c>
      <c r="AF113" s="10" t="s">
        <v>2003</v>
      </c>
      <c r="AG113" s="9" t="s">
        <v>64</v>
      </c>
      <c r="AH113" s="9">
        <v>4.0</v>
      </c>
      <c r="AI113" s="7" t="s">
        <v>2020</v>
      </c>
      <c r="AJ113" s="7" t="s">
        <v>55</v>
      </c>
      <c r="AK113" s="7" t="s">
        <v>2021</v>
      </c>
      <c r="AL113" s="19" t="s">
        <v>2003</v>
      </c>
      <c r="AM113" s="7" t="s">
        <v>408</v>
      </c>
      <c r="AN113" s="7" t="s">
        <v>55</v>
      </c>
      <c r="AO113" s="7" t="s">
        <v>70</v>
      </c>
      <c r="AP113" s="13"/>
      <c r="AQ113" s="13"/>
      <c r="AR113" s="13"/>
      <c r="AS113" s="13"/>
      <c r="AT113" s="13"/>
      <c r="AU113" s="13"/>
    </row>
    <row r="114" hidden="1">
      <c r="A114" s="6">
        <v>45786.84072504629</v>
      </c>
      <c r="B114" s="7" t="s">
        <v>892</v>
      </c>
      <c r="C114" s="7" t="s">
        <v>2022</v>
      </c>
      <c r="D114" s="10" t="s">
        <v>2023</v>
      </c>
      <c r="E114" s="7" t="s">
        <v>2024</v>
      </c>
      <c r="F114" s="7" t="s">
        <v>2025</v>
      </c>
      <c r="G114" s="9" t="s">
        <v>44</v>
      </c>
      <c r="H114" s="7" t="s">
        <v>101</v>
      </c>
      <c r="I114" s="7" t="s">
        <v>78</v>
      </c>
      <c r="J114" s="8">
        <v>1.6072012E7</v>
      </c>
      <c r="K114" s="10" t="s">
        <v>2026</v>
      </c>
      <c r="L114" s="7" t="s">
        <v>2024</v>
      </c>
      <c r="M114" s="7" t="s">
        <v>49</v>
      </c>
      <c r="N114" s="7" t="s">
        <v>2025</v>
      </c>
      <c r="O114" s="8" t="s">
        <v>2027</v>
      </c>
      <c r="P114" s="10" t="s">
        <v>1572</v>
      </c>
      <c r="Q114" s="11" t="s">
        <v>2028</v>
      </c>
      <c r="R114" s="11" t="s">
        <v>2029</v>
      </c>
      <c r="S114" s="7" t="s">
        <v>54</v>
      </c>
      <c r="T114" s="7" t="s">
        <v>55</v>
      </c>
      <c r="U114" s="7" t="s">
        <v>54</v>
      </c>
      <c r="V114" s="7" t="s">
        <v>55</v>
      </c>
      <c r="W114" s="11" t="s">
        <v>2030</v>
      </c>
      <c r="X114" s="7" t="s">
        <v>57</v>
      </c>
      <c r="Y114" s="7" t="s">
        <v>2025</v>
      </c>
      <c r="Z114" s="9" t="s">
        <v>2031</v>
      </c>
      <c r="AA114" s="7" t="s">
        <v>2032</v>
      </c>
      <c r="AB114" s="7" t="s">
        <v>2033</v>
      </c>
      <c r="AC114" s="7" t="s">
        <v>2025</v>
      </c>
      <c r="AD114" s="10" t="s">
        <v>2026</v>
      </c>
      <c r="AE114" s="7" t="s">
        <v>2034</v>
      </c>
      <c r="AF114" s="10" t="s">
        <v>2023</v>
      </c>
      <c r="AG114" s="9" t="s">
        <v>64</v>
      </c>
      <c r="AH114" s="9">
        <v>1.0</v>
      </c>
      <c r="AI114" s="7" t="s">
        <v>2035</v>
      </c>
      <c r="AJ114" s="7" t="s">
        <v>2036</v>
      </c>
      <c r="AK114" s="7" t="s">
        <v>2037</v>
      </c>
      <c r="AL114" s="7" t="s">
        <v>2038</v>
      </c>
      <c r="AM114" s="7" t="s">
        <v>2039</v>
      </c>
      <c r="AN114" s="7" t="s">
        <v>55</v>
      </c>
      <c r="AO114" s="7" t="s">
        <v>70</v>
      </c>
      <c r="AP114" s="13"/>
      <c r="AQ114" s="13"/>
      <c r="AR114" s="13"/>
      <c r="AS114" s="13"/>
      <c r="AT114" s="13"/>
      <c r="AU114" s="13"/>
    </row>
    <row r="115" hidden="1">
      <c r="A115" s="6">
        <v>45786.87001730324</v>
      </c>
      <c r="B115" s="7" t="s">
        <v>2040</v>
      </c>
      <c r="C115" s="7" t="s">
        <v>2041</v>
      </c>
      <c r="D115" s="10" t="s">
        <v>2042</v>
      </c>
      <c r="E115" s="7" t="s">
        <v>2043</v>
      </c>
      <c r="F115" s="7" t="s">
        <v>2044</v>
      </c>
      <c r="G115" s="9" t="s">
        <v>44</v>
      </c>
      <c r="H115" s="7" t="s">
        <v>45</v>
      </c>
      <c r="I115" s="7" t="s">
        <v>141</v>
      </c>
      <c r="J115" s="10" t="s">
        <v>2045</v>
      </c>
      <c r="K115" s="10" t="s">
        <v>2046</v>
      </c>
      <c r="L115" s="7" t="s">
        <v>2047</v>
      </c>
      <c r="M115" s="7" t="s">
        <v>49</v>
      </c>
      <c r="N115" s="7" t="s">
        <v>2048</v>
      </c>
      <c r="O115" s="8" t="s">
        <v>2049</v>
      </c>
      <c r="P115" s="8" t="s">
        <v>2050</v>
      </c>
      <c r="Q115" s="11" t="s">
        <v>2051</v>
      </c>
      <c r="R115" s="11" t="s">
        <v>2052</v>
      </c>
      <c r="S115" s="7" t="s">
        <v>54</v>
      </c>
      <c r="T115" s="7" t="s">
        <v>55</v>
      </c>
      <c r="U115" s="7" t="s">
        <v>54</v>
      </c>
      <c r="V115" s="7" t="s">
        <v>55</v>
      </c>
      <c r="W115" s="11" t="s">
        <v>2053</v>
      </c>
      <c r="X115" s="7" t="s">
        <v>57</v>
      </c>
      <c r="Y115" s="7" t="s">
        <v>2054</v>
      </c>
      <c r="Z115" s="9" t="s">
        <v>2055</v>
      </c>
      <c r="AA115" s="7" t="s">
        <v>2056</v>
      </c>
      <c r="AB115" s="7" t="s">
        <v>2057</v>
      </c>
      <c r="AC115" s="7" t="s">
        <v>2044</v>
      </c>
      <c r="AD115" s="10" t="s">
        <v>2046</v>
      </c>
      <c r="AE115" s="7" t="s">
        <v>2058</v>
      </c>
      <c r="AF115" s="10" t="s">
        <v>2042</v>
      </c>
      <c r="AG115" s="17" t="s">
        <v>260</v>
      </c>
      <c r="AH115" s="18"/>
      <c r="AI115" s="13"/>
      <c r="AJ115" s="13"/>
      <c r="AK115" s="13"/>
      <c r="AL115" s="7" t="s">
        <v>2059</v>
      </c>
      <c r="AM115" s="7" t="s">
        <v>69</v>
      </c>
      <c r="AN115" s="7" t="s">
        <v>2060</v>
      </c>
      <c r="AO115" s="7" t="s">
        <v>70</v>
      </c>
      <c r="AP115" s="13"/>
      <c r="AQ115" s="13"/>
      <c r="AR115" s="13"/>
      <c r="AS115" s="13"/>
      <c r="AT115" s="13"/>
      <c r="AU115" s="13"/>
    </row>
    <row r="116" hidden="1">
      <c r="A116" s="6">
        <v>45786.8708714699</v>
      </c>
      <c r="B116" s="7" t="s">
        <v>2061</v>
      </c>
      <c r="C116" s="7" t="s">
        <v>243</v>
      </c>
      <c r="D116" s="10" t="s">
        <v>2062</v>
      </c>
      <c r="E116" s="7" t="s">
        <v>2063</v>
      </c>
      <c r="F116" s="7" t="s">
        <v>2064</v>
      </c>
      <c r="G116" s="9" t="s">
        <v>44</v>
      </c>
      <c r="H116" s="7" t="s">
        <v>45</v>
      </c>
      <c r="I116" s="7" t="s">
        <v>1096</v>
      </c>
      <c r="J116" s="10" t="s">
        <v>288</v>
      </c>
      <c r="K116" s="10" t="s">
        <v>2065</v>
      </c>
      <c r="L116" s="7" t="s">
        <v>2066</v>
      </c>
      <c r="M116" s="7" t="s">
        <v>49</v>
      </c>
      <c r="N116" s="7" t="s">
        <v>2067</v>
      </c>
      <c r="O116" s="8" t="s">
        <v>2068</v>
      </c>
      <c r="P116" s="8">
        <v>1.3092029E7</v>
      </c>
      <c r="Q116" s="20" t="s">
        <v>2069</v>
      </c>
      <c r="R116" s="11" t="s">
        <v>2070</v>
      </c>
      <c r="S116" s="7" t="s">
        <v>54</v>
      </c>
      <c r="T116" s="7" t="s">
        <v>109</v>
      </c>
      <c r="U116" s="7" t="s">
        <v>54</v>
      </c>
      <c r="V116" s="7" t="s">
        <v>109</v>
      </c>
      <c r="W116" s="11" t="s">
        <v>2071</v>
      </c>
      <c r="X116" s="14" t="s">
        <v>194</v>
      </c>
      <c r="Y116" s="15"/>
      <c r="Z116" s="16"/>
      <c r="AA116" s="13"/>
      <c r="AB116" s="13"/>
      <c r="AC116" s="7" t="s">
        <v>2064</v>
      </c>
      <c r="AD116" s="10" t="s">
        <v>2062</v>
      </c>
      <c r="AE116" s="7" t="s">
        <v>2072</v>
      </c>
      <c r="AF116" s="10" t="s">
        <v>2062</v>
      </c>
      <c r="AG116" s="9" t="s">
        <v>64</v>
      </c>
      <c r="AH116" s="9">
        <v>3.0</v>
      </c>
      <c r="AI116" s="7" t="s">
        <v>2073</v>
      </c>
      <c r="AJ116" s="7" t="s">
        <v>2074</v>
      </c>
      <c r="AK116" s="7" t="s">
        <v>2075</v>
      </c>
      <c r="AL116" s="19" t="s">
        <v>2062</v>
      </c>
      <c r="AM116" s="7" t="s">
        <v>117</v>
      </c>
      <c r="AN116" s="7" t="s">
        <v>109</v>
      </c>
      <c r="AO116" s="7" t="s">
        <v>70</v>
      </c>
      <c r="AP116" s="13"/>
      <c r="AQ116" s="13"/>
      <c r="AR116" s="13"/>
      <c r="AS116" s="13"/>
      <c r="AT116" s="13"/>
      <c r="AU116" s="13"/>
    </row>
    <row r="117" hidden="1">
      <c r="A117" s="6">
        <v>45786.87207493055</v>
      </c>
      <c r="B117" s="7" t="s">
        <v>2076</v>
      </c>
      <c r="C117" s="7" t="s">
        <v>97</v>
      </c>
      <c r="D117" s="8" t="s">
        <v>2077</v>
      </c>
      <c r="E117" s="7" t="s">
        <v>2078</v>
      </c>
      <c r="F117" s="7" t="s">
        <v>2079</v>
      </c>
      <c r="G117" s="9" t="s">
        <v>76</v>
      </c>
      <c r="H117" s="7" t="s">
        <v>45</v>
      </c>
      <c r="I117" s="7" t="s">
        <v>322</v>
      </c>
      <c r="J117" s="8">
        <v>1.5102008E7</v>
      </c>
      <c r="K117" s="8" t="s">
        <v>2080</v>
      </c>
      <c r="L117" s="7" t="s">
        <v>2081</v>
      </c>
      <c r="M117" s="7" t="s">
        <v>49</v>
      </c>
      <c r="N117" s="7" t="s">
        <v>2082</v>
      </c>
      <c r="O117" s="8" t="s">
        <v>2083</v>
      </c>
      <c r="P117" s="8">
        <v>2.4022028E7</v>
      </c>
      <c r="Q117" s="11" t="s">
        <v>2084</v>
      </c>
      <c r="R117" s="11" t="s">
        <v>2085</v>
      </c>
      <c r="S117" s="7" t="s">
        <v>54</v>
      </c>
      <c r="T117" s="7" t="s">
        <v>55</v>
      </c>
      <c r="U117" s="7" t="s">
        <v>54</v>
      </c>
      <c r="V117" s="7" t="s">
        <v>55</v>
      </c>
      <c r="W117" s="11" t="s">
        <v>2086</v>
      </c>
      <c r="X117" s="7" t="s">
        <v>57</v>
      </c>
      <c r="Y117" s="7" t="s">
        <v>2079</v>
      </c>
      <c r="Z117" s="9" t="s">
        <v>2087</v>
      </c>
      <c r="AA117" s="7" t="s">
        <v>2088</v>
      </c>
      <c r="AB117" s="7" t="s">
        <v>2089</v>
      </c>
      <c r="AC117" s="7" t="s">
        <v>2079</v>
      </c>
      <c r="AD117" s="10" t="s">
        <v>2090</v>
      </c>
      <c r="AE117" s="7" t="s">
        <v>2091</v>
      </c>
      <c r="AF117" s="10" t="s">
        <v>2092</v>
      </c>
      <c r="AG117" s="9" t="s">
        <v>64</v>
      </c>
      <c r="AH117" s="9">
        <v>2.0</v>
      </c>
      <c r="AI117" s="7" t="s">
        <v>2093</v>
      </c>
      <c r="AJ117" s="7" t="s">
        <v>2094</v>
      </c>
      <c r="AK117" s="19" t="s">
        <v>2095</v>
      </c>
      <c r="AL117" s="19" t="s">
        <v>2092</v>
      </c>
      <c r="AM117" s="7" t="s">
        <v>117</v>
      </c>
      <c r="AN117" s="7" t="s">
        <v>55</v>
      </c>
      <c r="AO117" s="7" t="s">
        <v>70</v>
      </c>
      <c r="AP117" s="13"/>
      <c r="AQ117" s="13"/>
      <c r="AR117" s="13"/>
      <c r="AS117" s="13"/>
      <c r="AT117" s="13"/>
      <c r="AU117" s="13"/>
    </row>
    <row r="118" hidden="1">
      <c r="A118" s="6">
        <v>45786.87479108796</v>
      </c>
      <c r="B118" s="7" t="s">
        <v>2096</v>
      </c>
      <c r="C118" s="7" t="s">
        <v>787</v>
      </c>
      <c r="D118" s="8" t="s">
        <v>2097</v>
      </c>
      <c r="E118" s="7" t="s">
        <v>2098</v>
      </c>
      <c r="F118" s="7" t="s">
        <v>2099</v>
      </c>
      <c r="G118" s="9" t="s">
        <v>44</v>
      </c>
      <c r="H118" s="7" t="s">
        <v>45</v>
      </c>
      <c r="I118" s="7" t="s">
        <v>141</v>
      </c>
      <c r="J118" s="8">
        <v>1.4042007E7</v>
      </c>
      <c r="K118" s="10" t="s">
        <v>2100</v>
      </c>
      <c r="L118" s="7" t="s">
        <v>2101</v>
      </c>
      <c r="M118" s="7" t="s">
        <v>49</v>
      </c>
      <c r="N118" s="7" t="s">
        <v>2099</v>
      </c>
      <c r="O118" s="8" t="s">
        <v>2102</v>
      </c>
      <c r="P118" s="8">
        <v>3.0112027E7</v>
      </c>
      <c r="Q118" s="20" t="s">
        <v>2103</v>
      </c>
      <c r="R118" s="11" t="s">
        <v>2104</v>
      </c>
      <c r="S118" s="7" t="s">
        <v>54</v>
      </c>
      <c r="T118" s="7" t="s">
        <v>55</v>
      </c>
      <c r="U118" s="7" t="s">
        <v>54</v>
      </c>
      <c r="V118" s="7" t="s">
        <v>55</v>
      </c>
      <c r="W118" s="11" t="s">
        <v>2105</v>
      </c>
      <c r="X118" s="14" t="s">
        <v>194</v>
      </c>
      <c r="Y118" s="15"/>
      <c r="Z118" s="16"/>
      <c r="AA118" s="13"/>
      <c r="AB118" s="13"/>
      <c r="AC118" s="7" t="s">
        <v>2106</v>
      </c>
      <c r="AD118" s="8" t="s">
        <v>2107</v>
      </c>
      <c r="AE118" s="7" t="s">
        <v>422</v>
      </c>
      <c r="AF118" s="8">
        <v>9.9999999999E10</v>
      </c>
      <c r="AG118" s="9" t="s">
        <v>64</v>
      </c>
      <c r="AH118" s="9">
        <v>1.0</v>
      </c>
      <c r="AI118" s="7" t="s">
        <v>2108</v>
      </c>
      <c r="AJ118" s="7" t="s">
        <v>2109</v>
      </c>
      <c r="AK118" s="7" t="s">
        <v>2110</v>
      </c>
      <c r="AL118" s="7" t="s">
        <v>2111</v>
      </c>
      <c r="AM118" s="7" t="s">
        <v>69</v>
      </c>
      <c r="AN118" s="7" t="s">
        <v>109</v>
      </c>
      <c r="AO118" s="7" t="s">
        <v>70</v>
      </c>
      <c r="AP118" s="13"/>
      <c r="AQ118" s="13"/>
      <c r="AR118" s="13"/>
      <c r="AS118" s="13"/>
      <c r="AT118" s="13"/>
      <c r="AU118" s="13"/>
    </row>
    <row r="119" hidden="1">
      <c r="A119" s="6">
        <v>45786.8770913426</v>
      </c>
      <c r="B119" s="7" t="s">
        <v>2112</v>
      </c>
      <c r="C119" s="7" t="s">
        <v>586</v>
      </c>
      <c r="D119" s="8" t="s">
        <v>2113</v>
      </c>
      <c r="E119" s="7" t="s">
        <v>2114</v>
      </c>
      <c r="F119" s="7" t="s">
        <v>2115</v>
      </c>
      <c r="G119" s="9" t="s">
        <v>44</v>
      </c>
      <c r="H119" s="7" t="s">
        <v>101</v>
      </c>
      <c r="I119" s="7" t="s">
        <v>102</v>
      </c>
      <c r="J119" s="8">
        <v>2.3062013E7</v>
      </c>
      <c r="K119" s="10" t="s">
        <v>2116</v>
      </c>
      <c r="L119" s="7" t="s">
        <v>2114</v>
      </c>
      <c r="M119" s="7" t="s">
        <v>49</v>
      </c>
      <c r="N119" s="7" t="s">
        <v>2115</v>
      </c>
      <c r="O119" s="8">
        <v>1.20623130722E11</v>
      </c>
      <c r="P119" s="8">
        <v>1.8082027E7</v>
      </c>
      <c r="Q119" s="11" t="s">
        <v>2117</v>
      </c>
      <c r="R119" s="11" t="s">
        <v>2118</v>
      </c>
      <c r="S119" s="7" t="s">
        <v>54</v>
      </c>
      <c r="T119" s="7" t="s">
        <v>55</v>
      </c>
      <c r="U119" s="7" t="s">
        <v>54</v>
      </c>
      <c r="V119" s="7" t="s">
        <v>55</v>
      </c>
      <c r="W119" s="11" t="s">
        <v>2119</v>
      </c>
      <c r="X119" s="7" t="s">
        <v>57</v>
      </c>
      <c r="Y119" s="7" t="s">
        <v>2115</v>
      </c>
      <c r="Z119" s="9" t="s">
        <v>2120</v>
      </c>
      <c r="AA119" s="7" t="s">
        <v>2121</v>
      </c>
      <c r="AB119" s="7" t="s">
        <v>2122</v>
      </c>
      <c r="AC119" s="7" t="s">
        <v>2123</v>
      </c>
      <c r="AD119" s="8" t="s">
        <v>2124</v>
      </c>
      <c r="AE119" s="7" t="s">
        <v>2125</v>
      </c>
      <c r="AF119" s="8" t="s">
        <v>2113</v>
      </c>
      <c r="AG119" s="9" t="s">
        <v>64</v>
      </c>
      <c r="AH119" s="9">
        <v>1.0</v>
      </c>
      <c r="AI119" s="7" t="s">
        <v>2126</v>
      </c>
      <c r="AJ119" s="7" t="s">
        <v>2127</v>
      </c>
      <c r="AK119" s="19" t="s">
        <v>2128</v>
      </c>
      <c r="AL119" s="7" t="s">
        <v>2129</v>
      </c>
      <c r="AM119" s="7" t="s">
        <v>2130</v>
      </c>
      <c r="AN119" s="7" t="s">
        <v>55</v>
      </c>
      <c r="AO119" s="7" t="s">
        <v>70</v>
      </c>
      <c r="AP119" s="13"/>
      <c r="AQ119" s="13"/>
      <c r="AR119" s="13"/>
      <c r="AS119" s="13"/>
      <c r="AT119" s="13"/>
      <c r="AU119" s="13"/>
    </row>
    <row r="120" hidden="1">
      <c r="A120" s="6">
        <v>45786.887459375</v>
      </c>
      <c r="B120" s="7" t="s">
        <v>2131</v>
      </c>
      <c r="C120" s="7" t="s">
        <v>2132</v>
      </c>
      <c r="D120" s="8" t="s">
        <v>2133</v>
      </c>
      <c r="E120" s="7" t="s">
        <v>2134</v>
      </c>
      <c r="F120" s="7" t="s">
        <v>2135</v>
      </c>
      <c r="G120" s="9" t="s">
        <v>44</v>
      </c>
      <c r="H120" s="7" t="s">
        <v>45</v>
      </c>
      <c r="I120" s="7" t="s">
        <v>2136</v>
      </c>
      <c r="J120" s="10" t="s">
        <v>2137</v>
      </c>
      <c r="K120" s="8" t="s">
        <v>2138</v>
      </c>
      <c r="L120" s="7" t="s">
        <v>2139</v>
      </c>
      <c r="M120" s="7" t="s">
        <v>49</v>
      </c>
      <c r="N120" s="7" t="s">
        <v>2135</v>
      </c>
      <c r="O120" s="8" t="s">
        <v>2140</v>
      </c>
      <c r="P120" s="8">
        <v>2.3052028E7</v>
      </c>
      <c r="Q120" s="20" t="s">
        <v>2141</v>
      </c>
      <c r="R120" s="11" t="s">
        <v>2142</v>
      </c>
      <c r="S120" s="7" t="s">
        <v>54</v>
      </c>
      <c r="T120" s="7" t="s">
        <v>55</v>
      </c>
      <c r="U120" s="7" t="s">
        <v>54</v>
      </c>
      <c r="V120" s="7" t="s">
        <v>55</v>
      </c>
      <c r="W120" s="11" t="s">
        <v>2143</v>
      </c>
      <c r="X120" s="7" t="s">
        <v>57</v>
      </c>
      <c r="Y120" s="7" t="s">
        <v>2135</v>
      </c>
      <c r="Z120" s="9" t="s">
        <v>2144</v>
      </c>
      <c r="AA120" s="7" t="s">
        <v>2145</v>
      </c>
      <c r="AB120" s="7" t="s">
        <v>2146</v>
      </c>
      <c r="AC120" s="7" t="s">
        <v>2135</v>
      </c>
      <c r="AD120" s="8" t="s">
        <v>2138</v>
      </c>
      <c r="AE120" s="7" t="s">
        <v>2131</v>
      </c>
      <c r="AF120" s="8" t="s">
        <v>2133</v>
      </c>
      <c r="AG120" s="17" t="s">
        <v>260</v>
      </c>
      <c r="AH120" s="18"/>
      <c r="AI120" s="13"/>
      <c r="AJ120" s="13"/>
      <c r="AK120" s="13"/>
      <c r="AL120" s="7" t="s">
        <v>2147</v>
      </c>
      <c r="AM120" s="7" t="s">
        <v>117</v>
      </c>
      <c r="AN120" s="7" t="s">
        <v>55</v>
      </c>
      <c r="AO120" s="7" t="s">
        <v>70</v>
      </c>
      <c r="AP120" s="13"/>
      <c r="AQ120" s="13"/>
      <c r="AR120" s="13"/>
      <c r="AS120" s="13"/>
      <c r="AT120" s="13"/>
      <c r="AU120" s="13"/>
    </row>
    <row r="121" hidden="1">
      <c r="A121" s="6">
        <v>45786.95846163195</v>
      </c>
      <c r="B121" s="7" t="s">
        <v>2148</v>
      </c>
      <c r="C121" s="7" t="s">
        <v>364</v>
      </c>
      <c r="D121" s="10" t="s">
        <v>2149</v>
      </c>
      <c r="E121" s="7" t="s">
        <v>2150</v>
      </c>
      <c r="F121" s="7" t="s">
        <v>2151</v>
      </c>
      <c r="G121" s="9" t="s">
        <v>76</v>
      </c>
      <c r="H121" s="7" t="s">
        <v>45</v>
      </c>
      <c r="I121" s="7" t="s">
        <v>2152</v>
      </c>
      <c r="J121" s="8" t="s">
        <v>2153</v>
      </c>
      <c r="K121" s="10" t="s">
        <v>2154</v>
      </c>
      <c r="L121" s="7" t="s">
        <v>2155</v>
      </c>
      <c r="M121" s="7" t="s">
        <v>49</v>
      </c>
      <c r="N121" s="7" t="s">
        <v>2151</v>
      </c>
      <c r="O121" s="8" t="s">
        <v>2156</v>
      </c>
      <c r="P121" s="8" t="s">
        <v>2157</v>
      </c>
      <c r="Q121" s="11" t="s">
        <v>2158</v>
      </c>
      <c r="R121" s="11" t="s">
        <v>2159</v>
      </c>
      <c r="S121" s="7" t="s">
        <v>54</v>
      </c>
      <c r="T121" s="7" t="s">
        <v>109</v>
      </c>
      <c r="U121" s="7" t="s">
        <v>54</v>
      </c>
      <c r="V121" s="7" t="s">
        <v>109</v>
      </c>
      <c r="W121" s="11" t="s">
        <v>2160</v>
      </c>
      <c r="X121" s="7" t="s">
        <v>57</v>
      </c>
      <c r="Y121" s="7" t="s">
        <v>2151</v>
      </c>
      <c r="Z121" s="12" t="s">
        <v>2161</v>
      </c>
      <c r="AA121" s="7" t="s">
        <v>2162</v>
      </c>
      <c r="AB121" s="7" t="s">
        <v>2163</v>
      </c>
      <c r="AC121" s="7" t="s">
        <v>2151</v>
      </c>
      <c r="AD121" s="10" t="s">
        <v>2154</v>
      </c>
      <c r="AE121" s="7" t="s">
        <v>2164</v>
      </c>
      <c r="AF121" s="10" t="s">
        <v>2149</v>
      </c>
      <c r="AG121" s="9" t="s">
        <v>64</v>
      </c>
      <c r="AH121" s="9">
        <v>2.0</v>
      </c>
      <c r="AI121" s="7" t="s">
        <v>2165</v>
      </c>
      <c r="AJ121" s="7" t="s">
        <v>932</v>
      </c>
      <c r="AK121" s="7" t="s">
        <v>932</v>
      </c>
      <c r="AL121" s="7" t="s">
        <v>2166</v>
      </c>
      <c r="AM121" s="7" t="s">
        <v>241</v>
      </c>
      <c r="AN121" s="7" t="s">
        <v>109</v>
      </c>
      <c r="AO121" s="7" t="s">
        <v>70</v>
      </c>
      <c r="AP121" s="13"/>
      <c r="AQ121" s="13"/>
      <c r="AR121" s="13"/>
      <c r="AS121" s="13"/>
      <c r="AT121" s="13"/>
      <c r="AU121" s="13"/>
    </row>
    <row r="122" hidden="1">
      <c r="A122" s="6">
        <v>45787.09792707176</v>
      </c>
      <c r="B122" s="7" t="s">
        <v>2167</v>
      </c>
      <c r="C122" s="7" t="s">
        <v>2168</v>
      </c>
      <c r="D122" s="8" t="s">
        <v>2169</v>
      </c>
      <c r="E122" s="7" t="s">
        <v>2170</v>
      </c>
      <c r="F122" s="7" t="s">
        <v>2171</v>
      </c>
      <c r="G122" s="9" t="s">
        <v>44</v>
      </c>
      <c r="H122" s="7" t="s">
        <v>77</v>
      </c>
      <c r="I122" s="7" t="s">
        <v>141</v>
      </c>
      <c r="J122" s="8">
        <v>1.111201E7</v>
      </c>
      <c r="K122" s="10" t="s">
        <v>2172</v>
      </c>
      <c r="L122" s="7" t="s">
        <v>2170</v>
      </c>
      <c r="M122" s="7" t="s">
        <v>49</v>
      </c>
      <c r="N122" s="7" t="s">
        <v>2173</v>
      </c>
      <c r="O122" s="8" t="s">
        <v>2174</v>
      </c>
      <c r="P122" s="8">
        <v>2.1062028E7</v>
      </c>
      <c r="Q122" s="11" t="s">
        <v>2175</v>
      </c>
      <c r="R122" s="11" t="s">
        <v>2176</v>
      </c>
      <c r="S122" s="7" t="s">
        <v>54</v>
      </c>
      <c r="T122" s="7" t="s">
        <v>55</v>
      </c>
      <c r="U122" s="7" t="s">
        <v>54</v>
      </c>
      <c r="V122" s="7" t="s">
        <v>55</v>
      </c>
      <c r="W122" s="11" t="s">
        <v>2177</v>
      </c>
      <c r="X122" s="14" t="s">
        <v>194</v>
      </c>
      <c r="Y122" s="15"/>
      <c r="Z122" s="16"/>
      <c r="AA122" s="13"/>
      <c r="AB122" s="13"/>
      <c r="AC122" s="7" t="s">
        <v>2171</v>
      </c>
      <c r="AD122" s="8" t="s">
        <v>2178</v>
      </c>
      <c r="AE122" s="7" t="s">
        <v>2179</v>
      </c>
      <c r="AF122" s="8" t="s">
        <v>2169</v>
      </c>
      <c r="AG122" s="9" t="s">
        <v>64</v>
      </c>
      <c r="AH122" s="9">
        <v>2.0</v>
      </c>
      <c r="AI122" s="7" t="s">
        <v>2180</v>
      </c>
      <c r="AJ122" s="7" t="s">
        <v>2181</v>
      </c>
      <c r="AK122" s="7" t="s">
        <v>2182</v>
      </c>
      <c r="AL122" s="7" t="s">
        <v>2183</v>
      </c>
      <c r="AM122" s="7" t="s">
        <v>1525</v>
      </c>
      <c r="AN122" s="7" t="s">
        <v>55</v>
      </c>
      <c r="AO122" s="7" t="s">
        <v>70</v>
      </c>
      <c r="AP122" s="13"/>
      <c r="AQ122" s="13"/>
      <c r="AR122" s="13"/>
      <c r="AS122" s="13"/>
      <c r="AT122" s="13"/>
      <c r="AU122" s="13"/>
    </row>
    <row r="123" hidden="1">
      <c r="A123" s="6">
        <v>45787.30651875</v>
      </c>
      <c r="B123" s="7" t="s">
        <v>2184</v>
      </c>
      <c r="C123" s="7" t="s">
        <v>97</v>
      </c>
      <c r="D123" s="10" t="s">
        <v>2185</v>
      </c>
      <c r="E123" s="7" t="s">
        <v>2186</v>
      </c>
      <c r="F123" s="7" t="s">
        <v>2187</v>
      </c>
      <c r="G123" s="9" t="s">
        <v>44</v>
      </c>
      <c r="H123" s="7" t="s">
        <v>101</v>
      </c>
      <c r="I123" s="7" t="s">
        <v>141</v>
      </c>
      <c r="J123" s="10" t="s">
        <v>2188</v>
      </c>
      <c r="K123" s="10" t="s">
        <v>2189</v>
      </c>
      <c r="L123" s="7" t="s">
        <v>2190</v>
      </c>
      <c r="M123" s="7" t="s">
        <v>49</v>
      </c>
      <c r="N123" s="7" t="s">
        <v>2191</v>
      </c>
      <c r="O123" s="8" t="s">
        <v>2192</v>
      </c>
      <c r="P123" s="10" t="s">
        <v>2193</v>
      </c>
      <c r="Q123" s="20" t="s">
        <v>2194</v>
      </c>
      <c r="R123" s="11" t="s">
        <v>2195</v>
      </c>
      <c r="S123" s="7" t="s">
        <v>54</v>
      </c>
      <c r="T123" s="7" t="s">
        <v>55</v>
      </c>
      <c r="U123" s="7" t="s">
        <v>54</v>
      </c>
      <c r="V123" s="7" t="s">
        <v>55</v>
      </c>
      <c r="W123" s="11" t="s">
        <v>2196</v>
      </c>
      <c r="X123" s="7" t="s">
        <v>57</v>
      </c>
      <c r="Y123" s="7" t="s">
        <v>2191</v>
      </c>
      <c r="Z123" s="9">
        <v>1.20301102964E11</v>
      </c>
      <c r="AA123" s="7" t="s">
        <v>2197</v>
      </c>
      <c r="AB123" s="7" t="s">
        <v>2198</v>
      </c>
      <c r="AC123" s="7" t="s">
        <v>2191</v>
      </c>
      <c r="AD123" s="10" t="s">
        <v>2189</v>
      </c>
      <c r="AE123" s="7" t="s">
        <v>2199</v>
      </c>
      <c r="AF123" s="10" t="s">
        <v>2185</v>
      </c>
      <c r="AG123" s="9" t="s">
        <v>64</v>
      </c>
      <c r="AH123" s="9">
        <v>3.0</v>
      </c>
      <c r="AI123" s="7" t="s">
        <v>2200</v>
      </c>
      <c r="AJ123" s="7" t="s">
        <v>2201</v>
      </c>
      <c r="AK123" s="7" t="s">
        <v>199</v>
      </c>
      <c r="AL123" s="7" t="s">
        <v>2202</v>
      </c>
      <c r="AM123" s="19" t="s">
        <v>2203</v>
      </c>
      <c r="AN123" s="7" t="s">
        <v>55</v>
      </c>
      <c r="AO123" s="7" t="s">
        <v>70</v>
      </c>
      <c r="AP123" s="13"/>
      <c r="AQ123" s="13"/>
      <c r="AR123" s="13"/>
      <c r="AS123" s="13"/>
      <c r="AT123" s="13"/>
      <c r="AU123" s="13"/>
    </row>
    <row r="124" hidden="1">
      <c r="A124" s="21">
        <v>45787.63861016204</v>
      </c>
      <c r="B124" s="22" t="s">
        <v>2204</v>
      </c>
      <c r="C124" s="22" t="s">
        <v>503</v>
      </c>
      <c r="D124" s="23" t="s">
        <v>2205</v>
      </c>
      <c r="E124" s="22" t="s">
        <v>2206</v>
      </c>
      <c r="F124" s="22" t="s">
        <v>2207</v>
      </c>
      <c r="G124" s="24" t="s">
        <v>76</v>
      </c>
      <c r="H124" s="22" t="s">
        <v>101</v>
      </c>
      <c r="I124" s="22" t="s">
        <v>102</v>
      </c>
      <c r="J124" s="28">
        <v>2.3112012E7</v>
      </c>
      <c r="K124" s="23" t="s">
        <v>2205</v>
      </c>
      <c r="L124" s="22" t="s">
        <v>2206</v>
      </c>
      <c r="M124" s="22" t="s">
        <v>1072</v>
      </c>
      <c r="N124" s="25"/>
      <c r="O124" s="26"/>
      <c r="P124" s="26"/>
      <c r="Q124" s="25"/>
      <c r="R124" s="25"/>
      <c r="S124" s="25"/>
      <c r="T124" s="25"/>
      <c r="U124" s="25"/>
      <c r="V124" s="25"/>
      <c r="W124" s="25"/>
      <c r="X124" s="25"/>
      <c r="Y124" s="25"/>
      <c r="Z124" s="27"/>
      <c r="AA124" s="25"/>
      <c r="AB124" s="25"/>
      <c r="AC124" s="25"/>
      <c r="AD124" s="26"/>
      <c r="AE124" s="25"/>
      <c r="AF124" s="26"/>
      <c r="AG124" s="27"/>
      <c r="AH124" s="27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</row>
    <row r="125" hidden="1">
      <c r="A125" s="21">
        <v>45787.64029141204</v>
      </c>
      <c r="B125" s="22" t="s">
        <v>2208</v>
      </c>
      <c r="C125" s="22" t="s">
        <v>586</v>
      </c>
      <c r="D125" s="28" t="s">
        <v>2209</v>
      </c>
      <c r="E125" s="22" t="s">
        <v>2210</v>
      </c>
      <c r="F125" s="22" t="s">
        <v>2211</v>
      </c>
      <c r="G125" s="24" t="s">
        <v>44</v>
      </c>
      <c r="H125" s="22" t="s">
        <v>101</v>
      </c>
      <c r="I125" s="22" t="s">
        <v>78</v>
      </c>
      <c r="J125" s="28">
        <v>2.0102013E7</v>
      </c>
      <c r="K125" s="28" t="s">
        <v>2212</v>
      </c>
      <c r="L125" s="22" t="s">
        <v>2213</v>
      </c>
      <c r="M125" s="22" t="s">
        <v>1072</v>
      </c>
      <c r="N125" s="25"/>
      <c r="O125" s="26"/>
      <c r="P125" s="26"/>
      <c r="Q125" s="25"/>
      <c r="R125" s="25"/>
      <c r="S125" s="25"/>
      <c r="T125" s="25"/>
      <c r="U125" s="25"/>
      <c r="V125" s="25"/>
      <c r="W125" s="25"/>
      <c r="X125" s="25"/>
      <c r="Y125" s="25"/>
      <c r="Z125" s="27"/>
      <c r="AA125" s="25"/>
      <c r="AB125" s="25"/>
      <c r="AC125" s="25"/>
      <c r="AD125" s="26"/>
      <c r="AE125" s="25"/>
      <c r="AF125" s="26"/>
      <c r="AG125" s="27"/>
      <c r="AH125" s="27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</row>
    <row r="126" hidden="1">
      <c r="A126" s="21">
        <v>45787.6443631713</v>
      </c>
      <c r="B126" s="22" t="s">
        <v>2214</v>
      </c>
      <c r="C126" s="22" t="s">
        <v>2215</v>
      </c>
      <c r="D126" s="23" t="s">
        <v>2216</v>
      </c>
      <c r="E126" s="22" t="s">
        <v>2217</v>
      </c>
      <c r="F126" s="22" t="s">
        <v>2218</v>
      </c>
      <c r="G126" s="24" t="s">
        <v>76</v>
      </c>
      <c r="H126" s="22" t="s">
        <v>45</v>
      </c>
      <c r="I126" s="22" t="s">
        <v>102</v>
      </c>
      <c r="J126" s="28">
        <v>3.0012009E7</v>
      </c>
      <c r="K126" s="23" t="s">
        <v>2219</v>
      </c>
      <c r="L126" s="22" t="s">
        <v>2217</v>
      </c>
      <c r="M126" s="22" t="s">
        <v>1072</v>
      </c>
      <c r="N126" s="25"/>
      <c r="O126" s="26"/>
      <c r="P126" s="26"/>
      <c r="Q126" s="25"/>
      <c r="R126" s="25"/>
      <c r="S126" s="25"/>
      <c r="T126" s="25"/>
      <c r="U126" s="25"/>
      <c r="V126" s="25"/>
      <c r="W126" s="25"/>
      <c r="X126" s="25"/>
      <c r="Y126" s="25"/>
      <c r="Z126" s="27"/>
      <c r="AA126" s="25"/>
      <c r="AB126" s="25"/>
      <c r="AC126" s="25"/>
      <c r="AD126" s="26"/>
      <c r="AE126" s="25"/>
      <c r="AF126" s="26"/>
      <c r="AG126" s="27"/>
      <c r="AH126" s="27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</row>
    <row r="127" hidden="1">
      <c r="A127" s="21">
        <v>45787.64622386574</v>
      </c>
      <c r="B127" s="22" t="s">
        <v>2220</v>
      </c>
      <c r="C127" s="22" t="s">
        <v>936</v>
      </c>
      <c r="D127" s="23" t="s">
        <v>2221</v>
      </c>
      <c r="E127" s="22" t="s">
        <v>2222</v>
      </c>
      <c r="F127" s="22" t="s">
        <v>2223</v>
      </c>
      <c r="G127" s="24" t="s">
        <v>76</v>
      </c>
      <c r="H127" s="22" t="s">
        <v>45</v>
      </c>
      <c r="I127" s="22" t="s">
        <v>322</v>
      </c>
      <c r="J127" s="28">
        <v>1.7012009E7</v>
      </c>
      <c r="K127" s="23" t="s">
        <v>2224</v>
      </c>
      <c r="L127" s="22" t="s">
        <v>2225</v>
      </c>
      <c r="M127" s="22" t="s">
        <v>1072</v>
      </c>
      <c r="N127" s="25"/>
      <c r="O127" s="26"/>
      <c r="P127" s="26"/>
      <c r="Q127" s="25"/>
      <c r="R127" s="25"/>
      <c r="S127" s="25"/>
      <c r="T127" s="25"/>
      <c r="U127" s="25"/>
      <c r="V127" s="25"/>
      <c r="W127" s="25"/>
      <c r="X127" s="25"/>
      <c r="Y127" s="25"/>
      <c r="Z127" s="27"/>
      <c r="AA127" s="25"/>
      <c r="AB127" s="25"/>
      <c r="AC127" s="25"/>
      <c r="AD127" s="26"/>
      <c r="AE127" s="25"/>
      <c r="AF127" s="26"/>
      <c r="AG127" s="27"/>
      <c r="AH127" s="27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</row>
    <row r="128" hidden="1">
      <c r="A128" s="6">
        <v>45787.6584571875</v>
      </c>
      <c r="B128" s="7" t="s">
        <v>1938</v>
      </c>
      <c r="C128" s="7" t="s">
        <v>460</v>
      </c>
      <c r="D128" s="8" t="s">
        <v>1939</v>
      </c>
      <c r="E128" s="7" t="s">
        <v>1940</v>
      </c>
      <c r="F128" s="7" t="s">
        <v>2226</v>
      </c>
      <c r="G128" s="9" t="s">
        <v>76</v>
      </c>
      <c r="H128" s="7" t="s">
        <v>45</v>
      </c>
      <c r="I128" s="7" t="s">
        <v>78</v>
      </c>
      <c r="J128" s="10" t="s">
        <v>1942</v>
      </c>
      <c r="K128" s="8" t="s">
        <v>2227</v>
      </c>
      <c r="L128" s="7" t="s">
        <v>2228</v>
      </c>
      <c r="M128" s="7" t="s">
        <v>49</v>
      </c>
      <c r="N128" s="7" t="s">
        <v>2226</v>
      </c>
      <c r="O128" s="8" t="s">
        <v>2229</v>
      </c>
      <c r="P128" s="10" t="s">
        <v>2230</v>
      </c>
      <c r="Q128" s="11" t="s">
        <v>2231</v>
      </c>
      <c r="R128" s="11" t="s">
        <v>2232</v>
      </c>
      <c r="S128" s="7" t="s">
        <v>54</v>
      </c>
      <c r="T128" s="7" t="s">
        <v>55</v>
      </c>
      <c r="U128" s="7" t="s">
        <v>54</v>
      </c>
      <c r="V128" s="7" t="s">
        <v>55</v>
      </c>
      <c r="W128" s="11" t="s">
        <v>2233</v>
      </c>
      <c r="X128" s="7" t="s">
        <v>57</v>
      </c>
      <c r="Y128" s="7" t="s">
        <v>2226</v>
      </c>
      <c r="Z128" s="9" t="s">
        <v>2234</v>
      </c>
      <c r="AA128" s="7" t="s">
        <v>2235</v>
      </c>
      <c r="AB128" s="7" t="s">
        <v>2236</v>
      </c>
      <c r="AC128" s="7" t="s">
        <v>2226</v>
      </c>
      <c r="AD128" s="8" t="s">
        <v>2227</v>
      </c>
      <c r="AE128" s="7" t="s">
        <v>2237</v>
      </c>
      <c r="AF128" s="8" t="s">
        <v>1939</v>
      </c>
      <c r="AG128" s="9" t="s">
        <v>64</v>
      </c>
      <c r="AH128" s="9">
        <v>2.0</v>
      </c>
      <c r="AI128" s="7" t="s">
        <v>2238</v>
      </c>
      <c r="AJ128" s="7" t="s">
        <v>1939</v>
      </c>
      <c r="AK128" s="7" t="s">
        <v>2239</v>
      </c>
      <c r="AL128" s="7" t="s">
        <v>2240</v>
      </c>
      <c r="AM128" s="7" t="s">
        <v>157</v>
      </c>
      <c r="AN128" s="7" t="s">
        <v>55</v>
      </c>
      <c r="AO128" s="7" t="s">
        <v>70</v>
      </c>
      <c r="AP128" s="13"/>
      <c r="AQ128" s="13"/>
      <c r="AR128" s="13"/>
      <c r="AS128" s="13"/>
      <c r="AT128" s="13"/>
      <c r="AU128" s="13"/>
    </row>
    <row r="129" hidden="1">
      <c r="A129" s="21">
        <v>45787.66611892361</v>
      </c>
      <c r="B129" s="22" t="s">
        <v>2241</v>
      </c>
      <c r="C129" s="22" t="s">
        <v>2242</v>
      </c>
      <c r="D129" s="23" t="s">
        <v>2243</v>
      </c>
      <c r="E129" s="22" t="s">
        <v>2244</v>
      </c>
      <c r="F129" s="22" t="s">
        <v>2245</v>
      </c>
      <c r="G129" s="24" t="s">
        <v>44</v>
      </c>
      <c r="H129" s="22" t="s">
        <v>101</v>
      </c>
      <c r="I129" s="22" t="s">
        <v>78</v>
      </c>
      <c r="J129" s="28">
        <v>1.8022011E7</v>
      </c>
      <c r="K129" s="23" t="s">
        <v>2243</v>
      </c>
      <c r="L129" s="22" t="s">
        <v>2244</v>
      </c>
      <c r="M129" s="22" t="s">
        <v>1072</v>
      </c>
      <c r="N129" s="25"/>
      <c r="O129" s="26"/>
      <c r="P129" s="26"/>
      <c r="Q129" s="25"/>
      <c r="R129" s="25"/>
      <c r="S129" s="25"/>
      <c r="T129" s="25"/>
      <c r="U129" s="25"/>
      <c r="V129" s="25"/>
      <c r="W129" s="25"/>
      <c r="X129" s="25"/>
      <c r="Y129" s="25"/>
      <c r="Z129" s="27"/>
      <c r="AA129" s="25"/>
      <c r="AB129" s="25"/>
      <c r="AC129" s="25"/>
      <c r="AD129" s="26"/>
      <c r="AE129" s="25"/>
      <c r="AF129" s="26"/>
      <c r="AG129" s="27"/>
      <c r="AH129" s="27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</row>
    <row r="130" hidden="1">
      <c r="A130" s="21">
        <v>45787.76649664352</v>
      </c>
      <c r="B130" s="22" t="s">
        <v>2246</v>
      </c>
      <c r="C130" s="22" t="s">
        <v>2215</v>
      </c>
      <c r="D130" s="23" t="s">
        <v>2216</v>
      </c>
      <c r="E130" s="22" t="s">
        <v>2217</v>
      </c>
      <c r="F130" s="22" t="s">
        <v>2218</v>
      </c>
      <c r="G130" s="24" t="s">
        <v>76</v>
      </c>
      <c r="H130" s="22" t="s">
        <v>45</v>
      </c>
      <c r="I130" s="22" t="s">
        <v>102</v>
      </c>
      <c r="J130" s="23" t="s">
        <v>2247</v>
      </c>
      <c r="K130" s="23" t="s">
        <v>2219</v>
      </c>
      <c r="L130" s="22" t="s">
        <v>2217</v>
      </c>
      <c r="M130" s="22" t="s">
        <v>1072</v>
      </c>
      <c r="N130" s="25"/>
      <c r="O130" s="26"/>
      <c r="P130" s="26"/>
      <c r="Q130" s="25"/>
      <c r="R130" s="25"/>
      <c r="S130" s="25"/>
      <c r="T130" s="25"/>
      <c r="U130" s="25"/>
      <c r="V130" s="25"/>
      <c r="W130" s="25"/>
      <c r="X130" s="25"/>
      <c r="Y130" s="25"/>
      <c r="Z130" s="27"/>
      <c r="AA130" s="25"/>
      <c r="AB130" s="25"/>
      <c r="AC130" s="25"/>
      <c r="AD130" s="26"/>
      <c r="AE130" s="25"/>
      <c r="AF130" s="26"/>
      <c r="AG130" s="27"/>
      <c r="AH130" s="27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</row>
    <row r="131" hidden="1">
      <c r="A131" s="21">
        <v>45787.84373900463</v>
      </c>
      <c r="B131" s="22" t="s">
        <v>2248</v>
      </c>
      <c r="C131" s="22" t="s">
        <v>2242</v>
      </c>
      <c r="D131" s="23" t="s">
        <v>2249</v>
      </c>
      <c r="E131" s="22" t="s">
        <v>2250</v>
      </c>
      <c r="F131" s="22" t="s">
        <v>2251</v>
      </c>
      <c r="G131" s="24" t="s">
        <v>44</v>
      </c>
      <c r="H131" s="22" t="s">
        <v>101</v>
      </c>
      <c r="I131" s="22" t="s">
        <v>78</v>
      </c>
      <c r="J131" s="28">
        <v>1.1112013E7</v>
      </c>
      <c r="K131" s="23" t="s">
        <v>2249</v>
      </c>
      <c r="L131" s="22" t="s">
        <v>2250</v>
      </c>
      <c r="M131" s="22" t="s">
        <v>1072</v>
      </c>
      <c r="N131" s="25"/>
      <c r="O131" s="26"/>
      <c r="P131" s="26"/>
      <c r="Q131" s="25"/>
      <c r="R131" s="25"/>
      <c r="S131" s="25"/>
      <c r="T131" s="25"/>
      <c r="U131" s="25"/>
      <c r="V131" s="25"/>
      <c r="W131" s="25"/>
      <c r="X131" s="25"/>
      <c r="Y131" s="25"/>
      <c r="Z131" s="27"/>
      <c r="AA131" s="25"/>
      <c r="AB131" s="25"/>
      <c r="AC131" s="25"/>
      <c r="AD131" s="26"/>
      <c r="AE131" s="25"/>
      <c r="AF131" s="26"/>
      <c r="AG131" s="27"/>
      <c r="AH131" s="27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</row>
    <row r="132" hidden="1">
      <c r="A132" s="21">
        <v>45787.86462744213</v>
      </c>
      <c r="B132" s="22" t="s">
        <v>2252</v>
      </c>
      <c r="C132" s="22" t="s">
        <v>364</v>
      </c>
      <c r="D132" s="28" t="s">
        <v>2253</v>
      </c>
      <c r="E132" s="22" t="s">
        <v>2254</v>
      </c>
      <c r="F132" s="22" t="s">
        <v>2255</v>
      </c>
      <c r="G132" s="24" t="s">
        <v>44</v>
      </c>
      <c r="H132" s="22" t="s">
        <v>45</v>
      </c>
      <c r="I132" s="22" t="s">
        <v>322</v>
      </c>
      <c r="J132" s="28" t="s">
        <v>2256</v>
      </c>
      <c r="K132" s="28" t="s">
        <v>2257</v>
      </c>
      <c r="L132" s="22" t="s">
        <v>2258</v>
      </c>
      <c r="M132" s="22" t="s">
        <v>1072</v>
      </c>
      <c r="N132" s="25"/>
      <c r="O132" s="26"/>
      <c r="P132" s="26"/>
      <c r="Q132" s="25"/>
      <c r="R132" s="25"/>
      <c r="S132" s="25"/>
      <c r="T132" s="25"/>
      <c r="U132" s="25"/>
      <c r="V132" s="25"/>
      <c r="W132" s="25"/>
      <c r="X132" s="25"/>
      <c r="Y132" s="25"/>
      <c r="Z132" s="27"/>
      <c r="AA132" s="25"/>
      <c r="AB132" s="25"/>
      <c r="AC132" s="25"/>
      <c r="AD132" s="26"/>
      <c r="AE132" s="25"/>
      <c r="AF132" s="26"/>
      <c r="AG132" s="27"/>
      <c r="AH132" s="27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</row>
    <row r="133" hidden="1">
      <c r="A133" s="21">
        <v>45787.91143605324</v>
      </c>
      <c r="B133" s="22" t="s">
        <v>2259</v>
      </c>
      <c r="C133" s="22" t="s">
        <v>1300</v>
      </c>
      <c r="D133" s="23" t="s">
        <v>2260</v>
      </c>
      <c r="E133" s="22" t="s">
        <v>2261</v>
      </c>
      <c r="F133" s="22" t="s">
        <v>2262</v>
      </c>
      <c r="G133" s="24" t="s">
        <v>44</v>
      </c>
      <c r="H133" s="22" t="s">
        <v>101</v>
      </c>
      <c r="I133" s="22" t="s">
        <v>78</v>
      </c>
      <c r="J133" s="23" t="s">
        <v>2263</v>
      </c>
      <c r="K133" s="23" t="s">
        <v>2260</v>
      </c>
      <c r="L133" s="22" t="s">
        <v>2261</v>
      </c>
      <c r="M133" s="22" t="s">
        <v>1072</v>
      </c>
      <c r="N133" s="25"/>
      <c r="O133" s="26"/>
      <c r="P133" s="26"/>
      <c r="Q133" s="25"/>
      <c r="R133" s="25"/>
      <c r="S133" s="25"/>
      <c r="T133" s="25"/>
      <c r="U133" s="25"/>
      <c r="V133" s="25"/>
      <c r="W133" s="25"/>
      <c r="X133" s="25"/>
      <c r="Y133" s="25"/>
      <c r="Z133" s="27"/>
      <c r="AA133" s="25"/>
      <c r="AB133" s="25"/>
      <c r="AC133" s="25"/>
      <c r="AD133" s="26"/>
      <c r="AE133" s="25"/>
      <c r="AF133" s="26"/>
      <c r="AG133" s="27"/>
      <c r="AH133" s="27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</row>
    <row r="134" hidden="1">
      <c r="A134" s="6">
        <v>45787.92026903935</v>
      </c>
      <c r="B134" s="7" t="s">
        <v>2264</v>
      </c>
      <c r="C134" s="7" t="s">
        <v>2265</v>
      </c>
      <c r="D134" s="10" t="s">
        <v>2266</v>
      </c>
      <c r="E134" s="7" t="s">
        <v>2267</v>
      </c>
      <c r="F134" s="7" t="s">
        <v>2268</v>
      </c>
      <c r="G134" s="9" t="s">
        <v>44</v>
      </c>
      <c r="H134" s="7" t="s">
        <v>77</v>
      </c>
      <c r="I134" s="7" t="s">
        <v>102</v>
      </c>
      <c r="J134" s="8">
        <v>1.808201E7</v>
      </c>
      <c r="K134" s="10" t="s">
        <v>2269</v>
      </c>
      <c r="L134" s="7" t="s">
        <v>2270</v>
      </c>
      <c r="M134" s="7" t="s">
        <v>49</v>
      </c>
      <c r="N134" s="7" t="s">
        <v>2268</v>
      </c>
      <c r="O134" s="8" t="s">
        <v>2271</v>
      </c>
      <c r="P134" s="8">
        <v>1.2112026E7</v>
      </c>
      <c r="Q134" s="11" t="s">
        <v>2272</v>
      </c>
      <c r="R134" s="11" t="s">
        <v>2273</v>
      </c>
      <c r="S134" s="7" t="s">
        <v>54</v>
      </c>
      <c r="T134" s="7" t="s">
        <v>55</v>
      </c>
      <c r="U134" s="7" t="s">
        <v>54</v>
      </c>
      <c r="V134" s="7" t="s">
        <v>55</v>
      </c>
      <c r="W134" s="11" t="s">
        <v>2274</v>
      </c>
      <c r="X134" s="7" t="s">
        <v>57</v>
      </c>
      <c r="Y134" s="7" t="s">
        <v>2268</v>
      </c>
      <c r="Z134" s="9" t="s">
        <v>2275</v>
      </c>
      <c r="AA134" s="7" t="s">
        <v>2276</v>
      </c>
      <c r="AB134" s="7" t="s">
        <v>2277</v>
      </c>
      <c r="AC134" s="7" t="s">
        <v>2268</v>
      </c>
      <c r="AD134" s="10" t="s">
        <v>2269</v>
      </c>
      <c r="AE134" s="7" t="s">
        <v>2278</v>
      </c>
      <c r="AF134" s="10" t="s">
        <v>2266</v>
      </c>
      <c r="AG134" s="17" t="s">
        <v>260</v>
      </c>
      <c r="AH134" s="18"/>
      <c r="AI134" s="13"/>
      <c r="AJ134" s="13"/>
      <c r="AK134" s="13"/>
      <c r="AL134" s="7" t="s">
        <v>2278</v>
      </c>
      <c r="AM134" s="7" t="s">
        <v>95</v>
      </c>
      <c r="AN134" s="7" t="s">
        <v>55</v>
      </c>
      <c r="AO134" s="7" t="s">
        <v>70</v>
      </c>
      <c r="AP134" s="13"/>
      <c r="AQ134" s="13"/>
      <c r="AR134" s="13"/>
      <c r="AS134" s="13"/>
      <c r="AT134" s="13"/>
      <c r="AU134" s="13"/>
    </row>
    <row r="135" hidden="1">
      <c r="A135" s="21">
        <v>45788.92753519676</v>
      </c>
      <c r="B135" s="22" t="s">
        <v>2279</v>
      </c>
      <c r="C135" s="22" t="s">
        <v>2280</v>
      </c>
      <c r="D135" s="23" t="s">
        <v>2281</v>
      </c>
      <c r="E135" s="22" t="s">
        <v>2282</v>
      </c>
      <c r="F135" s="22" t="s">
        <v>2283</v>
      </c>
      <c r="G135" s="24" t="s">
        <v>76</v>
      </c>
      <c r="H135" s="22" t="s">
        <v>77</v>
      </c>
      <c r="I135" s="22" t="s">
        <v>78</v>
      </c>
      <c r="J135" s="28">
        <v>1.0012011E7</v>
      </c>
      <c r="K135" s="23" t="s">
        <v>2281</v>
      </c>
      <c r="L135" s="22" t="s">
        <v>2282</v>
      </c>
      <c r="M135" s="22" t="s">
        <v>1072</v>
      </c>
      <c r="N135" s="25"/>
      <c r="O135" s="26"/>
      <c r="P135" s="26"/>
      <c r="Q135" s="25"/>
      <c r="R135" s="25"/>
      <c r="S135" s="25"/>
      <c r="T135" s="25"/>
      <c r="U135" s="25"/>
      <c r="V135" s="25"/>
      <c r="W135" s="25"/>
      <c r="X135" s="25"/>
      <c r="Y135" s="25"/>
      <c r="Z135" s="27"/>
      <c r="AA135" s="25"/>
      <c r="AB135" s="25"/>
      <c r="AC135" s="25"/>
      <c r="AD135" s="26"/>
      <c r="AE135" s="25"/>
      <c r="AF135" s="26"/>
      <c r="AG135" s="27"/>
      <c r="AH135" s="27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</row>
    <row r="136">
      <c r="A136" s="6">
        <v>45788.92854864583</v>
      </c>
      <c r="B136" s="7" t="s">
        <v>2284</v>
      </c>
      <c r="C136" s="7" t="s">
        <v>1443</v>
      </c>
      <c r="D136" s="10" t="s">
        <v>2285</v>
      </c>
      <c r="E136" s="7" t="s">
        <v>2286</v>
      </c>
      <c r="F136" s="7" t="s">
        <v>2287</v>
      </c>
      <c r="G136" s="9" t="s">
        <v>76</v>
      </c>
      <c r="H136" s="7" t="s">
        <v>45</v>
      </c>
      <c r="I136" s="7" t="s">
        <v>78</v>
      </c>
      <c r="J136" s="8">
        <v>2.1032008E7</v>
      </c>
      <c r="K136" s="10" t="s">
        <v>2288</v>
      </c>
      <c r="L136" s="7" t="s">
        <v>2289</v>
      </c>
      <c r="M136" s="7" t="s">
        <v>49</v>
      </c>
      <c r="N136" s="7" t="s">
        <v>2287</v>
      </c>
      <c r="O136" s="8" t="s">
        <v>2290</v>
      </c>
      <c r="P136" s="8">
        <v>2.9032028E7</v>
      </c>
      <c r="Q136" s="11" t="s">
        <v>2291</v>
      </c>
      <c r="R136" s="11" t="s">
        <v>2292</v>
      </c>
      <c r="S136" s="14" t="s">
        <v>170</v>
      </c>
      <c r="T136" s="14" t="s">
        <v>109</v>
      </c>
      <c r="U136" s="14" t="s">
        <v>54</v>
      </c>
      <c r="V136" s="14" t="s">
        <v>109</v>
      </c>
      <c r="W136" s="11" t="s">
        <v>2293</v>
      </c>
      <c r="X136" s="7" t="s">
        <v>57</v>
      </c>
      <c r="Y136" s="7" t="s">
        <v>2287</v>
      </c>
      <c r="Z136" s="9" t="s">
        <v>2294</v>
      </c>
      <c r="AA136" s="7" t="s">
        <v>2295</v>
      </c>
      <c r="AB136" s="7" t="s">
        <v>2296</v>
      </c>
      <c r="AC136" s="7" t="s">
        <v>2287</v>
      </c>
      <c r="AD136" s="10" t="s">
        <v>2288</v>
      </c>
      <c r="AE136" s="7" t="s">
        <v>2297</v>
      </c>
      <c r="AF136" s="10" t="s">
        <v>2285</v>
      </c>
      <c r="AG136" s="9" t="s">
        <v>64</v>
      </c>
      <c r="AH136" s="9">
        <v>2.0</v>
      </c>
      <c r="AI136" s="7" t="s">
        <v>2298</v>
      </c>
      <c r="AJ136" s="7" t="s">
        <v>109</v>
      </c>
      <c r="AK136" s="7">
        <v>2.2052025E7</v>
      </c>
      <c r="AL136" s="7" t="s">
        <v>2299</v>
      </c>
      <c r="AM136" s="7" t="s">
        <v>95</v>
      </c>
      <c r="AN136" s="7" t="s">
        <v>109</v>
      </c>
      <c r="AO136" s="7" t="s">
        <v>70</v>
      </c>
      <c r="AP136" s="13"/>
      <c r="AQ136" s="13"/>
      <c r="AR136" s="13"/>
      <c r="AS136" s="13"/>
      <c r="AT136" s="13"/>
      <c r="AU136" s="13"/>
    </row>
    <row r="137" hidden="1">
      <c r="A137" s="21">
        <v>45788.93161085648</v>
      </c>
      <c r="B137" s="22" t="s">
        <v>2300</v>
      </c>
      <c r="C137" s="22" t="s">
        <v>2301</v>
      </c>
      <c r="D137" s="23" t="s">
        <v>2302</v>
      </c>
      <c r="E137" s="22" t="s">
        <v>2303</v>
      </c>
      <c r="F137" s="22" t="s">
        <v>2304</v>
      </c>
      <c r="G137" s="24" t="s">
        <v>76</v>
      </c>
      <c r="H137" s="22" t="s">
        <v>45</v>
      </c>
      <c r="I137" s="22" t="s">
        <v>102</v>
      </c>
      <c r="J137" s="28" t="s">
        <v>2305</v>
      </c>
      <c r="K137" s="23" t="s">
        <v>2306</v>
      </c>
      <c r="L137" s="22" t="s">
        <v>2307</v>
      </c>
      <c r="M137" s="22" t="s">
        <v>1072</v>
      </c>
      <c r="N137" s="25"/>
      <c r="O137" s="26"/>
      <c r="P137" s="26"/>
      <c r="Q137" s="25"/>
      <c r="R137" s="25"/>
      <c r="S137" s="25"/>
      <c r="T137" s="25"/>
      <c r="U137" s="25"/>
      <c r="V137" s="25"/>
      <c r="W137" s="25"/>
      <c r="X137" s="25"/>
      <c r="Y137" s="25"/>
      <c r="Z137" s="27"/>
      <c r="AA137" s="25"/>
      <c r="AB137" s="25"/>
      <c r="AC137" s="25"/>
      <c r="AD137" s="26"/>
      <c r="AE137" s="25"/>
      <c r="AF137" s="26"/>
      <c r="AG137" s="27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</row>
    <row r="138" hidden="1">
      <c r="A138" s="6">
        <v>45788.93247745371</v>
      </c>
      <c r="B138" s="7" t="s">
        <v>2308</v>
      </c>
      <c r="C138" s="7" t="s">
        <v>2309</v>
      </c>
      <c r="D138" s="10" t="s">
        <v>2310</v>
      </c>
      <c r="E138" s="7" t="s">
        <v>2311</v>
      </c>
      <c r="F138" s="7" t="s">
        <v>2312</v>
      </c>
      <c r="G138" s="9" t="s">
        <v>76</v>
      </c>
      <c r="H138" s="7" t="s">
        <v>45</v>
      </c>
      <c r="I138" s="7" t="s">
        <v>322</v>
      </c>
      <c r="J138" s="8">
        <v>2.3082007E7</v>
      </c>
      <c r="K138" s="10" t="s">
        <v>2310</v>
      </c>
      <c r="L138" s="7" t="s">
        <v>2311</v>
      </c>
      <c r="M138" s="7" t="s">
        <v>49</v>
      </c>
      <c r="N138" s="7" t="s">
        <v>2313</v>
      </c>
      <c r="O138" s="8" t="s">
        <v>2314</v>
      </c>
      <c r="P138" s="8">
        <v>2.8012028E7</v>
      </c>
      <c r="Q138" s="11" t="s">
        <v>2315</v>
      </c>
      <c r="R138" s="11" t="s">
        <v>2316</v>
      </c>
      <c r="S138" s="14" t="s">
        <v>54</v>
      </c>
      <c r="T138" s="14" t="s">
        <v>1004</v>
      </c>
      <c r="U138" s="14" t="s">
        <v>2317</v>
      </c>
      <c r="V138" s="14" t="s">
        <v>1004</v>
      </c>
      <c r="W138" s="11" t="s">
        <v>2318</v>
      </c>
      <c r="X138" s="7" t="s">
        <v>57</v>
      </c>
      <c r="Y138" s="7" t="s">
        <v>2313</v>
      </c>
      <c r="Z138" s="12" t="s">
        <v>2319</v>
      </c>
      <c r="AA138" s="7" t="s">
        <v>2320</v>
      </c>
      <c r="AB138" s="7" t="s">
        <v>2321</v>
      </c>
      <c r="AC138" s="7" t="s">
        <v>2313</v>
      </c>
      <c r="AD138" s="10" t="s">
        <v>2310</v>
      </c>
      <c r="AE138" s="7" t="s">
        <v>2322</v>
      </c>
      <c r="AF138" s="10" t="s">
        <v>2323</v>
      </c>
      <c r="AG138" s="17" t="s">
        <v>260</v>
      </c>
      <c r="AH138" s="15"/>
      <c r="AI138" s="13"/>
      <c r="AJ138" s="13"/>
      <c r="AK138" s="13"/>
      <c r="AL138" s="19" t="s">
        <v>2323</v>
      </c>
      <c r="AM138" s="7" t="s">
        <v>117</v>
      </c>
      <c r="AN138" s="7" t="s">
        <v>55</v>
      </c>
      <c r="AO138" s="7" t="s">
        <v>70</v>
      </c>
      <c r="AP138" s="13"/>
      <c r="AQ138" s="13"/>
      <c r="AR138" s="13"/>
      <c r="AS138" s="13"/>
      <c r="AT138" s="13"/>
      <c r="AU138" s="13"/>
    </row>
    <row r="139" hidden="1">
      <c r="A139" s="21">
        <v>45789.379518692134</v>
      </c>
      <c r="B139" s="22" t="s">
        <v>2324</v>
      </c>
      <c r="C139" s="22" t="s">
        <v>2325</v>
      </c>
      <c r="D139" s="23" t="s">
        <v>2326</v>
      </c>
      <c r="E139" s="22" t="s">
        <v>2327</v>
      </c>
      <c r="F139" s="22" t="s">
        <v>2328</v>
      </c>
      <c r="G139" s="24" t="s">
        <v>76</v>
      </c>
      <c r="H139" s="22" t="s">
        <v>101</v>
      </c>
      <c r="I139" s="22" t="s">
        <v>78</v>
      </c>
      <c r="J139" s="28">
        <v>2.0032012E7</v>
      </c>
      <c r="K139" s="23" t="s">
        <v>2326</v>
      </c>
      <c r="L139" s="22" t="s">
        <v>2327</v>
      </c>
      <c r="M139" s="22" t="s">
        <v>1072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7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</row>
    <row r="140" hidden="1">
      <c r="A140" s="21">
        <v>45789.3913953125</v>
      </c>
      <c r="B140" s="22" t="s">
        <v>2329</v>
      </c>
      <c r="C140" s="22" t="s">
        <v>2330</v>
      </c>
      <c r="D140" s="23" t="s">
        <v>2331</v>
      </c>
      <c r="E140" s="22" t="s">
        <v>2332</v>
      </c>
      <c r="F140" s="22" t="s">
        <v>2333</v>
      </c>
      <c r="G140" s="24" t="s">
        <v>76</v>
      </c>
      <c r="H140" s="22" t="s">
        <v>101</v>
      </c>
      <c r="I140" s="22" t="s">
        <v>102</v>
      </c>
      <c r="J140" s="28" t="s">
        <v>2334</v>
      </c>
      <c r="K140" s="23" t="s">
        <v>2335</v>
      </c>
      <c r="L140" s="22" t="s">
        <v>2336</v>
      </c>
      <c r="M140" s="22" t="s">
        <v>1072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7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</row>
    <row r="141" hidden="1">
      <c r="A141" s="21">
        <v>45789.43248238426</v>
      </c>
      <c r="B141" s="22" t="s">
        <v>1210</v>
      </c>
      <c r="C141" s="22" t="s">
        <v>2337</v>
      </c>
      <c r="D141" s="23" t="s">
        <v>2338</v>
      </c>
      <c r="E141" s="22" t="s">
        <v>2339</v>
      </c>
      <c r="F141" s="22" t="s">
        <v>2340</v>
      </c>
      <c r="G141" s="24" t="s">
        <v>76</v>
      </c>
      <c r="H141" s="22" t="s">
        <v>77</v>
      </c>
      <c r="I141" s="22" t="s">
        <v>78</v>
      </c>
      <c r="J141" s="23" t="s">
        <v>2341</v>
      </c>
      <c r="K141" s="23" t="s">
        <v>2338</v>
      </c>
      <c r="L141" s="22" t="s">
        <v>2339</v>
      </c>
      <c r="M141" s="22" t="s">
        <v>1072</v>
      </c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7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</row>
    <row r="142" hidden="1">
      <c r="A142" s="21">
        <v>45789.97834997685</v>
      </c>
      <c r="B142" s="22" t="s">
        <v>2342</v>
      </c>
      <c r="C142" s="22" t="s">
        <v>2343</v>
      </c>
      <c r="D142" s="23" t="s">
        <v>2344</v>
      </c>
      <c r="E142" s="22" t="s">
        <v>2345</v>
      </c>
      <c r="F142" s="22" t="s">
        <v>2346</v>
      </c>
      <c r="G142" s="24" t="s">
        <v>76</v>
      </c>
      <c r="H142" s="22" t="s">
        <v>77</v>
      </c>
      <c r="I142" s="22" t="s">
        <v>1096</v>
      </c>
      <c r="J142" s="28">
        <v>1.606201E7</v>
      </c>
      <c r="K142" s="23" t="s">
        <v>2344</v>
      </c>
      <c r="L142" s="22" t="s">
        <v>2345</v>
      </c>
      <c r="M142" s="22" t="s">
        <v>1072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</row>
    <row r="143" hidden="1">
      <c r="A143" s="13"/>
      <c r="B143" s="13"/>
      <c r="C143" s="13"/>
      <c r="D143" s="29"/>
      <c r="E143" s="13"/>
      <c r="F143" s="13"/>
      <c r="G143" s="16"/>
      <c r="H143" s="13"/>
      <c r="I143" s="13"/>
      <c r="J143" s="29"/>
      <c r="K143" s="29"/>
      <c r="L143" s="13"/>
      <c r="M143" s="13"/>
      <c r="N143" s="13"/>
      <c r="O143" s="29"/>
      <c r="P143" s="29"/>
      <c r="Q143" s="13"/>
      <c r="R143" s="13"/>
      <c r="S143" s="13"/>
      <c r="T143" s="13"/>
      <c r="U143" s="13"/>
      <c r="V143" s="13"/>
      <c r="W143" s="13"/>
      <c r="X143" s="13"/>
      <c r="Y143" s="13"/>
      <c r="Z143" s="16"/>
      <c r="AA143" s="13"/>
      <c r="AB143" s="13"/>
      <c r="AC143" s="13"/>
      <c r="AD143" s="29"/>
      <c r="AE143" s="13"/>
      <c r="AF143" s="29"/>
      <c r="AG143" s="16"/>
      <c r="AH143" s="16"/>
      <c r="AI143" s="13"/>
      <c r="AJ143" s="13"/>
      <c r="AK143" s="16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hidden="1">
      <c r="A144" s="13"/>
      <c r="B144" s="13"/>
      <c r="C144" s="13"/>
      <c r="D144" s="29"/>
      <c r="E144" s="13"/>
      <c r="F144" s="13"/>
      <c r="G144" s="16"/>
      <c r="H144" s="13"/>
      <c r="I144" s="13"/>
      <c r="J144" s="29"/>
      <c r="K144" s="29"/>
      <c r="L144" s="13"/>
      <c r="M144" s="13"/>
      <c r="N144" s="13"/>
      <c r="O144" s="29"/>
      <c r="P144" s="29"/>
      <c r="Q144" s="13"/>
      <c r="R144" s="13"/>
      <c r="S144" s="13"/>
      <c r="T144" s="13"/>
      <c r="U144" s="13"/>
      <c r="V144" s="13"/>
      <c r="W144" s="13"/>
      <c r="X144" s="13"/>
      <c r="Y144" s="13"/>
      <c r="Z144" s="16"/>
      <c r="AA144" s="13"/>
      <c r="AB144" s="13"/>
      <c r="AC144" s="13"/>
      <c r="AD144" s="29"/>
      <c r="AE144" s="13"/>
      <c r="AF144" s="29"/>
      <c r="AG144" s="16"/>
      <c r="AH144" s="16"/>
      <c r="AI144" s="13"/>
      <c r="AJ144" s="13"/>
      <c r="AK144" s="16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hidden="1">
      <c r="A145" s="13"/>
      <c r="B145" s="13"/>
      <c r="C145" s="13"/>
      <c r="D145" s="29"/>
      <c r="E145" s="13"/>
      <c r="F145" s="13"/>
      <c r="G145" s="16"/>
      <c r="H145" s="13"/>
      <c r="I145" s="13"/>
      <c r="J145" s="29"/>
      <c r="K145" s="29"/>
      <c r="L145" s="13"/>
      <c r="M145" s="13"/>
      <c r="N145" s="13"/>
      <c r="O145" s="29"/>
      <c r="P145" s="29"/>
      <c r="Q145" s="13"/>
      <c r="R145" s="13"/>
      <c r="S145" s="13"/>
      <c r="T145" s="13"/>
      <c r="U145" s="13"/>
      <c r="V145" s="13"/>
      <c r="W145" s="13"/>
      <c r="X145" s="13"/>
      <c r="Y145" s="13"/>
      <c r="Z145" s="16"/>
      <c r="AA145" s="13"/>
      <c r="AB145" s="13"/>
      <c r="AC145" s="13"/>
      <c r="AD145" s="29"/>
      <c r="AE145" s="13"/>
      <c r="AF145" s="29"/>
      <c r="AG145" s="16"/>
      <c r="AH145" s="16"/>
      <c r="AI145" s="13"/>
      <c r="AJ145" s="13"/>
      <c r="AK145" s="16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hidden="1">
      <c r="A146" s="13"/>
      <c r="B146" s="13"/>
      <c r="C146" s="13"/>
      <c r="D146" s="29"/>
      <c r="E146" s="13"/>
      <c r="F146" s="13"/>
      <c r="G146" s="16"/>
      <c r="H146" s="13"/>
      <c r="I146" s="13"/>
      <c r="J146" s="29"/>
      <c r="K146" s="29"/>
      <c r="L146" s="13"/>
      <c r="M146" s="13"/>
      <c r="N146" s="13"/>
      <c r="O146" s="29"/>
      <c r="P146" s="29"/>
      <c r="Q146" s="13"/>
      <c r="R146" s="13"/>
      <c r="S146" s="13"/>
      <c r="T146" s="13"/>
      <c r="U146" s="13"/>
      <c r="V146" s="13"/>
      <c r="W146" s="13"/>
      <c r="X146" s="13"/>
      <c r="Y146" s="13"/>
      <c r="Z146" s="16"/>
      <c r="AA146" s="13"/>
      <c r="AB146" s="13"/>
      <c r="AC146" s="13"/>
      <c r="AD146" s="29"/>
      <c r="AE146" s="13"/>
      <c r="AF146" s="29"/>
      <c r="AG146" s="16"/>
      <c r="AH146" s="16"/>
      <c r="AI146" s="13"/>
      <c r="AJ146" s="13"/>
      <c r="AK146" s="16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hidden="1">
      <c r="A147" s="13"/>
      <c r="B147" s="13"/>
      <c r="C147" s="13"/>
      <c r="D147" s="29"/>
      <c r="E147" s="13"/>
      <c r="F147" s="13"/>
      <c r="G147" s="16"/>
      <c r="H147" s="13"/>
      <c r="I147" s="13"/>
      <c r="J147" s="29"/>
      <c r="K147" s="29"/>
      <c r="L147" s="13"/>
      <c r="M147" s="13"/>
      <c r="N147" s="13"/>
      <c r="O147" s="29"/>
      <c r="P147" s="29"/>
      <c r="Q147" s="13"/>
      <c r="R147" s="13"/>
      <c r="S147" s="13"/>
      <c r="T147" s="13"/>
      <c r="U147" s="13"/>
      <c r="V147" s="13"/>
      <c r="W147" s="13"/>
      <c r="X147" s="13"/>
      <c r="Y147" s="13"/>
      <c r="Z147" s="16"/>
      <c r="AA147" s="13"/>
      <c r="AB147" s="13"/>
      <c r="AC147" s="13"/>
      <c r="AD147" s="29"/>
      <c r="AE147" s="13"/>
      <c r="AF147" s="29"/>
      <c r="AG147" s="16"/>
      <c r="AH147" s="16"/>
      <c r="AI147" s="13"/>
      <c r="AJ147" s="13"/>
      <c r="AK147" s="16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hidden="1">
      <c r="A148" s="13"/>
      <c r="B148" s="13"/>
      <c r="C148" s="13"/>
      <c r="D148" s="29"/>
      <c r="E148" s="13"/>
      <c r="F148" s="13"/>
      <c r="G148" s="16"/>
      <c r="H148" s="13"/>
      <c r="I148" s="13"/>
      <c r="J148" s="29"/>
      <c r="K148" s="29"/>
      <c r="L148" s="13"/>
      <c r="M148" s="13"/>
      <c r="N148" s="13"/>
      <c r="O148" s="29"/>
      <c r="P148" s="29"/>
      <c r="Q148" s="13"/>
      <c r="R148" s="13"/>
      <c r="S148" s="13"/>
      <c r="T148" s="13"/>
      <c r="U148" s="13"/>
      <c r="V148" s="13"/>
      <c r="W148" s="13"/>
      <c r="X148" s="13"/>
      <c r="Y148" s="13"/>
      <c r="Z148" s="16"/>
      <c r="AA148" s="13"/>
      <c r="AB148" s="13"/>
      <c r="AC148" s="13"/>
      <c r="AD148" s="29"/>
      <c r="AE148" s="13"/>
      <c r="AF148" s="29"/>
      <c r="AG148" s="16"/>
      <c r="AH148" s="16"/>
      <c r="AI148" s="13"/>
      <c r="AJ148" s="13"/>
      <c r="AK148" s="16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</row>
    <row r="149" hidden="1">
      <c r="A149" s="13"/>
      <c r="B149" s="13"/>
      <c r="C149" s="13"/>
      <c r="D149" s="29"/>
      <c r="E149" s="13"/>
      <c r="F149" s="13"/>
      <c r="G149" s="16"/>
      <c r="H149" s="13"/>
      <c r="I149" s="13"/>
      <c r="J149" s="29"/>
      <c r="K149" s="29"/>
      <c r="L149" s="13"/>
      <c r="M149" s="13"/>
      <c r="N149" s="13"/>
      <c r="O149" s="29"/>
      <c r="P149" s="29"/>
      <c r="Q149" s="13"/>
      <c r="R149" s="13"/>
      <c r="S149" s="13"/>
      <c r="T149" s="13"/>
      <c r="U149" s="13"/>
      <c r="V149" s="13"/>
      <c r="W149" s="13"/>
      <c r="X149" s="13"/>
      <c r="Y149" s="13"/>
      <c r="Z149" s="16"/>
      <c r="AA149" s="13"/>
      <c r="AB149" s="13"/>
      <c r="AC149" s="13"/>
      <c r="AD149" s="29"/>
      <c r="AE149" s="13"/>
      <c r="AF149" s="29"/>
      <c r="AG149" s="16"/>
      <c r="AH149" s="16"/>
      <c r="AI149" s="13"/>
      <c r="AJ149" s="13"/>
      <c r="AK149" s="16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hidden="1">
      <c r="A150" s="13"/>
      <c r="B150" s="13"/>
      <c r="C150" s="13"/>
      <c r="D150" s="29"/>
      <c r="E150" s="13"/>
      <c r="F150" s="13"/>
      <c r="G150" s="16"/>
      <c r="H150" s="13"/>
      <c r="I150" s="13"/>
      <c r="J150" s="29"/>
      <c r="K150" s="29"/>
      <c r="L150" s="13"/>
      <c r="M150" s="13"/>
      <c r="N150" s="13"/>
      <c r="O150" s="29"/>
      <c r="P150" s="29"/>
      <c r="Q150" s="13"/>
      <c r="R150" s="13"/>
      <c r="S150" s="13"/>
      <c r="T150" s="13"/>
      <c r="U150" s="13"/>
      <c r="V150" s="13"/>
      <c r="W150" s="13"/>
      <c r="X150" s="13"/>
      <c r="Y150" s="13"/>
      <c r="Z150" s="16"/>
      <c r="AA150" s="13"/>
      <c r="AB150" s="13"/>
      <c r="AC150" s="13"/>
      <c r="AD150" s="29"/>
      <c r="AE150" s="13"/>
      <c r="AF150" s="29"/>
      <c r="AG150" s="16"/>
      <c r="AH150" s="16"/>
      <c r="AI150" s="13"/>
      <c r="AJ150" s="13"/>
      <c r="AK150" s="16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hidden="1">
      <c r="A151" s="13"/>
      <c r="B151" s="13"/>
      <c r="C151" s="13"/>
      <c r="D151" s="29"/>
      <c r="E151" s="13"/>
      <c r="F151" s="13"/>
      <c r="G151" s="16"/>
      <c r="H151" s="13"/>
      <c r="I151" s="13"/>
      <c r="J151" s="29"/>
      <c r="K151" s="29"/>
      <c r="L151" s="13"/>
      <c r="M151" s="13"/>
      <c r="N151" s="13"/>
      <c r="O151" s="29"/>
      <c r="P151" s="29"/>
      <c r="Q151" s="13"/>
      <c r="R151" s="13"/>
      <c r="S151" s="13"/>
      <c r="T151" s="13"/>
      <c r="U151" s="13"/>
      <c r="V151" s="13"/>
      <c r="W151" s="13"/>
      <c r="X151" s="13"/>
      <c r="Y151" s="13"/>
      <c r="Z151" s="16"/>
      <c r="AA151" s="13"/>
      <c r="AB151" s="13"/>
      <c r="AC151" s="13"/>
      <c r="AD151" s="29"/>
      <c r="AE151" s="13"/>
      <c r="AF151" s="29"/>
      <c r="AG151" s="16"/>
      <c r="AH151" s="16"/>
      <c r="AI151" s="13"/>
      <c r="AJ151" s="13"/>
      <c r="AK151" s="16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hidden="1">
      <c r="A152" s="13"/>
      <c r="B152" s="13"/>
      <c r="C152" s="13"/>
      <c r="D152" s="29"/>
      <c r="E152" s="13"/>
      <c r="F152" s="13"/>
      <c r="G152" s="16"/>
      <c r="H152" s="13"/>
      <c r="I152" s="13"/>
      <c r="J152" s="29"/>
      <c r="K152" s="29"/>
      <c r="L152" s="13"/>
      <c r="M152" s="13"/>
      <c r="N152" s="13"/>
      <c r="O152" s="29"/>
      <c r="P152" s="29"/>
      <c r="Q152" s="13"/>
      <c r="R152" s="13"/>
      <c r="S152" s="13"/>
      <c r="T152" s="13"/>
      <c r="U152" s="13"/>
      <c r="V152" s="13"/>
      <c r="W152" s="13"/>
      <c r="X152" s="13"/>
      <c r="Y152" s="13"/>
      <c r="Z152" s="16"/>
      <c r="AA152" s="13"/>
      <c r="AB152" s="13"/>
      <c r="AC152" s="13"/>
      <c r="AD152" s="29"/>
      <c r="AE152" s="13"/>
      <c r="AF152" s="29"/>
      <c r="AG152" s="16"/>
      <c r="AH152" s="16"/>
      <c r="AI152" s="13"/>
      <c r="AJ152" s="13"/>
      <c r="AK152" s="16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hidden="1">
      <c r="A153" s="13"/>
      <c r="B153" s="13"/>
      <c r="C153" s="13"/>
      <c r="D153" s="29"/>
      <c r="E153" s="13"/>
      <c r="F153" s="13"/>
      <c r="G153" s="16"/>
      <c r="H153" s="13"/>
      <c r="I153" s="13"/>
      <c r="J153" s="29"/>
      <c r="K153" s="29"/>
      <c r="L153" s="13"/>
      <c r="M153" s="13"/>
      <c r="N153" s="13"/>
      <c r="O153" s="29"/>
      <c r="P153" s="29"/>
      <c r="Q153" s="13"/>
      <c r="R153" s="13"/>
      <c r="S153" s="13"/>
      <c r="T153" s="13"/>
      <c r="U153" s="13"/>
      <c r="V153" s="13"/>
      <c r="W153" s="13"/>
      <c r="X153" s="13"/>
      <c r="Y153" s="13"/>
      <c r="Z153" s="16"/>
      <c r="AA153" s="13"/>
      <c r="AB153" s="13"/>
      <c r="AC153" s="13"/>
      <c r="AD153" s="29"/>
      <c r="AE153" s="13"/>
      <c r="AF153" s="29"/>
      <c r="AG153" s="16"/>
      <c r="AH153" s="16"/>
      <c r="AI153" s="13"/>
      <c r="AJ153" s="13"/>
      <c r="AK153" s="16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hidden="1">
      <c r="A154" s="13"/>
      <c r="B154" s="13"/>
      <c r="C154" s="13"/>
      <c r="D154" s="29"/>
      <c r="E154" s="13"/>
      <c r="F154" s="13"/>
      <c r="G154" s="16"/>
      <c r="H154" s="13"/>
      <c r="I154" s="13"/>
      <c r="J154" s="29"/>
      <c r="K154" s="29"/>
      <c r="L154" s="13"/>
      <c r="M154" s="13"/>
      <c r="N154" s="13"/>
      <c r="O154" s="29"/>
      <c r="P154" s="29"/>
      <c r="Q154" s="13"/>
      <c r="R154" s="13"/>
      <c r="S154" s="13"/>
      <c r="T154" s="13"/>
      <c r="U154" s="13"/>
      <c r="V154" s="13"/>
      <c r="W154" s="13"/>
      <c r="X154" s="13"/>
      <c r="Y154" s="13"/>
      <c r="Z154" s="16"/>
      <c r="AA154" s="13"/>
      <c r="AB154" s="13"/>
      <c r="AC154" s="13"/>
      <c r="AD154" s="29"/>
      <c r="AE154" s="13"/>
      <c r="AF154" s="29"/>
      <c r="AG154" s="16"/>
      <c r="AH154" s="16"/>
      <c r="AI154" s="13"/>
      <c r="AJ154" s="13"/>
      <c r="AK154" s="16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hidden="1">
      <c r="A155" s="13"/>
      <c r="B155" s="13"/>
      <c r="C155" s="13"/>
      <c r="D155" s="29"/>
      <c r="E155" s="13"/>
      <c r="F155" s="13"/>
      <c r="G155" s="16"/>
      <c r="H155" s="13"/>
      <c r="I155" s="13"/>
      <c r="J155" s="29"/>
      <c r="K155" s="29"/>
      <c r="L155" s="13"/>
      <c r="M155" s="13"/>
      <c r="N155" s="13"/>
      <c r="O155" s="29"/>
      <c r="P155" s="29"/>
      <c r="Q155" s="13"/>
      <c r="R155" s="13"/>
      <c r="S155" s="13"/>
      <c r="T155" s="13"/>
      <c r="U155" s="13"/>
      <c r="V155" s="13"/>
      <c r="W155" s="13"/>
      <c r="X155" s="13"/>
      <c r="Y155" s="13"/>
      <c r="Z155" s="16"/>
      <c r="AA155" s="13"/>
      <c r="AB155" s="13"/>
      <c r="AC155" s="13"/>
      <c r="AD155" s="29"/>
      <c r="AE155" s="13"/>
      <c r="AF155" s="29"/>
      <c r="AG155" s="16"/>
      <c r="AH155" s="16"/>
      <c r="AI155" s="13"/>
      <c r="AJ155" s="13"/>
      <c r="AK155" s="16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hidden="1">
      <c r="A156" s="13"/>
      <c r="B156" s="13"/>
      <c r="C156" s="13"/>
      <c r="D156" s="29"/>
      <c r="E156" s="13"/>
      <c r="F156" s="13"/>
      <c r="G156" s="16"/>
      <c r="H156" s="13"/>
      <c r="I156" s="13"/>
      <c r="J156" s="29"/>
      <c r="K156" s="29"/>
      <c r="L156" s="13"/>
      <c r="M156" s="13"/>
      <c r="N156" s="13"/>
      <c r="O156" s="29"/>
      <c r="P156" s="29"/>
      <c r="Q156" s="13"/>
      <c r="R156" s="13"/>
      <c r="S156" s="13"/>
      <c r="T156" s="13"/>
      <c r="U156" s="13"/>
      <c r="V156" s="13"/>
      <c r="W156" s="13"/>
      <c r="X156" s="13"/>
      <c r="Y156" s="13"/>
      <c r="Z156" s="16"/>
      <c r="AA156" s="13"/>
      <c r="AB156" s="13"/>
      <c r="AC156" s="13"/>
      <c r="AD156" s="29"/>
      <c r="AE156" s="13"/>
      <c r="AF156" s="29"/>
      <c r="AG156" s="16"/>
      <c r="AH156" s="16"/>
      <c r="AI156" s="13"/>
      <c r="AJ156" s="13"/>
      <c r="AK156" s="16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hidden="1">
      <c r="A157" s="13"/>
      <c r="B157" s="13"/>
      <c r="C157" s="13"/>
      <c r="D157" s="29"/>
      <c r="E157" s="13"/>
      <c r="F157" s="13"/>
      <c r="G157" s="16"/>
      <c r="H157" s="13"/>
      <c r="I157" s="13"/>
      <c r="J157" s="29"/>
      <c r="K157" s="29"/>
      <c r="L157" s="13"/>
      <c r="M157" s="13"/>
      <c r="N157" s="13"/>
      <c r="O157" s="29"/>
      <c r="P157" s="29"/>
      <c r="Q157" s="13"/>
      <c r="R157" s="13"/>
      <c r="S157" s="13"/>
      <c r="T157" s="13"/>
      <c r="U157" s="13"/>
      <c r="V157" s="13"/>
      <c r="W157" s="13"/>
      <c r="X157" s="13"/>
      <c r="Y157" s="13"/>
      <c r="Z157" s="16"/>
      <c r="AA157" s="13"/>
      <c r="AB157" s="13"/>
      <c r="AC157" s="13"/>
      <c r="AD157" s="29"/>
      <c r="AE157" s="13"/>
      <c r="AF157" s="29"/>
      <c r="AG157" s="16"/>
      <c r="AH157" s="16"/>
      <c r="AI157" s="13"/>
      <c r="AJ157" s="13"/>
      <c r="AK157" s="16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hidden="1">
      <c r="A158" s="13"/>
      <c r="B158" s="13"/>
      <c r="C158" s="13"/>
      <c r="D158" s="29"/>
      <c r="E158" s="13"/>
      <c r="F158" s="13"/>
      <c r="G158" s="16"/>
      <c r="H158" s="13"/>
      <c r="I158" s="13"/>
      <c r="J158" s="29"/>
      <c r="K158" s="29"/>
      <c r="L158" s="13"/>
      <c r="M158" s="13"/>
      <c r="N158" s="13"/>
      <c r="O158" s="29"/>
      <c r="P158" s="29"/>
      <c r="Q158" s="13"/>
      <c r="R158" s="13"/>
      <c r="S158" s="13"/>
      <c r="T158" s="13"/>
      <c r="U158" s="13"/>
      <c r="V158" s="13"/>
      <c r="W158" s="13"/>
      <c r="X158" s="13"/>
      <c r="Y158" s="13"/>
      <c r="Z158" s="16"/>
      <c r="AA158" s="13"/>
      <c r="AB158" s="13"/>
      <c r="AC158" s="13"/>
      <c r="AD158" s="29"/>
      <c r="AE158" s="13"/>
      <c r="AF158" s="29"/>
      <c r="AG158" s="16"/>
      <c r="AH158" s="16"/>
      <c r="AI158" s="13"/>
      <c r="AJ158" s="13"/>
      <c r="AK158" s="16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</row>
    <row r="159" hidden="1">
      <c r="A159" s="13"/>
      <c r="B159" s="13"/>
      <c r="C159" s="13"/>
      <c r="D159" s="29"/>
      <c r="E159" s="13"/>
      <c r="F159" s="13"/>
      <c r="G159" s="16"/>
      <c r="H159" s="13"/>
      <c r="I159" s="13"/>
      <c r="J159" s="29"/>
      <c r="K159" s="29"/>
      <c r="L159" s="13"/>
      <c r="M159" s="13"/>
      <c r="N159" s="13"/>
      <c r="O159" s="29"/>
      <c r="P159" s="29"/>
      <c r="Q159" s="13"/>
      <c r="R159" s="13"/>
      <c r="S159" s="13"/>
      <c r="T159" s="13"/>
      <c r="U159" s="13"/>
      <c r="V159" s="13"/>
      <c r="W159" s="13"/>
      <c r="X159" s="13"/>
      <c r="Y159" s="13"/>
      <c r="Z159" s="16"/>
      <c r="AA159" s="13"/>
      <c r="AB159" s="13"/>
      <c r="AC159" s="13"/>
      <c r="AD159" s="29"/>
      <c r="AE159" s="13"/>
      <c r="AF159" s="29"/>
      <c r="AG159" s="16"/>
      <c r="AH159" s="16"/>
      <c r="AI159" s="13"/>
      <c r="AJ159" s="13"/>
      <c r="AK159" s="16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hidden="1">
      <c r="A160" s="13"/>
      <c r="B160" s="13"/>
      <c r="C160" s="13"/>
      <c r="D160" s="29"/>
      <c r="E160" s="13"/>
      <c r="F160" s="13"/>
      <c r="G160" s="16"/>
      <c r="H160" s="13"/>
      <c r="I160" s="13"/>
      <c r="J160" s="29"/>
      <c r="K160" s="29"/>
      <c r="L160" s="13"/>
      <c r="M160" s="13"/>
      <c r="N160" s="13"/>
      <c r="O160" s="29"/>
      <c r="P160" s="29"/>
      <c r="Q160" s="13"/>
      <c r="R160" s="13"/>
      <c r="S160" s="13"/>
      <c r="T160" s="13"/>
      <c r="U160" s="13"/>
      <c r="V160" s="13"/>
      <c r="W160" s="13"/>
      <c r="X160" s="13"/>
      <c r="Y160" s="13"/>
      <c r="Z160" s="16"/>
      <c r="AA160" s="13"/>
      <c r="AB160" s="13"/>
      <c r="AC160" s="13"/>
      <c r="AD160" s="29"/>
      <c r="AE160" s="13"/>
      <c r="AF160" s="29"/>
      <c r="AG160" s="16"/>
      <c r="AH160" s="16"/>
      <c r="AI160" s="13"/>
      <c r="AJ160" s="13"/>
      <c r="AK160" s="16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</row>
    <row r="161" hidden="1">
      <c r="A161" s="13"/>
      <c r="B161" s="13"/>
      <c r="C161" s="13"/>
      <c r="D161" s="29"/>
      <c r="E161" s="13"/>
      <c r="F161" s="13"/>
      <c r="G161" s="16"/>
      <c r="H161" s="13"/>
      <c r="I161" s="13"/>
      <c r="J161" s="29"/>
      <c r="K161" s="29"/>
      <c r="L161" s="13"/>
      <c r="M161" s="13"/>
      <c r="N161" s="13"/>
      <c r="O161" s="29"/>
      <c r="P161" s="29"/>
      <c r="Q161" s="13"/>
      <c r="R161" s="13"/>
      <c r="S161" s="13"/>
      <c r="T161" s="13"/>
      <c r="U161" s="13"/>
      <c r="V161" s="13"/>
      <c r="W161" s="13"/>
      <c r="X161" s="13"/>
      <c r="Y161" s="13"/>
      <c r="Z161" s="16"/>
      <c r="AA161" s="13"/>
      <c r="AB161" s="13"/>
      <c r="AC161" s="13"/>
      <c r="AD161" s="29"/>
      <c r="AE161" s="13"/>
      <c r="AF161" s="29"/>
      <c r="AG161" s="16"/>
      <c r="AH161" s="16"/>
      <c r="AI161" s="13"/>
      <c r="AJ161" s="13"/>
      <c r="AK161" s="16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hidden="1">
      <c r="A162" s="13"/>
      <c r="B162" s="13"/>
      <c r="C162" s="13"/>
      <c r="D162" s="29"/>
      <c r="E162" s="13"/>
      <c r="F162" s="13"/>
      <c r="G162" s="16"/>
      <c r="H162" s="13"/>
      <c r="I162" s="13"/>
      <c r="J162" s="29"/>
      <c r="K162" s="29"/>
      <c r="L162" s="13"/>
      <c r="M162" s="13"/>
      <c r="N162" s="13"/>
      <c r="O162" s="29"/>
      <c r="P162" s="29"/>
      <c r="Q162" s="13"/>
      <c r="R162" s="13"/>
      <c r="S162" s="13"/>
      <c r="T162" s="13"/>
      <c r="U162" s="13"/>
      <c r="V162" s="13"/>
      <c r="W162" s="13"/>
      <c r="X162" s="13"/>
      <c r="Y162" s="13"/>
      <c r="Z162" s="16"/>
      <c r="AA162" s="13"/>
      <c r="AB162" s="13"/>
      <c r="AC162" s="13"/>
      <c r="AD162" s="29"/>
      <c r="AE162" s="13"/>
      <c r="AF162" s="29"/>
      <c r="AG162" s="16"/>
      <c r="AH162" s="16"/>
      <c r="AI162" s="13"/>
      <c r="AJ162" s="13"/>
      <c r="AK162" s="16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hidden="1">
      <c r="A163" s="13"/>
      <c r="B163" s="13"/>
      <c r="C163" s="13"/>
      <c r="D163" s="29"/>
      <c r="E163" s="13"/>
      <c r="F163" s="13"/>
      <c r="G163" s="16"/>
      <c r="H163" s="13"/>
      <c r="I163" s="13"/>
      <c r="J163" s="29"/>
      <c r="K163" s="29"/>
      <c r="L163" s="13"/>
      <c r="M163" s="13"/>
      <c r="N163" s="13"/>
      <c r="O163" s="29"/>
      <c r="P163" s="29"/>
      <c r="Q163" s="13"/>
      <c r="R163" s="13"/>
      <c r="S163" s="13"/>
      <c r="T163" s="13"/>
      <c r="U163" s="13"/>
      <c r="V163" s="13"/>
      <c r="W163" s="13"/>
      <c r="X163" s="13"/>
      <c r="Y163" s="13"/>
      <c r="Z163" s="16"/>
      <c r="AA163" s="13"/>
      <c r="AB163" s="13"/>
      <c r="AC163" s="13"/>
      <c r="AD163" s="29"/>
      <c r="AE163" s="13"/>
      <c r="AF163" s="29"/>
      <c r="AG163" s="16"/>
      <c r="AH163" s="16"/>
      <c r="AI163" s="13"/>
      <c r="AJ163" s="13"/>
      <c r="AK163" s="16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hidden="1">
      <c r="A164" s="13"/>
      <c r="B164" s="13"/>
      <c r="C164" s="13"/>
      <c r="D164" s="29"/>
      <c r="E164" s="13"/>
      <c r="F164" s="13"/>
      <c r="G164" s="16"/>
      <c r="H164" s="13"/>
      <c r="I164" s="13"/>
      <c r="J164" s="29"/>
      <c r="K164" s="29"/>
      <c r="L164" s="13"/>
      <c r="M164" s="13"/>
      <c r="N164" s="13"/>
      <c r="O164" s="29"/>
      <c r="P164" s="29"/>
      <c r="Q164" s="13"/>
      <c r="R164" s="13"/>
      <c r="S164" s="13"/>
      <c r="T164" s="13"/>
      <c r="U164" s="13"/>
      <c r="V164" s="13"/>
      <c r="W164" s="13"/>
      <c r="X164" s="13"/>
      <c r="Y164" s="13"/>
      <c r="Z164" s="16"/>
      <c r="AA164" s="13"/>
      <c r="AB164" s="13"/>
      <c r="AC164" s="13"/>
      <c r="AD164" s="29"/>
      <c r="AE164" s="13"/>
      <c r="AF164" s="29"/>
      <c r="AG164" s="16"/>
      <c r="AH164" s="16"/>
      <c r="AI164" s="13"/>
      <c r="AJ164" s="13"/>
      <c r="AK164" s="16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hidden="1">
      <c r="A165" s="13"/>
      <c r="B165" s="13"/>
      <c r="C165" s="13"/>
      <c r="D165" s="29"/>
      <c r="E165" s="13"/>
      <c r="F165" s="13"/>
      <c r="G165" s="16"/>
      <c r="H165" s="13"/>
      <c r="I165" s="13"/>
      <c r="J165" s="29"/>
      <c r="K165" s="29"/>
      <c r="L165" s="13"/>
      <c r="M165" s="13"/>
      <c r="N165" s="13"/>
      <c r="O165" s="29"/>
      <c r="P165" s="29"/>
      <c r="Q165" s="13"/>
      <c r="R165" s="13"/>
      <c r="S165" s="13"/>
      <c r="T165" s="13"/>
      <c r="U165" s="13"/>
      <c r="V165" s="13"/>
      <c r="W165" s="13"/>
      <c r="X165" s="13"/>
      <c r="Y165" s="13"/>
      <c r="Z165" s="16"/>
      <c r="AA165" s="13"/>
      <c r="AB165" s="13"/>
      <c r="AC165" s="13"/>
      <c r="AD165" s="29"/>
      <c r="AE165" s="13"/>
      <c r="AF165" s="29"/>
      <c r="AG165" s="16"/>
      <c r="AH165" s="16"/>
      <c r="AI165" s="13"/>
      <c r="AJ165" s="13"/>
      <c r="AK165" s="16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hidden="1">
      <c r="A166" s="13"/>
      <c r="B166" s="13"/>
      <c r="C166" s="13"/>
      <c r="D166" s="29"/>
      <c r="E166" s="13"/>
      <c r="F166" s="13"/>
      <c r="G166" s="16"/>
      <c r="H166" s="13"/>
      <c r="I166" s="13"/>
      <c r="J166" s="29"/>
      <c r="K166" s="29"/>
      <c r="L166" s="13"/>
      <c r="M166" s="13"/>
      <c r="N166" s="13"/>
      <c r="O166" s="29"/>
      <c r="P166" s="29"/>
      <c r="Q166" s="13"/>
      <c r="R166" s="13"/>
      <c r="S166" s="13"/>
      <c r="T166" s="13"/>
      <c r="U166" s="13"/>
      <c r="V166" s="13"/>
      <c r="W166" s="13"/>
      <c r="X166" s="13"/>
      <c r="Y166" s="13"/>
      <c r="Z166" s="16"/>
      <c r="AA166" s="13"/>
      <c r="AB166" s="13"/>
      <c r="AC166" s="13"/>
      <c r="AD166" s="29"/>
      <c r="AE166" s="13"/>
      <c r="AF166" s="29"/>
      <c r="AG166" s="16"/>
      <c r="AH166" s="16"/>
      <c r="AI166" s="13"/>
      <c r="AJ166" s="13"/>
      <c r="AK166" s="16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hidden="1">
      <c r="A167" s="13"/>
      <c r="B167" s="13"/>
      <c r="C167" s="13"/>
      <c r="D167" s="29"/>
      <c r="E167" s="13"/>
      <c r="F167" s="13"/>
      <c r="G167" s="16"/>
      <c r="H167" s="13"/>
      <c r="I167" s="13"/>
      <c r="J167" s="29"/>
      <c r="K167" s="29"/>
      <c r="L167" s="13"/>
      <c r="M167" s="13"/>
      <c r="N167" s="13"/>
      <c r="O167" s="29"/>
      <c r="P167" s="29"/>
      <c r="Q167" s="13"/>
      <c r="R167" s="13"/>
      <c r="S167" s="13"/>
      <c r="T167" s="13"/>
      <c r="U167" s="13"/>
      <c r="V167" s="13"/>
      <c r="W167" s="13"/>
      <c r="X167" s="13"/>
      <c r="Y167" s="13"/>
      <c r="Z167" s="16"/>
      <c r="AA167" s="13"/>
      <c r="AB167" s="13"/>
      <c r="AC167" s="13"/>
      <c r="AD167" s="29"/>
      <c r="AE167" s="13"/>
      <c r="AF167" s="29"/>
      <c r="AG167" s="16"/>
      <c r="AH167" s="16"/>
      <c r="AI167" s="13"/>
      <c r="AJ167" s="13"/>
      <c r="AK167" s="16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hidden="1">
      <c r="A168" s="13"/>
      <c r="B168" s="13"/>
      <c r="C168" s="13"/>
      <c r="D168" s="29"/>
      <c r="E168" s="13"/>
      <c r="F168" s="13"/>
      <c r="G168" s="16"/>
      <c r="H168" s="13"/>
      <c r="I168" s="13"/>
      <c r="J168" s="29"/>
      <c r="K168" s="29"/>
      <c r="L168" s="13"/>
      <c r="M168" s="13"/>
      <c r="N168" s="13"/>
      <c r="O168" s="29"/>
      <c r="P168" s="29"/>
      <c r="Q168" s="13"/>
      <c r="R168" s="13"/>
      <c r="S168" s="13"/>
      <c r="T168" s="13"/>
      <c r="U168" s="13"/>
      <c r="V168" s="13"/>
      <c r="W168" s="13"/>
      <c r="X168" s="13"/>
      <c r="Y168" s="13"/>
      <c r="Z168" s="16"/>
      <c r="AA168" s="13"/>
      <c r="AB168" s="13"/>
      <c r="AC168" s="13"/>
      <c r="AD168" s="29"/>
      <c r="AE168" s="13"/>
      <c r="AF168" s="29"/>
      <c r="AG168" s="16"/>
      <c r="AH168" s="16"/>
      <c r="AI168" s="13"/>
      <c r="AJ168" s="13"/>
      <c r="AK168" s="16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hidden="1">
      <c r="A169" s="13"/>
      <c r="B169" s="13"/>
      <c r="C169" s="13"/>
      <c r="D169" s="29"/>
      <c r="E169" s="13"/>
      <c r="F169" s="13"/>
      <c r="G169" s="16"/>
      <c r="H169" s="13"/>
      <c r="I169" s="13"/>
      <c r="J169" s="29"/>
      <c r="K169" s="29"/>
      <c r="L169" s="13"/>
      <c r="M169" s="13"/>
      <c r="N169" s="13"/>
      <c r="O169" s="29"/>
      <c r="P169" s="29"/>
      <c r="Q169" s="13"/>
      <c r="R169" s="13"/>
      <c r="S169" s="13"/>
      <c r="T169" s="13"/>
      <c r="U169" s="13"/>
      <c r="V169" s="13"/>
      <c r="W169" s="13"/>
      <c r="X169" s="13"/>
      <c r="Y169" s="13"/>
      <c r="Z169" s="16"/>
      <c r="AA169" s="13"/>
      <c r="AB169" s="13"/>
      <c r="AC169" s="13"/>
      <c r="AD169" s="29"/>
      <c r="AE169" s="13"/>
      <c r="AF169" s="29"/>
      <c r="AG169" s="16"/>
      <c r="AH169" s="16"/>
      <c r="AI169" s="13"/>
      <c r="AJ169" s="13"/>
      <c r="AK169" s="16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hidden="1">
      <c r="A170" s="13"/>
      <c r="B170" s="13"/>
      <c r="C170" s="13"/>
      <c r="D170" s="29"/>
      <c r="E170" s="13"/>
      <c r="F170" s="13"/>
      <c r="G170" s="16"/>
      <c r="H170" s="13"/>
      <c r="I170" s="13"/>
      <c r="J170" s="29"/>
      <c r="K170" s="29"/>
      <c r="L170" s="13"/>
      <c r="M170" s="13"/>
      <c r="N170" s="13"/>
      <c r="O170" s="29"/>
      <c r="P170" s="29"/>
      <c r="Q170" s="13"/>
      <c r="R170" s="13"/>
      <c r="S170" s="13"/>
      <c r="T170" s="13"/>
      <c r="U170" s="13"/>
      <c r="V170" s="13"/>
      <c r="W170" s="13"/>
      <c r="X170" s="13"/>
      <c r="Y170" s="13"/>
      <c r="Z170" s="16"/>
      <c r="AA170" s="13"/>
      <c r="AB170" s="13"/>
      <c r="AC170" s="13"/>
      <c r="AD170" s="29"/>
      <c r="AE170" s="13"/>
      <c r="AF170" s="29"/>
      <c r="AG170" s="16"/>
      <c r="AH170" s="16"/>
      <c r="AI170" s="13"/>
      <c r="AJ170" s="13"/>
      <c r="AK170" s="16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hidden="1">
      <c r="A171" s="13"/>
      <c r="B171" s="13"/>
      <c r="C171" s="13"/>
      <c r="D171" s="29"/>
      <c r="E171" s="13"/>
      <c r="F171" s="13"/>
      <c r="G171" s="16"/>
      <c r="H171" s="13"/>
      <c r="I171" s="13"/>
      <c r="J171" s="29"/>
      <c r="K171" s="29"/>
      <c r="L171" s="13"/>
      <c r="M171" s="13"/>
      <c r="N171" s="13"/>
      <c r="O171" s="29"/>
      <c r="P171" s="29"/>
      <c r="Q171" s="13"/>
      <c r="R171" s="13"/>
      <c r="S171" s="13"/>
      <c r="T171" s="13"/>
      <c r="U171" s="13"/>
      <c r="V171" s="13"/>
      <c r="W171" s="13"/>
      <c r="X171" s="13"/>
      <c r="Y171" s="13"/>
      <c r="Z171" s="16"/>
      <c r="AA171" s="13"/>
      <c r="AB171" s="13"/>
      <c r="AC171" s="13"/>
      <c r="AD171" s="29"/>
      <c r="AE171" s="13"/>
      <c r="AF171" s="29"/>
      <c r="AG171" s="16"/>
      <c r="AH171" s="16"/>
      <c r="AI171" s="13"/>
      <c r="AJ171" s="13"/>
      <c r="AK171" s="16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hidden="1">
      <c r="A172" s="13"/>
      <c r="B172" s="13"/>
      <c r="C172" s="13"/>
      <c r="D172" s="29"/>
      <c r="E172" s="13"/>
      <c r="F172" s="13"/>
      <c r="G172" s="16"/>
      <c r="H172" s="13"/>
      <c r="I172" s="13"/>
      <c r="J172" s="29"/>
      <c r="K172" s="29"/>
      <c r="L172" s="13"/>
      <c r="M172" s="13"/>
      <c r="N172" s="13"/>
      <c r="O172" s="29"/>
      <c r="P172" s="29"/>
      <c r="Q172" s="13"/>
      <c r="R172" s="13"/>
      <c r="S172" s="13"/>
      <c r="T172" s="13"/>
      <c r="U172" s="13"/>
      <c r="V172" s="13"/>
      <c r="W172" s="13"/>
      <c r="X172" s="13"/>
      <c r="Y172" s="13"/>
      <c r="Z172" s="16"/>
      <c r="AA172" s="13"/>
      <c r="AB172" s="13"/>
      <c r="AC172" s="13"/>
      <c r="AD172" s="29"/>
      <c r="AE172" s="13"/>
      <c r="AF172" s="29"/>
      <c r="AG172" s="16"/>
      <c r="AH172" s="16"/>
      <c r="AI172" s="13"/>
      <c r="AJ172" s="13"/>
      <c r="AK172" s="16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hidden="1">
      <c r="A173" s="13"/>
      <c r="B173" s="13"/>
      <c r="C173" s="13"/>
      <c r="D173" s="29"/>
      <c r="E173" s="13"/>
      <c r="F173" s="13"/>
      <c r="G173" s="16"/>
      <c r="H173" s="13"/>
      <c r="I173" s="13"/>
      <c r="J173" s="29"/>
      <c r="K173" s="29"/>
      <c r="L173" s="13"/>
      <c r="M173" s="13"/>
      <c r="N173" s="13"/>
      <c r="O173" s="29"/>
      <c r="P173" s="29"/>
      <c r="Q173" s="13"/>
      <c r="R173" s="13"/>
      <c r="S173" s="13"/>
      <c r="T173" s="13"/>
      <c r="U173" s="13"/>
      <c r="V173" s="13"/>
      <c r="W173" s="13"/>
      <c r="X173" s="13"/>
      <c r="Y173" s="13"/>
      <c r="Z173" s="16"/>
      <c r="AA173" s="13"/>
      <c r="AB173" s="13"/>
      <c r="AC173" s="13"/>
      <c r="AD173" s="29"/>
      <c r="AE173" s="13"/>
      <c r="AF173" s="29"/>
      <c r="AG173" s="16"/>
      <c r="AH173" s="16"/>
      <c r="AI173" s="13"/>
      <c r="AJ173" s="13"/>
      <c r="AK173" s="16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hidden="1">
      <c r="A174" s="13"/>
      <c r="B174" s="13"/>
      <c r="C174" s="13"/>
      <c r="D174" s="29"/>
      <c r="E174" s="13"/>
      <c r="F174" s="13"/>
      <c r="G174" s="16"/>
      <c r="H174" s="13"/>
      <c r="I174" s="13"/>
      <c r="J174" s="29"/>
      <c r="K174" s="29"/>
      <c r="L174" s="13"/>
      <c r="M174" s="13"/>
      <c r="N174" s="13"/>
      <c r="O174" s="29"/>
      <c r="P174" s="29"/>
      <c r="Q174" s="13"/>
      <c r="R174" s="13"/>
      <c r="S174" s="13"/>
      <c r="T174" s="13"/>
      <c r="U174" s="13"/>
      <c r="V174" s="13"/>
      <c r="W174" s="13"/>
      <c r="X174" s="13"/>
      <c r="Y174" s="13"/>
      <c r="Z174" s="16"/>
      <c r="AA174" s="13"/>
      <c r="AB174" s="13"/>
      <c r="AC174" s="13"/>
      <c r="AD174" s="29"/>
      <c r="AE174" s="13"/>
      <c r="AF174" s="29"/>
      <c r="AG174" s="16"/>
      <c r="AH174" s="16"/>
      <c r="AI174" s="13"/>
      <c r="AJ174" s="13"/>
      <c r="AK174" s="16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</row>
    <row r="175" hidden="1">
      <c r="A175" s="13"/>
      <c r="B175" s="13"/>
      <c r="C175" s="13"/>
      <c r="D175" s="29"/>
      <c r="E175" s="13"/>
      <c r="F175" s="13"/>
      <c r="G175" s="16"/>
      <c r="H175" s="13"/>
      <c r="I175" s="13"/>
      <c r="J175" s="29"/>
      <c r="K175" s="29"/>
      <c r="L175" s="13"/>
      <c r="M175" s="13"/>
      <c r="N175" s="13"/>
      <c r="O175" s="29"/>
      <c r="P175" s="29"/>
      <c r="Q175" s="13"/>
      <c r="R175" s="13"/>
      <c r="S175" s="13"/>
      <c r="T175" s="13"/>
      <c r="U175" s="13"/>
      <c r="V175" s="13"/>
      <c r="W175" s="13"/>
      <c r="X175" s="13"/>
      <c r="Y175" s="13"/>
      <c r="Z175" s="16"/>
      <c r="AA175" s="13"/>
      <c r="AB175" s="13"/>
      <c r="AC175" s="13"/>
      <c r="AD175" s="29"/>
      <c r="AE175" s="13"/>
      <c r="AF175" s="29"/>
      <c r="AG175" s="16"/>
      <c r="AH175" s="16"/>
      <c r="AI175" s="13"/>
      <c r="AJ175" s="13"/>
      <c r="AK175" s="16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hidden="1">
      <c r="A176" s="13"/>
      <c r="B176" s="13"/>
      <c r="C176" s="13"/>
      <c r="D176" s="29"/>
      <c r="E176" s="13"/>
      <c r="F176" s="13"/>
      <c r="G176" s="16"/>
      <c r="H176" s="13"/>
      <c r="I176" s="13"/>
      <c r="J176" s="29"/>
      <c r="K176" s="29"/>
      <c r="L176" s="13"/>
      <c r="M176" s="13"/>
      <c r="N176" s="13"/>
      <c r="O176" s="29"/>
      <c r="P176" s="29"/>
      <c r="Q176" s="13"/>
      <c r="R176" s="13"/>
      <c r="S176" s="13"/>
      <c r="T176" s="13"/>
      <c r="U176" s="13"/>
      <c r="V176" s="13"/>
      <c r="W176" s="13"/>
      <c r="X176" s="13"/>
      <c r="Y176" s="13"/>
      <c r="Z176" s="16"/>
      <c r="AA176" s="13"/>
      <c r="AB176" s="13"/>
      <c r="AC176" s="13"/>
      <c r="AD176" s="29"/>
      <c r="AE176" s="13"/>
      <c r="AF176" s="29"/>
      <c r="AG176" s="16"/>
      <c r="AH176" s="16"/>
      <c r="AI176" s="13"/>
      <c r="AJ176" s="13"/>
      <c r="AK176" s="16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hidden="1">
      <c r="A177" s="13"/>
      <c r="B177" s="13"/>
      <c r="C177" s="13"/>
      <c r="D177" s="29"/>
      <c r="E177" s="13"/>
      <c r="F177" s="13"/>
      <c r="G177" s="16"/>
      <c r="H177" s="13"/>
      <c r="I177" s="13"/>
      <c r="J177" s="29"/>
      <c r="K177" s="29"/>
      <c r="L177" s="13"/>
      <c r="M177" s="13"/>
      <c r="N177" s="13"/>
      <c r="O177" s="29"/>
      <c r="P177" s="29"/>
      <c r="Q177" s="13"/>
      <c r="R177" s="13"/>
      <c r="S177" s="13"/>
      <c r="T177" s="13"/>
      <c r="U177" s="13"/>
      <c r="V177" s="13"/>
      <c r="W177" s="13"/>
      <c r="X177" s="13"/>
      <c r="Y177" s="13"/>
      <c r="Z177" s="16"/>
      <c r="AA177" s="13"/>
      <c r="AB177" s="13"/>
      <c r="AC177" s="13"/>
      <c r="AD177" s="29"/>
      <c r="AE177" s="13"/>
      <c r="AF177" s="29"/>
      <c r="AG177" s="16"/>
      <c r="AH177" s="16"/>
      <c r="AI177" s="13"/>
      <c r="AJ177" s="13"/>
      <c r="AK177" s="16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hidden="1">
      <c r="A178" s="13"/>
      <c r="B178" s="13"/>
      <c r="C178" s="13"/>
      <c r="D178" s="29"/>
      <c r="E178" s="13"/>
      <c r="F178" s="13"/>
      <c r="G178" s="16"/>
      <c r="H178" s="13"/>
      <c r="I178" s="13"/>
      <c r="J178" s="29"/>
      <c r="K178" s="29"/>
      <c r="L178" s="13"/>
      <c r="M178" s="13"/>
      <c r="N178" s="13"/>
      <c r="O178" s="29"/>
      <c r="P178" s="29"/>
      <c r="Q178" s="13"/>
      <c r="R178" s="13"/>
      <c r="S178" s="13"/>
      <c r="T178" s="13"/>
      <c r="U178" s="13"/>
      <c r="V178" s="13"/>
      <c r="W178" s="13"/>
      <c r="X178" s="13"/>
      <c r="Y178" s="13"/>
      <c r="Z178" s="16"/>
      <c r="AA178" s="13"/>
      <c r="AB178" s="13"/>
      <c r="AC178" s="13"/>
      <c r="AD178" s="29"/>
      <c r="AE178" s="13"/>
      <c r="AF178" s="29"/>
      <c r="AG178" s="16"/>
      <c r="AH178" s="16"/>
      <c r="AI178" s="13"/>
      <c r="AJ178" s="13"/>
      <c r="AK178" s="16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hidden="1">
      <c r="A179" s="13"/>
      <c r="B179" s="13"/>
      <c r="C179" s="13"/>
      <c r="D179" s="29"/>
      <c r="E179" s="13"/>
      <c r="F179" s="13"/>
      <c r="G179" s="16"/>
      <c r="H179" s="13"/>
      <c r="I179" s="13"/>
      <c r="J179" s="29"/>
      <c r="K179" s="29"/>
      <c r="L179" s="13"/>
      <c r="M179" s="13"/>
      <c r="N179" s="13"/>
      <c r="O179" s="29"/>
      <c r="P179" s="29"/>
      <c r="Q179" s="13"/>
      <c r="R179" s="13"/>
      <c r="S179" s="13"/>
      <c r="T179" s="13"/>
      <c r="U179" s="13"/>
      <c r="V179" s="13"/>
      <c r="W179" s="13"/>
      <c r="X179" s="13"/>
      <c r="Y179" s="13"/>
      <c r="Z179" s="16"/>
      <c r="AA179" s="13"/>
      <c r="AB179" s="13"/>
      <c r="AC179" s="13"/>
      <c r="AD179" s="29"/>
      <c r="AE179" s="13"/>
      <c r="AF179" s="29"/>
      <c r="AG179" s="16"/>
      <c r="AH179" s="16"/>
      <c r="AI179" s="13"/>
      <c r="AJ179" s="13"/>
      <c r="AK179" s="16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hidden="1">
      <c r="A180" s="13"/>
      <c r="B180" s="13"/>
      <c r="C180" s="13"/>
      <c r="D180" s="29"/>
      <c r="E180" s="13"/>
      <c r="F180" s="13"/>
      <c r="G180" s="16"/>
      <c r="H180" s="13"/>
      <c r="I180" s="13"/>
      <c r="J180" s="29"/>
      <c r="K180" s="29"/>
      <c r="L180" s="13"/>
      <c r="M180" s="13"/>
      <c r="N180" s="13"/>
      <c r="O180" s="29"/>
      <c r="P180" s="29"/>
      <c r="Q180" s="13"/>
      <c r="R180" s="13"/>
      <c r="S180" s="13"/>
      <c r="T180" s="13"/>
      <c r="U180" s="13"/>
      <c r="V180" s="13"/>
      <c r="W180" s="13"/>
      <c r="X180" s="13"/>
      <c r="Y180" s="13"/>
      <c r="Z180" s="16"/>
      <c r="AA180" s="13"/>
      <c r="AB180" s="13"/>
      <c r="AC180" s="13"/>
      <c r="AD180" s="29"/>
      <c r="AE180" s="13"/>
      <c r="AF180" s="29"/>
      <c r="AG180" s="16"/>
      <c r="AH180" s="16"/>
      <c r="AI180" s="13"/>
      <c r="AJ180" s="13"/>
      <c r="AK180" s="16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</row>
    <row r="181" hidden="1">
      <c r="A181" s="13"/>
      <c r="B181" s="13"/>
      <c r="C181" s="13"/>
      <c r="D181" s="29"/>
      <c r="E181" s="13"/>
      <c r="F181" s="13"/>
      <c r="G181" s="16"/>
      <c r="H181" s="13"/>
      <c r="I181" s="13"/>
      <c r="J181" s="29"/>
      <c r="K181" s="29"/>
      <c r="L181" s="13"/>
      <c r="M181" s="13"/>
      <c r="N181" s="13"/>
      <c r="O181" s="29"/>
      <c r="P181" s="29"/>
      <c r="Q181" s="13"/>
      <c r="R181" s="13"/>
      <c r="S181" s="13"/>
      <c r="T181" s="13"/>
      <c r="U181" s="13"/>
      <c r="V181" s="13"/>
      <c r="W181" s="13"/>
      <c r="X181" s="13"/>
      <c r="Y181" s="13"/>
      <c r="Z181" s="16"/>
      <c r="AA181" s="13"/>
      <c r="AB181" s="13"/>
      <c r="AC181" s="13"/>
      <c r="AD181" s="29"/>
      <c r="AE181" s="13"/>
      <c r="AF181" s="29"/>
      <c r="AG181" s="16"/>
      <c r="AH181" s="16"/>
      <c r="AI181" s="13"/>
      <c r="AJ181" s="13"/>
      <c r="AK181" s="16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hidden="1">
      <c r="A182" s="13"/>
      <c r="B182" s="13"/>
      <c r="C182" s="13"/>
      <c r="D182" s="29"/>
      <c r="E182" s="13"/>
      <c r="F182" s="13"/>
      <c r="G182" s="16"/>
      <c r="H182" s="13"/>
      <c r="I182" s="13"/>
      <c r="J182" s="29"/>
      <c r="K182" s="29"/>
      <c r="L182" s="13"/>
      <c r="M182" s="13"/>
      <c r="N182" s="13"/>
      <c r="O182" s="29"/>
      <c r="P182" s="29"/>
      <c r="Q182" s="13"/>
      <c r="R182" s="13"/>
      <c r="S182" s="13"/>
      <c r="T182" s="13"/>
      <c r="U182" s="13"/>
      <c r="V182" s="13"/>
      <c r="W182" s="13"/>
      <c r="X182" s="13"/>
      <c r="Y182" s="13"/>
      <c r="Z182" s="16"/>
      <c r="AA182" s="13"/>
      <c r="AB182" s="13"/>
      <c r="AC182" s="13"/>
      <c r="AD182" s="29"/>
      <c r="AE182" s="13"/>
      <c r="AF182" s="29"/>
      <c r="AG182" s="16"/>
      <c r="AH182" s="16"/>
      <c r="AI182" s="13"/>
      <c r="AJ182" s="13"/>
      <c r="AK182" s="16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hidden="1">
      <c r="A183" s="13"/>
      <c r="B183" s="13"/>
      <c r="C183" s="13"/>
      <c r="D183" s="29"/>
      <c r="E183" s="13"/>
      <c r="F183" s="13"/>
      <c r="G183" s="16"/>
      <c r="H183" s="13"/>
      <c r="I183" s="13"/>
      <c r="J183" s="29"/>
      <c r="K183" s="29"/>
      <c r="L183" s="13"/>
      <c r="M183" s="13"/>
      <c r="N183" s="13"/>
      <c r="O183" s="29"/>
      <c r="P183" s="29"/>
      <c r="Q183" s="13"/>
      <c r="R183" s="13"/>
      <c r="S183" s="13"/>
      <c r="T183" s="13"/>
      <c r="U183" s="13"/>
      <c r="V183" s="13"/>
      <c r="W183" s="13"/>
      <c r="X183" s="13"/>
      <c r="Y183" s="13"/>
      <c r="Z183" s="16"/>
      <c r="AA183" s="13"/>
      <c r="AB183" s="13"/>
      <c r="AC183" s="13"/>
      <c r="AD183" s="29"/>
      <c r="AE183" s="13"/>
      <c r="AF183" s="29"/>
      <c r="AG183" s="16"/>
      <c r="AH183" s="16"/>
      <c r="AI183" s="13"/>
      <c r="AJ183" s="13"/>
      <c r="AK183" s="16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hidden="1">
      <c r="A184" s="13"/>
      <c r="B184" s="13"/>
      <c r="C184" s="13"/>
      <c r="D184" s="29"/>
      <c r="E184" s="13"/>
      <c r="F184" s="13"/>
      <c r="G184" s="16"/>
      <c r="H184" s="13"/>
      <c r="I184" s="13"/>
      <c r="J184" s="29"/>
      <c r="K184" s="29"/>
      <c r="L184" s="13"/>
      <c r="M184" s="13"/>
      <c r="N184" s="13"/>
      <c r="O184" s="29"/>
      <c r="P184" s="29"/>
      <c r="Q184" s="13"/>
      <c r="R184" s="13"/>
      <c r="S184" s="13"/>
      <c r="T184" s="13"/>
      <c r="U184" s="13"/>
      <c r="V184" s="13"/>
      <c r="W184" s="13"/>
      <c r="X184" s="13"/>
      <c r="Y184" s="13"/>
      <c r="Z184" s="16"/>
      <c r="AA184" s="13"/>
      <c r="AB184" s="13"/>
      <c r="AC184" s="13"/>
      <c r="AD184" s="29"/>
      <c r="AE184" s="13"/>
      <c r="AF184" s="29"/>
      <c r="AG184" s="16"/>
      <c r="AH184" s="16"/>
      <c r="AI184" s="13"/>
      <c r="AJ184" s="13"/>
      <c r="AK184" s="16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</row>
    <row r="185" hidden="1">
      <c r="A185" s="13"/>
      <c r="B185" s="13"/>
      <c r="C185" s="13"/>
      <c r="D185" s="29"/>
      <c r="E185" s="13"/>
      <c r="F185" s="13"/>
      <c r="G185" s="16"/>
      <c r="H185" s="13"/>
      <c r="I185" s="13"/>
      <c r="J185" s="29"/>
      <c r="K185" s="29"/>
      <c r="L185" s="13"/>
      <c r="M185" s="13"/>
      <c r="N185" s="13"/>
      <c r="O185" s="29"/>
      <c r="P185" s="29"/>
      <c r="Q185" s="13"/>
      <c r="R185" s="13"/>
      <c r="S185" s="13"/>
      <c r="T185" s="13"/>
      <c r="U185" s="13"/>
      <c r="V185" s="13"/>
      <c r="W185" s="13"/>
      <c r="X185" s="13"/>
      <c r="Y185" s="13"/>
      <c r="Z185" s="16"/>
      <c r="AA185" s="13"/>
      <c r="AB185" s="13"/>
      <c r="AC185" s="13"/>
      <c r="AD185" s="29"/>
      <c r="AE185" s="13"/>
      <c r="AF185" s="29"/>
      <c r="AG185" s="16"/>
      <c r="AH185" s="16"/>
      <c r="AI185" s="13"/>
      <c r="AJ185" s="13"/>
      <c r="AK185" s="16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hidden="1">
      <c r="A186" s="13"/>
      <c r="B186" s="13"/>
      <c r="C186" s="13"/>
      <c r="D186" s="29"/>
      <c r="E186" s="13"/>
      <c r="F186" s="13"/>
      <c r="G186" s="16"/>
      <c r="H186" s="13"/>
      <c r="I186" s="13"/>
      <c r="J186" s="29"/>
      <c r="K186" s="29"/>
      <c r="L186" s="13"/>
      <c r="M186" s="13"/>
      <c r="N186" s="13"/>
      <c r="O186" s="29"/>
      <c r="P186" s="29"/>
      <c r="Q186" s="13"/>
      <c r="R186" s="13"/>
      <c r="S186" s="13"/>
      <c r="T186" s="13"/>
      <c r="U186" s="13"/>
      <c r="V186" s="13"/>
      <c r="W186" s="13"/>
      <c r="X186" s="13"/>
      <c r="Y186" s="13"/>
      <c r="Z186" s="16"/>
      <c r="AA186" s="13"/>
      <c r="AB186" s="13"/>
      <c r="AC186" s="13"/>
      <c r="AD186" s="29"/>
      <c r="AE186" s="13"/>
      <c r="AF186" s="29"/>
      <c r="AG186" s="16"/>
      <c r="AH186" s="16"/>
      <c r="AI186" s="13"/>
      <c r="AJ186" s="13"/>
      <c r="AK186" s="16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</row>
    <row r="187" hidden="1">
      <c r="A187" s="13"/>
      <c r="B187" s="13"/>
      <c r="C187" s="13"/>
      <c r="D187" s="29"/>
      <c r="E187" s="13"/>
      <c r="F187" s="13"/>
      <c r="G187" s="16"/>
      <c r="H187" s="13"/>
      <c r="I187" s="13"/>
      <c r="J187" s="29"/>
      <c r="K187" s="29"/>
      <c r="L187" s="13"/>
      <c r="M187" s="13"/>
      <c r="N187" s="13"/>
      <c r="O187" s="29"/>
      <c r="P187" s="29"/>
      <c r="Q187" s="13"/>
      <c r="R187" s="13"/>
      <c r="S187" s="13"/>
      <c r="T187" s="13"/>
      <c r="U187" s="13"/>
      <c r="V187" s="13"/>
      <c r="W187" s="13"/>
      <c r="X187" s="13"/>
      <c r="Y187" s="13"/>
      <c r="Z187" s="16"/>
      <c r="AA187" s="13"/>
      <c r="AB187" s="13"/>
      <c r="AC187" s="13"/>
      <c r="AD187" s="29"/>
      <c r="AE187" s="13"/>
      <c r="AF187" s="29"/>
      <c r="AG187" s="16"/>
      <c r="AH187" s="16"/>
      <c r="AI187" s="13"/>
      <c r="AJ187" s="13"/>
      <c r="AK187" s="16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hidden="1">
      <c r="A188" s="13"/>
      <c r="B188" s="13"/>
      <c r="C188" s="13"/>
      <c r="D188" s="29"/>
      <c r="E188" s="13"/>
      <c r="F188" s="13"/>
      <c r="G188" s="16"/>
      <c r="H188" s="13"/>
      <c r="I188" s="13"/>
      <c r="J188" s="29"/>
      <c r="K188" s="29"/>
      <c r="L188" s="13"/>
      <c r="M188" s="13"/>
      <c r="N188" s="13"/>
      <c r="O188" s="29"/>
      <c r="P188" s="29"/>
      <c r="Q188" s="13"/>
      <c r="R188" s="13"/>
      <c r="S188" s="13"/>
      <c r="T188" s="13"/>
      <c r="U188" s="13"/>
      <c r="V188" s="13"/>
      <c r="W188" s="13"/>
      <c r="X188" s="13"/>
      <c r="Y188" s="13"/>
      <c r="Z188" s="16"/>
      <c r="AA188" s="13"/>
      <c r="AB188" s="13"/>
      <c r="AC188" s="13"/>
      <c r="AD188" s="29"/>
      <c r="AE188" s="13"/>
      <c r="AF188" s="29"/>
      <c r="AG188" s="16"/>
      <c r="AH188" s="16"/>
      <c r="AI188" s="13"/>
      <c r="AJ188" s="13"/>
      <c r="AK188" s="16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</row>
    <row r="189" hidden="1">
      <c r="A189" s="13"/>
      <c r="B189" s="13"/>
      <c r="C189" s="13"/>
      <c r="D189" s="29"/>
      <c r="E189" s="13"/>
      <c r="F189" s="13"/>
      <c r="G189" s="16"/>
      <c r="H189" s="13"/>
      <c r="I189" s="13"/>
      <c r="J189" s="29"/>
      <c r="K189" s="29"/>
      <c r="L189" s="13"/>
      <c r="M189" s="13"/>
      <c r="N189" s="13"/>
      <c r="O189" s="29"/>
      <c r="P189" s="29"/>
      <c r="Q189" s="13"/>
      <c r="R189" s="13"/>
      <c r="S189" s="13"/>
      <c r="T189" s="13"/>
      <c r="U189" s="13"/>
      <c r="V189" s="13"/>
      <c r="W189" s="13"/>
      <c r="X189" s="13"/>
      <c r="Y189" s="13"/>
      <c r="Z189" s="16"/>
      <c r="AA189" s="13"/>
      <c r="AB189" s="13"/>
      <c r="AC189" s="13"/>
      <c r="AD189" s="29"/>
      <c r="AE189" s="13"/>
      <c r="AF189" s="29"/>
      <c r="AG189" s="16"/>
      <c r="AH189" s="16"/>
      <c r="AI189" s="13"/>
      <c r="AJ189" s="13"/>
      <c r="AK189" s="16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hidden="1">
      <c r="A190" s="13"/>
      <c r="B190" s="13"/>
      <c r="C190" s="13"/>
      <c r="D190" s="29"/>
      <c r="E190" s="13"/>
      <c r="F190" s="13"/>
      <c r="G190" s="16"/>
      <c r="H190" s="13"/>
      <c r="I190" s="13"/>
      <c r="J190" s="29"/>
      <c r="K190" s="29"/>
      <c r="L190" s="13"/>
      <c r="M190" s="13"/>
      <c r="N190" s="13"/>
      <c r="O190" s="29"/>
      <c r="P190" s="29"/>
      <c r="Q190" s="13"/>
      <c r="R190" s="13"/>
      <c r="S190" s="13"/>
      <c r="T190" s="13"/>
      <c r="U190" s="13"/>
      <c r="V190" s="13"/>
      <c r="W190" s="13"/>
      <c r="X190" s="13"/>
      <c r="Y190" s="13"/>
      <c r="Z190" s="16"/>
      <c r="AA190" s="13"/>
      <c r="AB190" s="13"/>
      <c r="AC190" s="13"/>
      <c r="AD190" s="29"/>
      <c r="AE190" s="13"/>
      <c r="AF190" s="29"/>
      <c r="AG190" s="16"/>
      <c r="AH190" s="16"/>
      <c r="AI190" s="13"/>
      <c r="AJ190" s="13"/>
      <c r="AK190" s="16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</row>
    <row r="191" hidden="1">
      <c r="A191" s="13"/>
      <c r="B191" s="13"/>
      <c r="C191" s="13"/>
      <c r="D191" s="29"/>
      <c r="E191" s="13"/>
      <c r="F191" s="13"/>
      <c r="G191" s="16"/>
      <c r="H191" s="13"/>
      <c r="I191" s="13"/>
      <c r="J191" s="29"/>
      <c r="K191" s="29"/>
      <c r="L191" s="13"/>
      <c r="M191" s="13"/>
      <c r="N191" s="13"/>
      <c r="O191" s="29"/>
      <c r="P191" s="29"/>
      <c r="Q191" s="13"/>
      <c r="R191" s="13"/>
      <c r="S191" s="13"/>
      <c r="T191" s="13"/>
      <c r="U191" s="13"/>
      <c r="V191" s="13"/>
      <c r="W191" s="13"/>
      <c r="X191" s="13"/>
      <c r="Y191" s="13"/>
      <c r="Z191" s="16"/>
      <c r="AA191" s="13"/>
      <c r="AB191" s="13"/>
      <c r="AC191" s="13"/>
      <c r="AD191" s="29"/>
      <c r="AE191" s="13"/>
      <c r="AF191" s="29"/>
      <c r="AG191" s="16"/>
      <c r="AH191" s="16"/>
      <c r="AI191" s="13"/>
      <c r="AJ191" s="13"/>
      <c r="AK191" s="16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hidden="1">
      <c r="A192" s="13"/>
      <c r="B192" s="13"/>
      <c r="C192" s="13"/>
      <c r="D192" s="29"/>
      <c r="E192" s="13"/>
      <c r="F192" s="13"/>
      <c r="G192" s="16"/>
      <c r="H192" s="13"/>
      <c r="I192" s="13"/>
      <c r="J192" s="29"/>
      <c r="K192" s="29"/>
      <c r="L192" s="13"/>
      <c r="M192" s="13"/>
      <c r="N192" s="13"/>
      <c r="O192" s="29"/>
      <c r="P192" s="29"/>
      <c r="Q192" s="13"/>
      <c r="R192" s="13"/>
      <c r="S192" s="13"/>
      <c r="T192" s="13"/>
      <c r="U192" s="13"/>
      <c r="V192" s="13"/>
      <c r="W192" s="13"/>
      <c r="X192" s="13"/>
      <c r="Y192" s="13"/>
      <c r="Z192" s="16"/>
      <c r="AA192" s="13"/>
      <c r="AB192" s="13"/>
      <c r="AC192" s="13"/>
      <c r="AD192" s="29"/>
      <c r="AE192" s="13"/>
      <c r="AF192" s="29"/>
      <c r="AG192" s="16"/>
      <c r="AH192" s="16"/>
      <c r="AI192" s="13"/>
      <c r="AJ192" s="13"/>
      <c r="AK192" s="16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</row>
    <row r="193" hidden="1">
      <c r="A193" s="13"/>
      <c r="B193" s="13"/>
      <c r="C193" s="13"/>
      <c r="D193" s="29"/>
      <c r="E193" s="13"/>
      <c r="F193" s="13"/>
      <c r="G193" s="16"/>
      <c r="H193" s="13"/>
      <c r="I193" s="13"/>
      <c r="J193" s="29"/>
      <c r="K193" s="29"/>
      <c r="L193" s="13"/>
      <c r="M193" s="13"/>
      <c r="N193" s="13"/>
      <c r="O193" s="29"/>
      <c r="P193" s="29"/>
      <c r="Q193" s="13"/>
      <c r="R193" s="13"/>
      <c r="S193" s="13"/>
      <c r="T193" s="13"/>
      <c r="U193" s="13"/>
      <c r="V193" s="13"/>
      <c r="W193" s="13"/>
      <c r="X193" s="13"/>
      <c r="Y193" s="13"/>
      <c r="Z193" s="16"/>
      <c r="AA193" s="13"/>
      <c r="AB193" s="13"/>
      <c r="AC193" s="13"/>
      <c r="AD193" s="29"/>
      <c r="AE193" s="13"/>
      <c r="AF193" s="29"/>
      <c r="AG193" s="16"/>
      <c r="AH193" s="16"/>
      <c r="AI193" s="13"/>
      <c r="AJ193" s="13"/>
      <c r="AK193" s="16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hidden="1">
      <c r="A194" s="13"/>
      <c r="B194" s="13"/>
      <c r="C194" s="13"/>
      <c r="D194" s="29"/>
      <c r="E194" s="13"/>
      <c r="F194" s="13"/>
      <c r="G194" s="16"/>
      <c r="H194" s="13"/>
      <c r="I194" s="13"/>
      <c r="J194" s="29"/>
      <c r="K194" s="29"/>
      <c r="L194" s="13"/>
      <c r="M194" s="13"/>
      <c r="N194" s="13"/>
      <c r="O194" s="29"/>
      <c r="P194" s="29"/>
      <c r="Q194" s="13"/>
      <c r="R194" s="13"/>
      <c r="S194" s="13"/>
      <c r="T194" s="13"/>
      <c r="U194" s="13"/>
      <c r="V194" s="13"/>
      <c r="W194" s="13"/>
      <c r="X194" s="13"/>
      <c r="Y194" s="13"/>
      <c r="Z194" s="16"/>
      <c r="AA194" s="13"/>
      <c r="AB194" s="13"/>
      <c r="AC194" s="13"/>
      <c r="AD194" s="29"/>
      <c r="AE194" s="13"/>
      <c r="AF194" s="29"/>
      <c r="AG194" s="16"/>
      <c r="AH194" s="16"/>
      <c r="AI194" s="13"/>
      <c r="AJ194" s="13"/>
      <c r="AK194" s="16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</row>
    <row r="195" hidden="1">
      <c r="A195" s="13"/>
      <c r="B195" s="13"/>
      <c r="C195" s="13"/>
      <c r="D195" s="29"/>
      <c r="E195" s="13"/>
      <c r="F195" s="13"/>
      <c r="G195" s="16"/>
      <c r="H195" s="13"/>
      <c r="I195" s="13"/>
      <c r="J195" s="29"/>
      <c r="K195" s="29"/>
      <c r="L195" s="13"/>
      <c r="M195" s="13"/>
      <c r="N195" s="13"/>
      <c r="O195" s="29"/>
      <c r="P195" s="29"/>
      <c r="Q195" s="13"/>
      <c r="R195" s="13"/>
      <c r="S195" s="13"/>
      <c r="T195" s="13"/>
      <c r="U195" s="13"/>
      <c r="V195" s="13"/>
      <c r="W195" s="13"/>
      <c r="X195" s="13"/>
      <c r="Y195" s="13"/>
      <c r="Z195" s="16"/>
      <c r="AA195" s="13"/>
      <c r="AB195" s="13"/>
      <c r="AC195" s="13"/>
      <c r="AD195" s="29"/>
      <c r="AE195" s="13"/>
      <c r="AF195" s="29"/>
      <c r="AG195" s="16"/>
      <c r="AH195" s="16"/>
      <c r="AI195" s="13"/>
      <c r="AJ195" s="13"/>
      <c r="AK195" s="16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hidden="1">
      <c r="A196" s="13"/>
      <c r="B196" s="13"/>
      <c r="C196" s="13"/>
      <c r="D196" s="29"/>
      <c r="E196" s="13"/>
      <c r="F196" s="13"/>
      <c r="G196" s="16"/>
      <c r="H196" s="13"/>
      <c r="I196" s="13"/>
      <c r="J196" s="29"/>
      <c r="K196" s="29"/>
      <c r="L196" s="13"/>
      <c r="M196" s="13"/>
      <c r="N196" s="13"/>
      <c r="O196" s="29"/>
      <c r="P196" s="29"/>
      <c r="Q196" s="13"/>
      <c r="R196" s="13"/>
      <c r="S196" s="13"/>
      <c r="T196" s="13"/>
      <c r="U196" s="13"/>
      <c r="V196" s="13"/>
      <c r="W196" s="13"/>
      <c r="X196" s="13"/>
      <c r="Y196" s="13"/>
      <c r="Z196" s="16"/>
      <c r="AA196" s="13"/>
      <c r="AB196" s="13"/>
      <c r="AC196" s="13"/>
      <c r="AD196" s="29"/>
      <c r="AE196" s="13"/>
      <c r="AF196" s="29"/>
      <c r="AG196" s="16"/>
      <c r="AH196" s="16"/>
      <c r="AI196" s="13"/>
      <c r="AJ196" s="13"/>
      <c r="AK196" s="16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hidden="1">
      <c r="A197" s="13"/>
      <c r="B197" s="13"/>
      <c r="C197" s="13"/>
      <c r="D197" s="29"/>
      <c r="E197" s="13"/>
      <c r="F197" s="13"/>
      <c r="G197" s="16"/>
      <c r="H197" s="13"/>
      <c r="I197" s="13"/>
      <c r="J197" s="29"/>
      <c r="K197" s="29"/>
      <c r="L197" s="13"/>
      <c r="M197" s="13"/>
      <c r="N197" s="13"/>
      <c r="O197" s="29"/>
      <c r="P197" s="29"/>
      <c r="Q197" s="13"/>
      <c r="R197" s="13"/>
      <c r="S197" s="13"/>
      <c r="T197" s="13"/>
      <c r="U197" s="13"/>
      <c r="V197" s="13"/>
      <c r="W197" s="13"/>
      <c r="X197" s="13"/>
      <c r="Y197" s="13"/>
      <c r="Z197" s="16"/>
      <c r="AA197" s="13"/>
      <c r="AB197" s="13"/>
      <c r="AC197" s="13"/>
      <c r="AD197" s="29"/>
      <c r="AE197" s="13"/>
      <c r="AF197" s="29"/>
      <c r="AG197" s="16"/>
      <c r="AH197" s="16"/>
      <c r="AI197" s="13"/>
      <c r="AJ197" s="13"/>
      <c r="AK197" s="16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hidden="1">
      <c r="A198" s="13"/>
      <c r="B198" s="13"/>
      <c r="C198" s="13"/>
      <c r="D198" s="29"/>
      <c r="E198" s="13"/>
      <c r="F198" s="13"/>
      <c r="G198" s="16"/>
      <c r="H198" s="13"/>
      <c r="I198" s="13"/>
      <c r="J198" s="29"/>
      <c r="K198" s="29"/>
      <c r="L198" s="13"/>
      <c r="M198" s="13"/>
      <c r="N198" s="13"/>
      <c r="O198" s="29"/>
      <c r="P198" s="29"/>
      <c r="Q198" s="13"/>
      <c r="R198" s="13"/>
      <c r="S198" s="13"/>
      <c r="T198" s="13"/>
      <c r="U198" s="13"/>
      <c r="V198" s="13"/>
      <c r="W198" s="13"/>
      <c r="X198" s="13"/>
      <c r="Y198" s="13"/>
      <c r="Z198" s="16"/>
      <c r="AA198" s="13"/>
      <c r="AB198" s="13"/>
      <c r="AC198" s="13"/>
      <c r="AD198" s="29"/>
      <c r="AE198" s="13"/>
      <c r="AF198" s="29"/>
      <c r="AG198" s="16"/>
      <c r="AH198" s="16"/>
      <c r="AI198" s="13"/>
      <c r="AJ198" s="13"/>
      <c r="AK198" s="16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</row>
    <row r="199" hidden="1">
      <c r="A199" s="13"/>
      <c r="B199" s="13"/>
      <c r="C199" s="13"/>
      <c r="D199" s="29"/>
      <c r="E199" s="13"/>
      <c r="F199" s="13"/>
      <c r="G199" s="16"/>
      <c r="H199" s="13"/>
      <c r="I199" s="13"/>
      <c r="J199" s="29"/>
      <c r="K199" s="29"/>
      <c r="L199" s="13"/>
      <c r="M199" s="13"/>
      <c r="N199" s="13"/>
      <c r="O199" s="29"/>
      <c r="P199" s="29"/>
      <c r="Q199" s="13"/>
      <c r="R199" s="13"/>
      <c r="S199" s="13"/>
      <c r="T199" s="13"/>
      <c r="U199" s="13"/>
      <c r="V199" s="13"/>
      <c r="W199" s="13"/>
      <c r="X199" s="13"/>
      <c r="Y199" s="13"/>
      <c r="Z199" s="16"/>
      <c r="AA199" s="13"/>
      <c r="AB199" s="13"/>
      <c r="AC199" s="13"/>
      <c r="AD199" s="29"/>
      <c r="AE199" s="13"/>
      <c r="AF199" s="29"/>
      <c r="AG199" s="16"/>
      <c r="AH199" s="16"/>
      <c r="AI199" s="13"/>
      <c r="AJ199" s="13"/>
      <c r="AK199" s="16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hidden="1">
      <c r="A200" s="13"/>
      <c r="B200" s="13"/>
      <c r="C200" s="13"/>
      <c r="D200" s="29"/>
      <c r="E200" s="13"/>
      <c r="F200" s="13"/>
      <c r="G200" s="16"/>
      <c r="H200" s="13"/>
      <c r="I200" s="13"/>
      <c r="J200" s="29"/>
      <c r="K200" s="29"/>
      <c r="L200" s="13"/>
      <c r="M200" s="13"/>
      <c r="N200" s="13"/>
      <c r="O200" s="29"/>
      <c r="P200" s="29"/>
      <c r="Q200" s="13"/>
      <c r="R200" s="13"/>
      <c r="S200" s="13"/>
      <c r="T200" s="13"/>
      <c r="U200" s="13"/>
      <c r="V200" s="13"/>
      <c r="W200" s="13"/>
      <c r="X200" s="13"/>
      <c r="Y200" s="13"/>
      <c r="Z200" s="16"/>
      <c r="AA200" s="13"/>
      <c r="AB200" s="13"/>
      <c r="AC200" s="13"/>
      <c r="AD200" s="29"/>
      <c r="AE200" s="13"/>
      <c r="AF200" s="29"/>
      <c r="AG200" s="16"/>
      <c r="AH200" s="16"/>
      <c r="AI200" s="13"/>
      <c r="AJ200" s="13"/>
      <c r="AK200" s="16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hidden="1">
      <c r="A201" s="13"/>
      <c r="B201" s="13"/>
      <c r="C201" s="13"/>
      <c r="D201" s="29"/>
      <c r="E201" s="13"/>
      <c r="F201" s="13"/>
      <c r="G201" s="16"/>
      <c r="H201" s="13"/>
      <c r="I201" s="13"/>
      <c r="J201" s="29"/>
      <c r="K201" s="29"/>
      <c r="L201" s="13"/>
      <c r="M201" s="13"/>
      <c r="N201" s="13"/>
      <c r="O201" s="29"/>
      <c r="P201" s="29"/>
      <c r="Q201" s="13"/>
      <c r="R201" s="13"/>
      <c r="S201" s="13"/>
      <c r="T201" s="13"/>
      <c r="U201" s="13"/>
      <c r="V201" s="13"/>
      <c r="W201" s="13"/>
      <c r="X201" s="13"/>
      <c r="Y201" s="13"/>
      <c r="Z201" s="16"/>
      <c r="AA201" s="13"/>
      <c r="AB201" s="13"/>
      <c r="AC201" s="13"/>
      <c r="AD201" s="29"/>
      <c r="AE201" s="13"/>
      <c r="AF201" s="29"/>
      <c r="AG201" s="16"/>
      <c r="AH201" s="16"/>
      <c r="AI201" s="13"/>
      <c r="AJ201" s="13"/>
      <c r="AK201" s="16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hidden="1">
      <c r="A202" s="13"/>
      <c r="B202" s="13"/>
      <c r="C202" s="13"/>
      <c r="D202" s="29"/>
      <c r="E202" s="13"/>
      <c r="F202" s="13"/>
      <c r="G202" s="16"/>
      <c r="H202" s="13"/>
      <c r="I202" s="13"/>
      <c r="J202" s="29"/>
      <c r="K202" s="29"/>
      <c r="L202" s="13"/>
      <c r="M202" s="13"/>
      <c r="N202" s="13"/>
      <c r="O202" s="29"/>
      <c r="P202" s="29"/>
      <c r="Q202" s="13"/>
      <c r="R202" s="13"/>
      <c r="S202" s="13"/>
      <c r="T202" s="13"/>
      <c r="U202" s="13"/>
      <c r="V202" s="13"/>
      <c r="W202" s="13"/>
      <c r="X202" s="13"/>
      <c r="Y202" s="13"/>
      <c r="Z202" s="16"/>
      <c r="AA202" s="13"/>
      <c r="AB202" s="13"/>
      <c r="AC202" s="13"/>
      <c r="AD202" s="29"/>
      <c r="AE202" s="13"/>
      <c r="AF202" s="29"/>
      <c r="AG202" s="16"/>
      <c r="AH202" s="16"/>
      <c r="AI202" s="13"/>
      <c r="AJ202" s="13"/>
      <c r="AK202" s="16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hidden="1">
      <c r="A203" s="13"/>
      <c r="B203" s="13"/>
      <c r="C203" s="13"/>
      <c r="D203" s="29"/>
      <c r="E203" s="13"/>
      <c r="F203" s="13"/>
      <c r="G203" s="16"/>
      <c r="H203" s="13"/>
      <c r="I203" s="13"/>
      <c r="J203" s="29"/>
      <c r="K203" s="29"/>
      <c r="L203" s="13"/>
      <c r="M203" s="13"/>
      <c r="N203" s="13"/>
      <c r="O203" s="29"/>
      <c r="P203" s="29"/>
      <c r="Q203" s="13"/>
      <c r="R203" s="13"/>
      <c r="S203" s="13"/>
      <c r="T203" s="13"/>
      <c r="U203" s="13"/>
      <c r="V203" s="13"/>
      <c r="W203" s="13"/>
      <c r="X203" s="13"/>
      <c r="Y203" s="13"/>
      <c r="Z203" s="16"/>
      <c r="AA203" s="13"/>
      <c r="AB203" s="13"/>
      <c r="AC203" s="13"/>
      <c r="AD203" s="29"/>
      <c r="AE203" s="13"/>
      <c r="AF203" s="29"/>
      <c r="AG203" s="16"/>
      <c r="AH203" s="16"/>
      <c r="AI203" s="13"/>
      <c r="AJ203" s="13"/>
      <c r="AK203" s="16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hidden="1">
      <c r="A204" s="13"/>
      <c r="B204" s="13"/>
      <c r="C204" s="13"/>
      <c r="D204" s="29"/>
      <c r="E204" s="13"/>
      <c r="F204" s="13"/>
      <c r="G204" s="16"/>
      <c r="H204" s="13"/>
      <c r="I204" s="13"/>
      <c r="J204" s="29"/>
      <c r="K204" s="29"/>
      <c r="L204" s="13"/>
      <c r="M204" s="13"/>
      <c r="N204" s="13"/>
      <c r="O204" s="29"/>
      <c r="P204" s="29"/>
      <c r="Q204" s="13"/>
      <c r="R204" s="13"/>
      <c r="S204" s="13"/>
      <c r="T204" s="13"/>
      <c r="U204" s="13"/>
      <c r="V204" s="13"/>
      <c r="W204" s="13"/>
      <c r="X204" s="13"/>
      <c r="Y204" s="13"/>
      <c r="Z204" s="16"/>
      <c r="AA204" s="13"/>
      <c r="AB204" s="13"/>
      <c r="AC204" s="13"/>
      <c r="AD204" s="29"/>
      <c r="AE204" s="13"/>
      <c r="AF204" s="29"/>
      <c r="AG204" s="16"/>
      <c r="AH204" s="16"/>
      <c r="AI204" s="13"/>
      <c r="AJ204" s="13"/>
      <c r="AK204" s="16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hidden="1">
      <c r="A205" s="13"/>
      <c r="B205" s="13"/>
      <c r="C205" s="13"/>
      <c r="D205" s="29"/>
      <c r="E205" s="13"/>
      <c r="F205" s="13"/>
      <c r="G205" s="16"/>
      <c r="H205" s="13"/>
      <c r="I205" s="13"/>
      <c r="J205" s="29"/>
      <c r="K205" s="29"/>
      <c r="L205" s="13"/>
      <c r="M205" s="13"/>
      <c r="N205" s="13"/>
      <c r="O205" s="29"/>
      <c r="P205" s="29"/>
      <c r="Q205" s="13"/>
      <c r="R205" s="13"/>
      <c r="S205" s="13"/>
      <c r="T205" s="13"/>
      <c r="U205" s="13"/>
      <c r="V205" s="13"/>
      <c r="W205" s="13"/>
      <c r="X205" s="13"/>
      <c r="Y205" s="13"/>
      <c r="Z205" s="16"/>
      <c r="AA205" s="13"/>
      <c r="AB205" s="13"/>
      <c r="AC205" s="13"/>
      <c r="AD205" s="29"/>
      <c r="AE205" s="13"/>
      <c r="AF205" s="29"/>
      <c r="AG205" s="16"/>
      <c r="AH205" s="16"/>
      <c r="AI205" s="13"/>
      <c r="AJ205" s="13"/>
      <c r="AK205" s="16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hidden="1">
      <c r="A206" s="13"/>
      <c r="B206" s="13"/>
      <c r="C206" s="13"/>
      <c r="D206" s="29"/>
      <c r="E206" s="13"/>
      <c r="F206" s="13"/>
      <c r="G206" s="16"/>
      <c r="H206" s="13"/>
      <c r="I206" s="13"/>
      <c r="J206" s="29"/>
      <c r="K206" s="29"/>
      <c r="L206" s="13"/>
      <c r="M206" s="13"/>
      <c r="N206" s="13"/>
      <c r="O206" s="29"/>
      <c r="P206" s="29"/>
      <c r="Q206" s="13"/>
      <c r="R206" s="13"/>
      <c r="S206" s="13"/>
      <c r="T206" s="13"/>
      <c r="U206" s="13"/>
      <c r="V206" s="13"/>
      <c r="W206" s="13"/>
      <c r="X206" s="13"/>
      <c r="Y206" s="13"/>
      <c r="Z206" s="16"/>
      <c r="AA206" s="13"/>
      <c r="AB206" s="13"/>
      <c r="AC206" s="13"/>
      <c r="AD206" s="29"/>
      <c r="AE206" s="13"/>
      <c r="AF206" s="29"/>
      <c r="AG206" s="16"/>
      <c r="AH206" s="16"/>
      <c r="AI206" s="13"/>
      <c r="AJ206" s="13"/>
      <c r="AK206" s="16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</row>
    <row r="207" hidden="1">
      <c r="A207" s="13"/>
      <c r="B207" s="13"/>
      <c r="C207" s="13"/>
      <c r="D207" s="29"/>
      <c r="E207" s="13"/>
      <c r="F207" s="13"/>
      <c r="G207" s="16"/>
      <c r="H207" s="13"/>
      <c r="I207" s="13"/>
      <c r="J207" s="29"/>
      <c r="K207" s="29"/>
      <c r="L207" s="13"/>
      <c r="M207" s="13"/>
      <c r="N207" s="13"/>
      <c r="O207" s="29"/>
      <c r="P207" s="29"/>
      <c r="Q207" s="13"/>
      <c r="R207" s="13"/>
      <c r="S207" s="13"/>
      <c r="T207" s="13"/>
      <c r="U207" s="13"/>
      <c r="V207" s="13"/>
      <c r="W207" s="13"/>
      <c r="X207" s="13"/>
      <c r="Y207" s="13"/>
      <c r="Z207" s="16"/>
      <c r="AA207" s="13"/>
      <c r="AB207" s="13"/>
      <c r="AC207" s="13"/>
      <c r="AD207" s="29"/>
      <c r="AE207" s="13"/>
      <c r="AF207" s="29"/>
      <c r="AG207" s="16"/>
      <c r="AH207" s="16"/>
      <c r="AI207" s="13"/>
      <c r="AJ207" s="13"/>
      <c r="AK207" s="16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hidden="1">
      <c r="A208" s="13"/>
      <c r="B208" s="13"/>
      <c r="C208" s="13"/>
      <c r="D208" s="29"/>
      <c r="E208" s="13"/>
      <c r="F208" s="13"/>
      <c r="G208" s="16"/>
      <c r="H208" s="13"/>
      <c r="I208" s="13"/>
      <c r="J208" s="29"/>
      <c r="K208" s="29"/>
      <c r="L208" s="13"/>
      <c r="M208" s="13"/>
      <c r="N208" s="13"/>
      <c r="O208" s="29"/>
      <c r="P208" s="29"/>
      <c r="Q208" s="13"/>
      <c r="R208" s="13"/>
      <c r="S208" s="13"/>
      <c r="T208" s="13"/>
      <c r="U208" s="13"/>
      <c r="V208" s="13"/>
      <c r="W208" s="13"/>
      <c r="X208" s="13"/>
      <c r="Y208" s="13"/>
      <c r="Z208" s="16"/>
      <c r="AA208" s="13"/>
      <c r="AB208" s="13"/>
      <c r="AC208" s="13"/>
      <c r="AD208" s="29"/>
      <c r="AE208" s="13"/>
      <c r="AF208" s="29"/>
      <c r="AG208" s="16"/>
      <c r="AH208" s="16"/>
      <c r="AI208" s="13"/>
      <c r="AJ208" s="13"/>
      <c r="AK208" s="16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</row>
    <row r="209" hidden="1">
      <c r="A209" s="13"/>
      <c r="B209" s="13"/>
      <c r="C209" s="13"/>
      <c r="D209" s="29"/>
      <c r="E209" s="13"/>
      <c r="F209" s="13"/>
      <c r="G209" s="16"/>
      <c r="H209" s="13"/>
      <c r="I209" s="13"/>
      <c r="J209" s="29"/>
      <c r="K209" s="29"/>
      <c r="L209" s="13"/>
      <c r="M209" s="13"/>
      <c r="N209" s="13"/>
      <c r="O209" s="29"/>
      <c r="P209" s="29"/>
      <c r="Q209" s="13"/>
      <c r="R209" s="13"/>
      <c r="S209" s="13"/>
      <c r="T209" s="13"/>
      <c r="U209" s="13"/>
      <c r="V209" s="13"/>
      <c r="W209" s="13"/>
      <c r="X209" s="13"/>
      <c r="Y209" s="13"/>
      <c r="Z209" s="16"/>
      <c r="AA209" s="13"/>
      <c r="AB209" s="13"/>
      <c r="AC209" s="13"/>
      <c r="AD209" s="29"/>
      <c r="AE209" s="13"/>
      <c r="AF209" s="29"/>
      <c r="AG209" s="16"/>
      <c r="AH209" s="16"/>
      <c r="AI209" s="13"/>
      <c r="AJ209" s="13"/>
      <c r="AK209" s="16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hidden="1">
      <c r="A210" s="13"/>
      <c r="B210" s="13"/>
      <c r="C210" s="13"/>
      <c r="D210" s="29"/>
      <c r="E210" s="13"/>
      <c r="F210" s="13"/>
      <c r="G210" s="16"/>
      <c r="H210" s="13"/>
      <c r="I210" s="13"/>
      <c r="J210" s="29"/>
      <c r="K210" s="29"/>
      <c r="L210" s="13"/>
      <c r="M210" s="13"/>
      <c r="N210" s="13"/>
      <c r="O210" s="29"/>
      <c r="P210" s="29"/>
      <c r="Q210" s="13"/>
      <c r="R210" s="13"/>
      <c r="S210" s="13"/>
      <c r="T210" s="13"/>
      <c r="U210" s="13"/>
      <c r="V210" s="13"/>
      <c r="W210" s="13"/>
      <c r="X210" s="13"/>
      <c r="Y210" s="13"/>
      <c r="Z210" s="16"/>
      <c r="AA210" s="13"/>
      <c r="AB210" s="13"/>
      <c r="AC210" s="13"/>
      <c r="AD210" s="29"/>
      <c r="AE210" s="13"/>
      <c r="AF210" s="29"/>
      <c r="AG210" s="16"/>
      <c r="AH210" s="16"/>
      <c r="AI210" s="13"/>
      <c r="AJ210" s="13"/>
      <c r="AK210" s="16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</row>
    <row r="211" hidden="1">
      <c r="A211" s="13"/>
      <c r="B211" s="13"/>
      <c r="C211" s="13"/>
      <c r="D211" s="29"/>
      <c r="E211" s="13"/>
      <c r="F211" s="13"/>
      <c r="G211" s="16"/>
      <c r="H211" s="13"/>
      <c r="I211" s="13"/>
      <c r="J211" s="29"/>
      <c r="K211" s="29"/>
      <c r="L211" s="13"/>
      <c r="M211" s="13"/>
      <c r="N211" s="13"/>
      <c r="O211" s="29"/>
      <c r="P211" s="29"/>
      <c r="Q211" s="13"/>
      <c r="R211" s="13"/>
      <c r="S211" s="13"/>
      <c r="T211" s="13"/>
      <c r="U211" s="13"/>
      <c r="V211" s="13"/>
      <c r="W211" s="13"/>
      <c r="X211" s="13"/>
      <c r="Y211" s="13"/>
      <c r="Z211" s="16"/>
      <c r="AA211" s="13"/>
      <c r="AB211" s="13"/>
      <c r="AC211" s="13"/>
      <c r="AD211" s="29"/>
      <c r="AE211" s="13"/>
      <c r="AF211" s="29"/>
      <c r="AG211" s="16"/>
      <c r="AH211" s="16"/>
      <c r="AI211" s="13"/>
      <c r="AJ211" s="13"/>
      <c r="AK211" s="16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hidden="1">
      <c r="A212" s="13"/>
      <c r="B212" s="13"/>
      <c r="C212" s="13"/>
      <c r="D212" s="29"/>
      <c r="E212" s="13"/>
      <c r="F212" s="13"/>
      <c r="G212" s="16"/>
      <c r="H212" s="13"/>
      <c r="I212" s="13"/>
      <c r="J212" s="29"/>
      <c r="K212" s="29"/>
      <c r="L212" s="13"/>
      <c r="M212" s="13"/>
      <c r="N212" s="13"/>
      <c r="O212" s="29"/>
      <c r="P212" s="29"/>
      <c r="Q212" s="13"/>
      <c r="R212" s="13"/>
      <c r="S212" s="13"/>
      <c r="T212" s="13"/>
      <c r="U212" s="13"/>
      <c r="V212" s="13"/>
      <c r="W212" s="13"/>
      <c r="X212" s="13"/>
      <c r="Y212" s="13"/>
      <c r="Z212" s="16"/>
      <c r="AA212" s="13"/>
      <c r="AB212" s="13"/>
      <c r="AC212" s="13"/>
      <c r="AD212" s="29"/>
      <c r="AE212" s="13"/>
      <c r="AF212" s="29"/>
      <c r="AG212" s="16"/>
      <c r="AH212" s="16"/>
      <c r="AI212" s="13"/>
      <c r="AJ212" s="13"/>
      <c r="AK212" s="16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</row>
    <row r="213" hidden="1">
      <c r="A213" s="13"/>
      <c r="B213" s="13"/>
      <c r="C213" s="13"/>
      <c r="D213" s="29"/>
      <c r="E213" s="13"/>
      <c r="F213" s="13"/>
      <c r="G213" s="16"/>
      <c r="H213" s="13"/>
      <c r="I213" s="13"/>
      <c r="J213" s="29"/>
      <c r="K213" s="29"/>
      <c r="L213" s="13"/>
      <c r="M213" s="13"/>
      <c r="N213" s="13"/>
      <c r="O213" s="29"/>
      <c r="P213" s="29"/>
      <c r="Q213" s="13"/>
      <c r="R213" s="13"/>
      <c r="S213" s="13"/>
      <c r="T213" s="13"/>
      <c r="U213" s="13"/>
      <c r="V213" s="13"/>
      <c r="W213" s="13"/>
      <c r="X213" s="13"/>
      <c r="Y213" s="13"/>
      <c r="Z213" s="16"/>
      <c r="AA213" s="13"/>
      <c r="AB213" s="13"/>
      <c r="AC213" s="13"/>
      <c r="AD213" s="29"/>
      <c r="AE213" s="13"/>
      <c r="AF213" s="29"/>
      <c r="AG213" s="16"/>
      <c r="AH213" s="16"/>
      <c r="AI213" s="13"/>
      <c r="AJ213" s="13"/>
      <c r="AK213" s="16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hidden="1">
      <c r="A214" s="13"/>
      <c r="B214" s="13"/>
      <c r="C214" s="13"/>
      <c r="D214" s="29"/>
      <c r="E214" s="13"/>
      <c r="F214" s="13"/>
      <c r="G214" s="16"/>
      <c r="H214" s="13"/>
      <c r="I214" s="13"/>
      <c r="J214" s="29"/>
      <c r="K214" s="29"/>
      <c r="L214" s="13"/>
      <c r="M214" s="13"/>
      <c r="N214" s="13"/>
      <c r="O214" s="29"/>
      <c r="P214" s="29"/>
      <c r="Q214" s="13"/>
      <c r="R214" s="13"/>
      <c r="S214" s="13"/>
      <c r="T214" s="13"/>
      <c r="U214" s="13"/>
      <c r="V214" s="13"/>
      <c r="W214" s="13"/>
      <c r="X214" s="13"/>
      <c r="Y214" s="13"/>
      <c r="Z214" s="16"/>
      <c r="AA214" s="13"/>
      <c r="AB214" s="13"/>
      <c r="AC214" s="13"/>
      <c r="AD214" s="29"/>
      <c r="AE214" s="13"/>
      <c r="AF214" s="29"/>
      <c r="AG214" s="16"/>
      <c r="AH214" s="16"/>
      <c r="AI214" s="13"/>
      <c r="AJ214" s="13"/>
      <c r="AK214" s="16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hidden="1">
      <c r="A215" s="13"/>
      <c r="B215" s="13"/>
      <c r="C215" s="13"/>
      <c r="D215" s="29"/>
      <c r="E215" s="13"/>
      <c r="F215" s="13"/>
      <c r="G215" s="16"/>
      <c r="H215" s="13"/>
      <c r="I215" s="13"/>
      <c r="J215" s="29"/>
      <c r="K215" s="29"/>
      <c r="L215" s="13"/>
      <c r="M215" s="13"/>
      <c r="N215" s="13"/>
      <c r="O215" s="29"/>
      <c r="P215" s="29"/>
      <c r="Q215" s="13"/>
      <c r="R215" s="13"/>
      <c r="S215" s="13"/>
      <c r="T215" s="13"/>
      <c r="U215" s="13"/>
      <c r="V215" s="13"/>
      <c r="W215" s="13"/>
      <c r="X215" s="13"/>
      <c r="Y215" s="13"/>
      <c r="Z215" s="16"/>
      <c r="AA215" s="13"/>
      <c r="AB215" s="13"/>
      <c r="AC215" s="13"/>
      <c r="AD215" s="29"/>
      <c r="AE215" s="13"/>
      <c r="AF215" s="29"/>
      <c r="AG215" s="16"/>
      <c r="AH215" s="16"/>
      <c r="AI215" s="13"/>
      <c r="AJ215" s="13"/>
      <c r="AK215" s="16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hidden="1">
      <c r="A216" s="13"/>
      <c r="B216" s="13"/>
      <c r="C216" s="13"/>
      <c r="D216" s="29"/>
      <c r="E216" s="13"/>
      <c r="F216" s="13"/>
      <c r="G216" s="16"/>
      <c r="H216" s="13"/>
      <c r="I216" s="13"/>
      <c r="J216" s="29"/>
      <c r="K216" s="29"/>
      <c r="L216" s="13"/>
      <c r="M216" s="13"/>
      <c r="N216" s="13"/>
      <c r="O216" s="29"/>
      <c r="P216" s="29"/>
      <c r="Q216" s="13"/>
      <c r="R216" s="13"/>
      <c r="S216" s="13"/>
      <c r="T216" s="13"/>
      <c r="U216" s="13"/>
      <c r="V216" s="13"/>
      <c r="W216" s="13"/>
      <c r="X216" s="13"/>
      <c r="Y216" s="13"/>
      <c r="Z216" s="16"/>
      <c r="AA216" s="13"/>
      <c r="AB216" s="13"/>
      <c r="AC216" s="13"/>
      <c r="AD216" s="29"/>
      <c r="AE216" s="13"/>
      <c r="AF216" s="29"/>
      <c r="AG216" s="16"/>
      <c r="AH216" s="16"/>
      <c r="AI216" s="13"/>
      <c r="AJ216" s="13"/>
      <c r="AK216" s="16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hidden="1">
      <c r="A217" s="13"/>
      <c r="B217" s="13"/>
      <c r="C217" s="13"/>
      <c r="D217" s="29"/>
      <c r="E217" s="13"/>
      <c r="F217" s="13"/>
      <c r="G217" s="16"/>
      <c r="H217" s="13"/>
      <c r="I217" s="13"/>
      <c r="J217" s="29"/>
      <c r="K217" s="29"/>
      <c r="L217" s="13"/>
      <c r="M217" s="13"/>
      <c r="N217" s="13"/>
      <c r="O217" s="29"/>
      <c r="P217" s="29"/>
      <c r="Q217" s="13"/>
      <c r="R217" s="13"/>
      <c r="S217" s="13"/>
      <c r="T217" s="13"/>
      <c r="U217" s="13"/>
      <c r="V217" s="13"/>
      <c r="W217" s="13"/>
      <c r="X217" s="13"/>
      <c r="Y217" s="13"/>
      <c r="Z217" s="16"/>
      <c r="AA217" s="13"/>
      <c r="AB217" s="13"/>
      <c r="AC217" s="13"/>
      <c r="AD217" s="29"/>
      <c r="AE217" s="13"/>
      <c r="AF217" s="29"/>
      <c r="AG217" s="16"/>
      <c r="AH217" s="16"/>
      <c r="AI217" s="13"/>
      <c r="AJ217" s="13"/>
      <c r="AK217" s="16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hidden="1">
      <c r="A218" s="13"/>
      <c r="B218" s="13"/>
      <c r="C218" s="13"/>
      <c r="D218" s="29"/>
      <c r="E218" s="13"/>
      <c r="F218" s="13"/>
      <c r="G218" s="16"/>
      <c r="H218" s="13"/>
      <c r="I218" s="13"/>
      <c r="J218" s="29"/>
      <c r="K218" s="29"/>
      <c r="L218" s="13"/>
      <c r="M218" s="13"/>
      <c r="N218" s="13"/>
      <c r="O218" s="29"/>
      <c r="P218" s="29"/>
      <c r="Q218" s="13"/>
      <c r="R218" s="13"/>
      <c r="S218" s="13"/>
      <c r="T218" s="13"/>
      <c r="U218" s="13"/>
      <c r="V218" s="13"/>
      <c r="W218" s="13"/>
      <c r="X218" s="13"/>
      <c r="Y218" s="13"/>
      <c r="Z218" s="16"/>
      <c r="AA218" s="13"/>
      <c r="AB218" s="13"/>
      <c r="AC218" s="13"/>
      <c r="AD218" s="29"/>
      <c r="AE218" s="13"/>
      <c r="AF218" s="29"/>
      <c r="AG218" s="16"/>
      <c r="AH218" s="16"/>
      <c r="AI218" s="13"/>
      <c r="AJ218" s="13"/>
      <c r="AK218" s="16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</row>
    <row r="219" hidden="1">
      <c r="A219" s="13"/>
      <c r="B219" s="13"/>
      <c r="C219" s="13"/>
      <c r="D219" s="29"/>
      <c r="E219" s="13"/>
      <c r="F219" s="13"/>
      <c r="G219" s="16"/>
      <c r="H219" s="13"/>
      <c r="I219" s="13"/>
      <c r="J219" s="29"/>
      <c r="K219" s="29"/>
      <c r="L219" s="13"/>
      <c r="M219" s="13"/>
      <c r="N219" s="13"/>
      <c r="O219" s="29"/>
      <c r="P219" s="29"/>
      <c r="Q219" s="13"/>
      <c r="R219" s="13"/>
      <c r="S219" s="13"/>
      <c r="T219" s="13"/>
      <c r="U219" s="13"/>
      <c r="V219" s="13"/>
      <c r="W219" s="13"/>
      <c r="X219" s="13"/>
      <c r="Y219" s="13"/>
      <c r="Z219" s="16"/>
      <c r="AA219" s="13"/>
      <c r="AB219" s="13"/>
      <c r="AC219" s="13"/>
      <c r="AD219" s="29"/>
      <c r="AE219" s="13"/>
      <c r="AF219" s="29"/>
      <c r="AG219" s="16"/>
      <c r="AH219" s="16"/>
      <c r="AI219" s="13"/>
      <c r="AJ219" s="13"/>
      <c r="AK219" s="16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hidden="1">
      <c r="A220" s="13"/>
      <c r="B220" s="13"/>
      <c r="C220" s="13"/>
      <c r="D220" s="29"/>
      <c r="E220" s="13"/>
      <c r="F220" s="13"/>
      <c r="G220" s="16"/>
      <c r="H220" s="13"/>
      <c r="I220" s="13"/>
      <c r="J220" s="29"/>
      <c r="K220" s="29"/>
      <c r="L220" s="13"/>
      <c r="M220" s="13"/>
      <c r="N220" s="13"/>
      <c r="O220" s="29"/>
      <c r="P220" s="29"/>
      <c r="Q220" s="13"/>
      <c r="R220" s="13"/>
      <c r="S220" s="13"/>
      <c r="T220" s="13"/>
      <c r="U220" s="13"/>
      <c r="V220" s="13"/>
      <c r="W220" s="13"/>
      <c r="X220" s="13"/>
      <c r="Y220" s="13"/>
      <c r="Z220" s="16"/>
      <c r="AA220" s="13"/>
      <c r="AB220" s="13"/>
      <c r="AC220" s="13"/>
      <c r="AD220" s="29"/>
      <c r="AE220" s="13"/>
      <c r="AF220" s="29"/>
      <c r="AG220" s="16"/>
      <c r="AH220" s="16"/>
      <c r="AI220" s="13"/>
      <c r="AJ220" s="13"/>
      <c r="AK220" s="16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</row>
    <row r="221" hidden="1">
      <c r="A221" s="13"/>
      <c r="B221" s="13"/>
      <c r="C221" s="13"/>
      <c r="D221" s="29"/>
      <c r="E221" s="13"/>
      <c r="F221" s="13"/>
      <c r="G221" s="16"/>
      <c r="H221" s="13"/>
      <c r="I221" s="13"/>
      <c r="J221" s="29"/>
      <c r="K221" s="29"/>
      <c r="L221" s="13"/>
      <c r="M221" s="13"/>
      <c r="N221" s="13"/>
      <c r="O221" s="29"/>
      <c r="P221" s="29"/>
      <c r="Q221" s="13"/>
      <c r="R221" s="13"/>
      <c r="S221" s="13"/>
      <c r="T221" s="13"/>
      <c r="U221" s="13"/>
      <c r="V221" s="13"/>
      <c r="W221" s="13"/>
      <c r="X221" s="13"/>
      <c r="Y221" s="13"/>
      <c r="Z221" s="16"/>
      <c r="AA221" s="13"/>
      <c r="AB221" s="13"/>
      <c r="AC221" s="13"/>
      <c r="AD221" s="29"/>
      <c r="AE221" s="13"/>
      <c r="AF221" s="29"/>
      <c r="AG221" s="16"/>
      <c r="AH221" s="16"/>
      <c r="AI221" s="13"/>
      <c r="AJ221" s="13"/>
      <c r="AK221" s="16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hidden="1">
      <c r="A222" s="13"/>
      <c r="B222" s="13"/>
      <c r="C222" s="13"/>
      <c r="D222" s="29"/>
      <c r="E222" s="13"/>
      <c r="F222" s="13"/>
      <c r="G222" s="16"/>
      <c r="H222" s="13"/>
      <c r="I222" s="13"/>
      <c r="J222" s="29"/>
      <c r="K222" s="29"/>
      <c r="L222" s="13"/>
      <c r="M222" s="13"/>
      <c r="N222" s="13"/>
      <c r="O222" s="29"/>
      <c r="P222" s="29"/>
      <c r="Q222" s="13"/>
      <c r="R222" s="13"/>
      <c r="S222" s="13"/>
      <c r="T222" s="13"/>
      <c r="U222" s="13"/>
      <c r="V222" s="13"/>
      <c r="W222" s="13"/>
      <c r="X222" s="13"/>
      <c r="Y222" s="13"/>
      <c r="Z222" s="16"/>
      <c r="AA222" s="13"/>
      <c r="AB222" s="13"/>
      <c r="AC222" s="13"/>
      <c r="AD222" s="29"/>
      <c r="AE222" s="13"/>
      <c r="AF222" s="29"/>
      <c r="AG222" s="16"/>
      <c r="AH222" s="16"/>
      <c r="AI222" s="13"/>
      <c r="AJ222" s="13"/>
      <c r="AK222" s="16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hidden="1">
      <c r="A223" s="13"/>
      <c r="B223" s="13"/>
      <c r="C223" s="13"/>
      <c r="D223" s="29"/>
      <c r="E223" s="13"/>
      <c r="F223" s="13"/>
      <c r="G223" s="16"/>
      <c r="H223" s="13"/>
      <c r="I223" s="13"/>
      <c r="J223" s="29"/>
      <c r="K223" s="29"/>
      <c r="L223" s="13"/>
      <c r="M223" s="13"/>
      <c r="N223" s="13"/>
      <c r="O223" s="29"/>
      <c r="P223" s="29"/>
      <c r="Q223" s="13"/>
      <c r="R223" s="13"/>
      <c r="S223" s="13"/>
      <c r="T223" s="13"/>
      <c r="U223" s="13"/>
      <c r="V223" s="13"/>
      <c r="W223" s="13"/>
      <c r="X223" s="13"/>
      <c r="Y223" s="13"/>
      <c r="Z223" s="16"/>
      <c r="AA223" s="13"/>
      <c r="AB223" s="13"/>
      <c r="AC223" s="13"/>
      <c r="AD223" s="29"/>
      <c r="AE223" s="13"/>
      <c r="AF223" s="29"/>
      <c r="AG223" s="16"/>
      <c r="AH223" s="16"/>
      <c r="AI223" s="13"/>
      <c r="AJ223" s="13"/>
      <c r="AK223" s="16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hidden="1">
      <c r="A224" s="13"/>
      <c r="B224" s="13"/>
      <c r="C224" s="13"/>
      <c r="D224" s="29"/>
      <c r="E224" s="13"/>
      <c r="F224" s="13"/>
      <c r="G224" s="16"/>
      <c r="H224" s="13"/>
      <c r="I224" s="13"/>
      <c r="J224" s="29"/>
      <c r="K224" s="29"/>
      <c r="L224" s="13"/>
      <c r="M224" s="13"/>
      <c r="N224" s="13"/>
      <c r="O224" s="29"/>
      <c r="P224" s="29"/>
      <c r="Q224" s="13"/>
      <c r="R224" s="13"/>
      <c r="S224" s="13"/>
      <c r="T224" s="13"/>
      <c r="U224" s="13"/>
      <c r="V224" s="13"/>
      <c r="W224" s="13"/>
      <c r="X224" s="13"/>
      <c r="Y224" s="13"/>
      <c r="Z224" s="16"/>
      <c r="AA224" s="13"/>
      <c r="AB224" s="13"/>
      <c r="AC224" s="13"/>
      <c r="AD224" s="29"/>
      <c r="AE224" s="13"/>
      <c r="AF224" s="29"/>
      <c r="AG224" s="16"/>
      <c r="AH224" s="16"/>
      <c r="AI224" s="13"/>
      <c r="AJ224" s="13"/>
      <c r="AK224" s="16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</row>
    <row r="225" hidden="1">
      <c r="A225" s="13"/>
      <c r="B225" s="13"/>
      <c r="C225" s="13"/>
      <c r="D225" s="29"/>
      <c r="E225" s="13"/>
      <c r="F225" s="13"/>
      <c r="G225" s="16"/>
      <c r="H225" s="13"/>
      <c r="I225" s="13"/>
      <c r="J225" s="29"/>
      <c r="K225" s="29"/>
      <c r="L225" s="13"/>
      <c r="M225" s="13"/>
      <c r="N225" s="13"/>
      <c r="O225" s="29"/>
      <c r="P225" s="29"/>
      <c r="Q225" s="13"/>
      <c r="R225" s="13"/>
      <c r="S225" s="13"/>
      <c r="T225" s="13"/>
      <c r="U225" s="13"/>
      <c r="V225" s="13"/>
      <c r="W225" s="13"/>
      <c r="X225" s="13"/>
      <c r="Y225" s="13"/>
      <c r="Z225" s="16"/>
      <c r="AA225" s="13"/>
      <c r="AB225" s="13"/>
      <c r="AC225" s="13"/>
      <c r="AD225" s="29"/>
      <c r="AE225" s="13"/>
      <c r="AF225" s="29"/>
      <c r="AG225" s="16"/>
      <c r="AH225" s="16"/>
      <c r="AI225" s="13"/>
      <c r="AJ225" s="13"/>
      <c r="AK225" s="16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hidden="1">
      <c r="A226" s="13"/>
      <c r="B226" s="13"/>
      <c r="C226" s="13"/>
      <c r="D226" s="29"/>
      <c r="E226" s="13"/>
      <c r="F226" s="13"/>
      <c r="G226" s="16"/>
      <c r="H226" s="13"/>
      <c r="I226" s="13"/>
      <c r="J226" s="29"/>
      <c r="K226" s="29"/>
      <c r="L226" s="13"/>
      <c r="M226" s="13"/>
      <c r="N226" s="13"/>
      <c r="O226" s="29"/>
      <c r="P226" s="29"/>
      <c r="Q226" s="13"/>
      <c r="R226" s="13"/>
      <c r="S226" s="13"/>
      <c r="T226" s="13"/>
      <c r="U226" s="13"/>
      <c r="V226" s="13"/>
      <c r="W226" s="13"/>
      <c r="X226" s="13"/>
      <c r="Y226" s="13"/>
      <c r="Z226" s="16"/>
      <c r="AA226" s="13"/>
      <c r="AB226" s="13"/>
      <c r="AC226" s="13"/>
      <c r="AD226" s="29"/>
      <c r="AE226" s="13"/>
      <c r="AF226" s="29"/>
      <c r="AG226" s="16"/>
      <c r="AH226" s="16"/>
      <c r="AI226" s="13"/>
      <c r="AJ226" s="13"/>
      <c r="AK226" s="16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</row>
    <row r="227" hidden="1">
      <c r="A227" s="13"/>
      <c r="B227" s="13"/>
      <c r="C227" s="13"/>
      <c r="D227" s="29"/>
      <c r="E227" s="13"/>
      <c r="F227" s="13"/>
      <c r="G227" s="16"/>
      <c r="H227" s="13"/>
      <c r="I227" s="13"/>
      <c r="J227" s="29"/>
      <c r="K227" s="29"/>
      <c r="L227" s="13"/>
      <c r="M227" s="13"/>
      <c r="N227" s="13"/>
      <c r="O227" s="29"/>
      <c r="P227" s="29"/>
      <c r="Q227" s="13"/>
      <c r="R227" s="13"/>
      <c r="S227" s="13"/>
      <c r="T227" s="13"/>
      <c r="U227" s="13"/>
      <c r="V227" s="13"/>
      <c r="W227" s="13"/>
      <c r="X227" s="13"/>
      <c r="Y227" s="13"/>
      <c r="Z227" s="16"/>
      <c r="AA227" s="13"/>
      <c r="AB227" s="13"/>
      <c r="AC227" s="13"/>
      <c r="AD227" s="29"/>
      <c r="AE227" s="13"/>
      <c r="AF227" s="29"/>
      <c r="AG227" s="16"/>
      <c r="AH227" s="16"/>
      <c r="AI227" s="13"/>
      <c r="AJ227" s="13"/>
      <c r="AK227" s="16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hidden="1">
      <c r="A228" s="13"/>
      <c r="B228" s="13"/>
      <c r="C228" s="13"/>
      <c r="D228" s="29"/>
      <c r="E228" s="13"/>
      <c r="F228" s="13"/>
      <c r="G228" s="16"/>
      <c r="H228" s="13"/>
      <c r="I228" s="13"/>
      <c r="J228" s="29"/>
      <c r="K228" s="29"/>
      <c r="L228" s="13"/>
      <c r="M228" s="13"/>
      <c r="N228" s="13"/>
      <c r="O228" s="29"/>
      <c r="P228" s="29"/>
      <c r="Q228" s="13"/>
      <c r="R228" s="13"/>
      <c r="S228" s="13"/>
      <c r="T228" s="13"/>
      <c r="U228" s="13"/>
      <c r="V228" s="13"/>
      <c r="W228" s="13"/>
      <c r="X228" s="13"/>
      <c r="Y228" s="13"/>
      <c r="Z228" s="16"/>
      <c r="AA228" s="13"/>
      <c r="AB228" s="13"/>
      <c r="AC228" s="13"/>
      <c r="AD228" s="29"/>
      <c r="AE228" s="13"/>
      <c r="AF228" s="29"/>
      <c r="AG228" s="16"/>
      <c r="AH228" s="16"/>
      <c r="AI228" s="13"/>
      <c r="AJ228" s="13"/>
      <c r="AK228" s="16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hidden="1">
      <c r="A229" s="13"/>
      <c r="B229" s="13"/>
      <c r="C229" s="13"/>
      <c r="D229" s="29"/>
      <c r="E229" s="13"/>
      <c r="F229" s="13"/>
      <c r="G229" s="16"/>
      <c r="H229" s="13"/>
      <c r="I229" s="13"/>
      <c r="J229" s="29"/>
      <c r="K229" s="29"/>
      <c r="L229" s="13"/>
      <c r="M229" s="13"/>
      <c r="N229" s="13"/>
      <c r="O229" s="29"/>
      <c r="P229" s="29"/>
      <c r="Q229" s="13"/>
      <c r="R229" s="13"/>
      <c r="S229" s="13"/>
      <c r="T229" s="13"/>
      <c r="U229" s="13"/>
      <c r="V229" s="13"/>
      <c r="W229" s="13"/>
      <c r="X229" s="13"/>
      <c r="Y229" s="13"/>
      <c r="Z229" s="16"/>
      <c r="AA229" s="13"/>
      <c r="AB229" s="13"/>
      <c r="AC229" s="13"/>
      <c r="AD229" s="29"/>
      <c r="AE229" s="13"/>
      <c r="AF229" s="29"/>
      <c r="AG229" s="16"/>
      <c r="AH229" s="16"/>
      <c r="AI229" s="13"/>
      <c r="AJ229" s="13"/>
      <c r="AK229" s="16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hidden="1">
      <c r="A230" s="13"/>
      <c r="B230" s="13"/>
      <c r="C230" s="13"/>
      <c r="D230" s="29"/>
      <c r="E230" s="13"/>
      <c r="F230" s="13"/>
      <c r="G230" s="16"/>
      <c r="H230" s="13"/>
      <c r="I230" s="13"/>
      <c r="J230" s="29"/>
      <c r="K230" s="29"/>
      <c r="L230" s="13"/>
      <c r="M230" s="13"/>
      <c r="N230" s="13"/>
      <c r="O230" s="29"/>
      <c r="P230" s="29"/>
      <c r="Q230" s="13"/>
      <c r="R230" s="13"/>
      <c r="S230" s="13"/>
      <c r="T230" s="13"/>
      <c r="U230" s="13"/>
      <c r="V230" s="13"/>
      <c r="W230" s="13"/>
      <c r="X230" s="13"/>
      <c r="Y230" s="13"/>
      <c r="Z230" s="16"/>
      <c r="AA230" s="13"/>
      <c r="AB230" s="13"/>
      <c r="AC230" s="13"/>
      <c r="AD230" s="29"/>
      <c r="AE230" s="13"/>
      <c r="AF230" s="29"/>
      <c r="AG230" s="16"/>
      <c r="AH230" s="16"/>
      <c r="AI230" s="13"/>
      <c r="AJ230" s="13"/>
      <c r="AK230" s="16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</row>
    <row r="231" hidden="1">
      <c r="A231" s="13"/>
      <c r="B231" s="13"/>
      <c r="C231" s="13"/>
      <c r="D231" s="29"/>
      <c r="E231" s="13"/>
      <c r="F231" s="13"/>
      <c r="G231" s="16"/>
      <c r="H231" s="13"/>
      <c r="I231" s="13"/>
      <c r="J231" s="29"/>
      <c r="K231" s="29"/>
      <c r="L231" s="13"/>
      <c r="M231" s="13"/>
      <c r="N231" s="13"/>
      <c r="O231" s="29"/>
      <c r="P231" s="29"/>
      <c r="Q231" s="13"/>
      <c r="R231" s="13"/>
      <c r="S231" s="13"/>
      <c r="T231" s="13"/>
      <c r="U231" s="13"/>
      <c r="V231" s="13"/>
      <c r="W231" s="13"/>
      <c r="X231" s="13"/>
      <c r="Y231" s="13"/>
      <c r="Z231" s="16"/>
      <c r="AA231" s="13"/>
      <c r="AB231" s="13"/>
      <c r="AC231" s="13"/>
      <c r="AD231" s="29"/>
      <c r="AE231" s="13"/>
      <c r="AF231" s="29"/>
      <c r="AG231" s="16"/>
      <c r="AH231" s="16"/>
      <c r="AI231" s="13"/>
      <c r="AJ231" s="13"/>
      <c r="AK231" s="16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hidden="1">
      <c r="A232" s="13"/>
      <c r="B232" s="13"/>
      <c r="C232" s="13"/>
      <c r="D232" s="29"/>
      <c r="E232" s="13"/>
      <c r="F232" s="13"/>
      <c r="G232" s="16"/>
      <c r="H232" s="13"/>
      <c r="I232" s="13"/>
      <c r="J232" s="29"/>
      <c r="K232" s="29"/>
      <c r="L232" s="13"/>
      <c r="M232" s="13"/>
      <c r="N232" s="13"/>
      <c r="O232" s="29"/>
      <c r="P232" s="29"/>
      <c r="Q232" s="13"/>
      <c r="R232" s="13"/>
      <c r="S232" s="13"/>
      <c r="T232" s="13"/>
      <c r="U232" s="13"/>
      <c r="V232" s="13"/>
      <c r="W232" s="13"/>
      <c r="X232" s="13"/>
      <c r="Y232" s="13"/>
      <c r="Z232" s="16"/>
      <c r="AA232" s="13"/>
      <c r="AB232" s="13"/>
      <c r="AC232" s="13"/>
      <c r="AD232" s="29"/>
      <c r="AE232" s="13"/>
      <c r="AF232" s="29"/>
      <c r="AG232" s="16"/>
      <c r="AH232" s="16"/>
      <c r="AI232" s="13"/>
      <c r="AJ232" s="13"/>
      <c r="AK232" s="16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hidden="1">
      <c r="A233" s="13"/>
      <c r="B233" s="13"/>
      <c r="C233" s="13"/>
      <c r="D233" s="29"/>
      <c r="E233" s="13"/>
      <c r="F233" s="13"/>
      <c r="G233" s="16"/>
      <c r="H233" s="13"/>
      <c r="I233" s="13"/>
      <c r="J233" s="29"/>
      <c r="K233" s="29"/>
      <c r="L233" s="13"/>
      <c r="M233" s="13"/>
      <c r="N233" s="13"/>
      <c r="O233" s="29"/>
      <c r="P233" s="29"/>
      <c r="Q233" s="13"/>
      <c r="R233" s="13"/>
      <c r="S233" s="13"/>
      <c r="T233" s="13"/>
      <c r="U233" s="13"/>
      <c r="V233" s="13"/>
      <c r="W233" s="13"/>
      <c r="X233" s="13"/>
      <c r="Y233" s="13"/>
      <c r="Z233" s="16"/>
      <c r="AA233" s="13"/>
      <c r="AB233" s="13"/>
      <c r="AC233" s="13"/>
      <c r="AD233" s="29"/>
      <c r="AE233" s="13"/>
      <c r="AF233" s="29"/>
      <c r="AG233" s="16"/>
      <c r="AH233" s="16"/>
      <c r="AI233" s="13"/>
      <c r="AJ233" s="13"/>
      <c r="AK233" s="16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hidden="1">
      <c r="A234" s="13"/>
      <c r="B234" s="13"/>
      <c r="C234" s="13"/>
      <c r="D234" s="29"/>
      <c r="E234" s="13"/>
      <c r="F234" s="13"/>
      <c r="G234" s="16"/>
      <c r="H234" s="13"/>
      <c r="I234" s="13"/>
      <c r="J234" s="29"/>
      <c r="K234" s="29"/>
      <c r="L234" s="13"/>
      <c r="M234" s="13"/>
      <c r="N234" s="13"/>
      <c r="O234" s="29"/>
      <c r="P234" s="29"/>
      <c r="Q234" s="13"/>
      <c r="R234" s="13"/>
      <c r="S234" s="13"/>
      <c r="T234" s="13"/>
      <c r="U234" s="13"/>
      <c r="V234" s="13"/>
      <c r="W234" s="13"/>
      <c r="X234" s="13"/>
      <c r="Y234" s="13"/>
      <c r="Z234" s="16"/>
      <c r="AA234" s="13"/>
      <c r="AB234" s="13"/>
      <c r="AC234" s="13"/>
      <c r="AD234" s="29"/>
      <c r="AE234" s="13"/>
      <c r="AF234" s="29"/>
      <c r="AG234" s="16"/>
      <c r="AH234" s="16"/>
      <c r="AI234" s="13"/>
      <c r="AJ234" s="13"/>
      <c r="AK234" s="16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</row>
    <row r="235" hidden="1">
      <c r="A235" s="13"/>
      <c r="B235" s="13"/>
      <c r="C235" s="13"/>
      <c r="D235" s="29"/>
      <c r="E235" s="13"/>
      <c r="F235" s="13"/>
      <c r="G235" s="16"/>
      <c r="H235" s="13"/>
      <c r="I235" s="13"/>
      <c r="J235" s="29"/>
      <c r="K235" s="29"/>
      <c r="L235" s="13"/>
      <c r="M235" s="13"/>
      <c r="N235" s="13"/>
      <c r="O235" s="29"/>
      <c r="P235" s="29"/>
      <c r="Q235" s="13"/>
      <c r="R235" s="13"/>
      <c r="S235" s="13"/>
      <c r="T235" s="13"/>
      <c r="U235" s="13"/>
      <c r="V235" s="13"/>
      <c r="W235" s="13"/>
      <c r="X235" s="13"/>
      <c r="Y235" s="13"/>
      <c r="Z235" s="16"/>
      <c r="AA235" s="13"/>
      <c r="AB235" s="13"/>
      <c r="AC235" s="13"/>
      <c r="AD235" s="29"/>
      <c r="AE235" s="13"/>
      <c r="AF235" s="29"/>
      <c r="AG235" s="16"/>
      <c r="AH235" s="16"/>
      <c r="AI235" s="13"/>
      <c r="AJ235" s="13"/>
      <c r="AK235" s="16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hidden="1">
      <c r="A236" s="13"/>
      <c r="B236" s="13"/>
      <c r="C236" s="13"/>
      <c r="D236" s="29"/>
      <c r="E236" s="13"/>
      <c r="F236" s="13"/>
      <c r="G236" s="16"/>
      <c r="H236" s="13"/>
      <c r="I236" s="13"/>
      <c r="J236" s="29"/>
      <c r="K236" s="29"/>
      <c r="L236" s="13"/>
      <c r="M236" s="13"/>
      <c r="N236" s="13"/>
      <c r="O236" s="29"/>
      <c r="P236" s="29"/>
      <c r="Q236" s="13"/>
      <c r="R236" s="13"/>
      <c r="S236" s="13"/>
      <c r="T236" s="13"/>
      <c r="U236" s="13"/>
      <c r="V236" s="13"/>
      <c r="W236" s="13"/>
      <c r="X236" s="13"/>
      <c r="Y236" s="13"/>
      <c r="Z236" s="16"/>
      <c r="AA236" s="13"/>
      <c r="AB236" s="13"/>
      <c r="AC236" s="13"/>
      <c r="AD236" s="29"/>
      <c r="AE236" s="13"/>
      <c r="AF236" s="29"/>
      <c r="AG236" s="16"/>
      <c r="AH236" s="16"/>
      <c r="AI236" s="13"/>
      <c r="AJ236" s="13"/>
      <c r="AK236" s="16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hidden="1">
      <c r="A237" s="13"/>
      <c r="B237" s="13"/>
      <c r="C237" s="13"/>
      <c r="D237" s="29"/>
      <c r="E237" s="13"/>
      <c r="F237" s="13"/>
      <c r="G237" s="16"/>
      <c r="H237" s="13"/>
      <c r="I237" s="13"/>
      <c r="J237" s="29"/>
      <c r="K237" s="29"/>
      <c r="L237" s="13"/>
      <c r="M237" s="13"/>
      <c r="N237" s="13"/>
      <c r="O237" s="29"/>
      <c r="P237" s="29"/>
      <c r="Q237" s="13"/>
      <c r="R237" s="13"/>
      <c r="S237" s="13"/>
      <c r="T237" s="13"/>
      <c r="U237" s="13"/>
      <c r="V237" s="13"/>
      <c r="W237" s="13"/>
      <c r="X237" s="13"/>
      <c r="Y237" s="13"/>
      <c r="Z237" s="16"/>
      <c r="AA237" s="13"/>
      <c r="AB237" s="13"/>
      <c r="AC237" s="13"/>
      <c r="AD237" s="29"/>
      <c r="AE237" s="13"/>
      <c r="AF237" s="29"/>
      <c r="AG237" s="16"/>
      <c r="AH237" s="16"/>
      <c r="AI237" s="13"/>
      <c r="AJ237" s="13"/>
      <c r="AK237" s="16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hidden="1">
      <c r="A238" s="13"/>
      <c r="B238" s="13"/>
      <c r="C238" s="13"/>
      <c r="D238" s="29"/>
      <c r="E238" s="13"/>
      <c r="F238" s="13"/>
      <c r="G238" s="16"/>
      <c r="H238" s="13"/>
      <c r="I238" s="13"/>
      <c r="J238" s="29"/>
      <c r="K238" s="29"/>
      <c r="L238" s="13"/>
      <c r="M238" s="13"/>
      <c r="N238" s="13"/>
      <c r="O238" s="29"/>
      <c r="P238" s="29"/>
      <c r="Q238" s="13"/>
      <c r="R238" s="13"/>
      <c r="S238" s="13"/>
      <c r="T238" s="13"/>
      <c r="U238" s="13"/>
      <c r="V238" s="13"/>
      <c r="W238" s="13"/>
      <c r="X238" s="13"/>
      <c r="Y238" s="13"/>
      <c r="Z238" s="16"/>
      <c r="AA238" s="13"/>
      <c r="AB238" s="13"/>
      <c r="AC238" s="13"/>
      <c r="AD238" s="29"/>
      <c r="AE238" s="13"/>
      <c r="AF238" s="29"/>
      <c r="AG238" s="16"/>
      <c r="AH238" s="16"/>
      <c r="AI238" s="13"/>
      <c r="AJ238" s="13"/>
      <c r="AK238" s="16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</row>
    <row r="239" hidden="1">
      <c r="A239" s="13"/>
      <c r="B239" s="13"/>
      <c r="C239" s="13"/>
      <c r="D239" s="29"/>
      <c r="E239" s="13"/>
      <c r="F239" s="13"/>
      <c r="G239" s="16"/>
      <c r="H239" s="13"/>
      <c r="I239" s="13"/>
      <c r="J239" s="29"/>
      <c r="K239" s="29"/>
      <c r="L239" s="13"/>
      <c r="M239" s="13"/>
      <c r="N239" s="13"/>
      <c r="O239" s="29"/>
      <c r="P239" s="29"/>
      <c r="Q239" s="13"/>
      <c r="R239" s="13"/>
      <c r="S239" s="13"/>
      <c r="T239" s="13"/>
      <c r="U239" s="13"/>
      <c r="V239" s="13"/>
      <c r="W239" s="13"/>
      <c r="X239" s="13"/>
      <c r="Y239" s="13"/>
      <c r="Z239" s="16"/>
      <c r="AA239" s="13"/>
      <c r="AB239" s="13"/>
      <c r="AC239" s="13"/>
      <c r="AD239" s="29"/>
      <c r="AE239" s="13"/>
      <c r="AF239" s="29"/>
      <c r="AG239" s="16"/>
      <c r="AH239" s="16"/>
      <c r="AI239" s="13"/>
      <c r="AJ239" s="13"/>
      <c r="AK239" s="16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hidden="1">
      <c r="A240" s="13"/>
      <c r="B240" s="13"/>
      <c r="C240" s="13"/>
      <c r="D240" s="29"/>
      <c r="E240" s="13"/>
      <c r="F240" s="13"/>
      <c r="G240" s="16"/>
      <c r="H240" s="13"/>
      <c r="I240" s="13"/>
      <c r="J240" s="29"/>
      <c r="K240" s="29"/>
      <c r="L240" s="13"/>
      <c r="M240" s="13"/>
      <c r="N240" s="13"/>
      <c r="O240" s="29"/>
      <c r="P240" s="29"/>
      <c r="Q240" s="13"/>
      <c r="R240" s="13"/>
      <c r="S240" s="13"/>
      <c r="T240" s="13"/>
      <c r="U240" s="13"/>
      <c r="V240" s="13"/>
      <c r="W240" s="13"/>
      <c r="X240" s="13"/>
      <c r="Y240" s="13"/>
      <c r="Z240" s="16"/>
      <c r="AA240" s="13"/>
      <c r="AB240" s="13"/>
      <c r="AC240" s="13"/>
      <c r="AD240" s="29"/>
      <c r="AE240" s="13"/>
      <c r="AF240" s="29"/>
      <c r="AG240" s="16"/>
      <c r="AH240" s="16"/>
      <c r="AI240" s="13"/>
      <c r="AJ240" s="13"/>
      <c r="AK240" s="16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</row>
    <row r="241" hidden="1">
      <c r="A241" s="13"/>
      <c r="B241" s="13"/>
      <c r="C241" s="13"/>
      <c r="D241" s="29"/>
      <c r="E241" s="13"/>
      <c r="F241" s="13"/>
      <c r="G241" s="16"/>
      <c r="H241" s="13"/>
      <c r="I241" s="13"/>
      <c r="J241" s="29"/>
      <c r="K241" s="29"/>
      <c r="L241" s="13"/>
      <c r="M241" s="13"/>
      <c r="N241" s="13"/>
      <c r="O241" s="29"/>
      <c r="P241" s="29"/>
      <c r="Q241" s="13"/>
      <c r="R241" s="13"/>
      <c r="S241" s="13"/>
      <c r="T241" s="13"/>
      <c r="U241" s="13"/>
      <c r="V241" s="13"/>
      <c r="W241" s="13"/>
      <c r="X241" s="13"/>
      <c r="Y241" s="13"/>
      <c r="Z241" s="16"/>
      <c r="AA241" s="13"/>
      <c r="AB241" s="13"/>
      <c r="AC241" s="13"/>
      <c r="AD241" s="29"/>
      <c r="AE241" s="13"/>
      <c r="AF241" s="29"/>
      <c r="AG241" s="16"/>
      <c r="AH241" s="16"/>
      <c r="AI241" s="13"/>
      <c r="AJ241" s="13"/>
      <c r="AK241" s="16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hidden="1">
      <c r="A242" s="13"/>
      <c r="B242" s="13"/>
      <c r="C242" s="13"/>
      <c r="D242" s="29"/>
      <c r="E242" s="13"/>
      <c r="F242" s="13"/>
      <c r="G242" s="16"/>
      <c r="H242" s="13"/>
      <c r="I242" s="13"/>
      <c r="J242" s="29"/>
      <c r="K242" s="29"/>
      <c r="L242" s="13"/>
      <c r="M242" s="13"/>
      <c r="N242" s="13"/>
      <c r="O242" s="29"/>
      <c r="P242" s="29"/>
      <c r="Q242" s="13"/>
      <c r="R242" s="13"/>
      <c r="S242" s="13"/>
      <c r="T242" s="13"/>
      <c r="U242" s="13"/>
      <c r="V242" s="13"/>
      <c r="W242" s="13"/>
      <c r="X242" s="13"/>
      <c r="Y242" s="13"/>
      <c r="Z242" s="16"/>
      <c r="AA242" s="13"/>
      <c r="AB242" s="13"/>
      <c r="AC242" s="13"/>
      <c r="AD242" s="29"/>
      <c r="AE242" s="13"/>
      <c r="AF242" s="29"/>
      <c r="AG242" s="16"/>
      <c r="AH242" s="16"/>
      <c r="AI242" s="13"/>
      <c r="AJ242" s="13"/>
      <c r="AK242" s="16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</row>
  </sheetData>
  <autoFilter ref="$F$1:$F$242">
    <filterColumn colId="0">
      <filters>
        <filter val="Nathaniel Shu Jia Jun"/>
        <filter val="Aslan Adnan"/>
        <filter val="CH'NG Saw Huai"/>
        <filter val="LAI BO ZHENG"/>
        <filter val="Adam Malik bin Azizur Riza"/>
        <filter val="Ang Yong Jun"/>
      </filters>
    </filterColumn>
  </autoFilter>
  <hyperlinks>
    <hyperlink r:id="rId1" ref="Q2"/>
    <hyperlink r:id="rId2" ref="R2"/>
    <hyperlink r:id="rId3" ref="W2"/>
    <hyperlink r:id="rId4" ref="Q3"/>
    <hyperlink r:id="rId5" ref="R3"/>
    <hyperlink r:id="rId6" ref="W3"/>
    <hyperlink r:id="rId7" ref="Q4"/>
    <hyperlink r:id="rId8" ref="R4"/>
    <hyperlink r:id="rId9" ref="W4"/>
    <hyperlink r:id="rId10" ref="Q5"/>
    <hyperlink r:id="rId11" ref="R5"/>
    <hyperlink r:id="rId12" ref="W5"/>
    <hyperlink r:id="rId13" ref="Q6"/>
    <hyperlink r:id="rId14" ref="R6"/>
    <hyperlink r:id="rId15" ref="W6"/>
    <hyperlink r:id="rId16" ref="Q7"/>
    <hyperlink r:id="rId17" ref="R7"/>
    <hyperlink r:id="rId18" ref="W7"/>
    <hyperlink r:id="rId19" ref="Q8"/>
    <hyperlink r:id="rId20" ref="R8"/>
    <hyperlink r:id="rId21" ref="W8"/>
    <hyperlink r:id="rId22" ref="Q9"/>
    <hyperlink r:id="rId23" ref="R9"/>
    <hyperlink r:id="rId24" ref="W9"/>
    <hyperlink r:id="rId25" ref="Q10"/>
    <hyperlink r:id="rId26" ref="R10"/>
    <hyperlink r:id="rId27" ref="W10"/>
    <hyperlink r:id="rId28" ref="Q11"/>
    <hyperlink r:id="rId29" ref="R11"/>
    <hyperlink r:id="rId30" ref="W11"/>
    <hyperlink r:id="rId31" ref="Q12"/>
    <hyperlink r:id="rId32" ref="R12"/>
    <hyperlink r:id="rId33" ref="W12"/>
    <hyperlink r:id="rId34" ref="Q13"/>
    <hyperlink r:id="rId35" ref="R13"/>
    <hyperlink r:id="rId36" ref="W13"/>
    <hyperlink r:id="rId37" ref="Q14"/>
    <hyperlink r:id="rId38" ref="R14"/>
    <hyperlink r:id="rId39" ref="W14"/>
    <hyperlink r:id="rId40" ref="Q15"/>
    <hyperlink r:id="rId41" ref="R15"/>
    <hyperlink r:id="rId42" ref="W15"/>
    <hyperlink r:id="rId43" ref="Q16"/>
    <hyperlink r:id="rId44" ref="R16"/>
    <hyperlink r:id="rId45" ref="W16"/>
    <hyperlink r:id="rId46" ref="Q17"/>
    <hyperlink r:id="rId47" ref="R17"/>
    <hyperlink r:id="rId48" ref="W17"/>
    <hyperlink r:id="rId49" ref="Q18"/>
    <hyperlink r:id="rId50" ref="R18"/>
    <hyperlink r:id="rId51" ref="W18"/>
    <hyperlink r:id="rId52" ref="Q19"/>
    <hyperlink r:id="rId53" ref="R19"/>
    <hyperlink r:id="rId54" ref="W19"/>
    <hyperlink r:id="rId55" ref="Q20"/>
    <hyperlink r:id="rId56" ref="R20"/>
    <hyperlink r:id="rId57" ref="W20"/>
    <hyperlink r:id="rId58" ref="Q21"/>
    <hyperlink r:id="rId59" ref="R21"/>
    <hyperlink r:id="rId60" ref="W21"/>
    <hyperlink r:id="rId61" ref="Q22"/>
    <hyperlink r:id="rId62" ref="R22"/>
    <hyperlink r:id="rId63" ref="W22"/>
    <hyperlink r:id="rId64" ref="Q23"/>
    <hyperlink r:id="rId65" ref="R23"/>
    <hyperlink r:id="rId66" ref="W23"/>
    <hyperlink r:id="rId67" ref="Q24"/>
    <hyperlink r:id="rId68" ref="R24"/>
    <hyperlink r:id="rId69" ref="W24"/>
    <hyperlink r:id="rId70" ref="Q25"/>
    <hyperlink r:id="rId71" ref="R25"/>
    <hyperlink r:id="rId72" ref="W25"/>
    <hyperlink r:id="rId73" ref="Q26"/>
    <hyperlink r:id="rId74" ref="R26"/>
    <hyperlink r:id="rId75" ref="W26"/>
    <hyperlink r:id="rId76" ref="Q27"/>
    <hyperlink r:id="rId77" ref="R27"/>
    <hyperlink r:id="rId78" ref="W27"/>
    <hyperlink r:id="rId79" ref="Q28"/>
    <hyperlink r:id="rId80" ref="R28"/>
    <hyperlink r:id="rId81" ref="W28"/>
    <hyperlink r:id="rId82" ref="Q29"/>
    <hyperlink r:id="rId83" ref="R29"/>
    <hyperlink r:id="rId84" ref="W29"/>
    <hyperlink r:id="rId85" ref="Q30"/>
    <hyperlink r:id="rId86" ref="R30"/>
    <hyperlink r:id="rId87" ref="W30"/>
    <hyperlink r:id="rId88" ref="Q31"/>
    <hyperlink r:id="rId89" ref="R31"/>
    <hyperlink r:id="rId90" ref="W31"/>
    <hyperlink r:id="rId91" ref="Q32"/>
    <hyperlink r:id="rId92" ref="R32"/>
    <hyperlink r:id="rId93" ref="W32"/>
    <hyperlink r:id="rId94" ref="Q33"/>
    <hyperlink r:id="rId95" ref="R33"/>
    <hyperlink r:id="rId96" ref="W33"/>
    <hyperlink r:id="rId97" ref="Q34"/>
    <hyperlink r:id="rId98" ref="R34"/>
    <hyperlink r:id="rId99" ref="W34"/>
    <hyperlink r:id="rId100" ref="Q35"/>
    <hyperlink r:id="rId101" ref="R35"/>
    <hyperlink r:id="rId102" ref="W35"/>
    <hyperlink r:id="rId103" ref="Q36"/>
    <hyperlink r:id="rId104" ref="R36"/>
    <hyperlink r:id="rId105" ref="W36"/>
    <hyperlink r:id="rId106" ref="Q37"/>
    <hyperlink r:id="rId107" ref="R37"/>
    <hyperlink r:id="rId108" ref="W37"/>
    <hyperlink r:id="rId109" ref="Q38"/>
    <hyperlink r:id="rId110" ref="R38"/>
    <hyperlink r:id="rId111" ref="W38"/>
    <hyperlink r:id="rId112" ref="Q39"/>
    <hyperlink r:id="rId113" ref="R39"/>
    <hyperlink r:id="rId114" ref="W39"/>
    <hyperlink r:id="rId115" ref="Q40"/>
    <hyperlink r:id="rId116" ref="R40"/>
    <hyperlink r:id="rId117" ref="W40"/>
    <hyperlink r:id="rId118" ref="Q41"/>
    <hyperlink r:id="rId119" ref="R41"/>
    <hyperlink r:id="rId120" ref="W41"/>
    <hyperlink r:id="rId121" ref="Q42"/>
    <hyperlink r:id="rId122" ref="R42"/>
    <hyperlink r:id="rId123" ref="W42"/>
    <hyperlink r:id="rId124" ref="Q43"/>
    <hyperlink r:id="rId125" ref="R43"/>
    <hyperlink r:id="rId126" ref="W43"/>
    <hyperlink r:id="rId127" ref="Q44"/>
    <hyperlink r:id="rId128" ref="R44"/>
    <hyperlink r:id="rId129" ref="W44"/>
    <hyperlink r:id="rId130" ref="Q45"/>
    <hyperlink r:id="rId131" ref="R45"/>
    <hyperlink r:id="rId132" ref="W45"/>
    <hyperlink r:id="rId133" ref="Q46"/>
    <hyperlink r:id="rId134" ref="R46"/>
    <hyperlink r:id="rId135" ref="W46"/>
    <hyperlink r:id="rId136" ref="Q47"/>
    <hyperlink r:id="rId137" ref="R47"/>
    <hyperlink r:id="rId138" ref="W47"/>
    <hyperlink r:id="rId139" ref="Q48"/>
    <hyperlink r:id="rId140" ref="R48"/>
    <hyperlink r:id="rId141" ref="W48"/>
    <hyperlink r:id="rId142" ref="Q49"/>
    <hyperlink r:id="rId143" ref="R49"/>
    <hyperlink r:id="rId144" ref="W49"/>
    <hyperlink r:id="rId145" ref="Q50"/>
    <hyperlink r:id="rId146" ref="R50"/>
    <hyperlink r:id="rId147" ref="W50"/>
    <hyperlink r:id="rId148" ref="Q51"/>
    <hyperlink r:id="rId149" ref="R51"/>
    <hyperlink r:id="rId150" ref="W51"/>
    <hyperlink r:id="rId151" ref="Q52"/>
    <hyperlink r:id="rId152" ref="R52"/>
    <hyperlink r:id="rId153" ref="W52"/>
    <hyperlink r:id="rId154" ref="Q53"/>
    <hyperlink r:id="rId155" ref="R53"/>
    <hyperlink r:id="rId156" ref="W53"/>
    <hyperlink r:id="rId157" ref="Q54"/>
    <hyperlink r:id="rId158" ref="R54"/>
    <hyperlink r:id="rId159" ref="W54"/>
    <hyperlink r:id="rId160" ref="Q55"/>
    <hyperlink r:id="rId161" ref="R55"/>
    <hyperlink r:id="rId162" ref="W55"/>
    <hyperlink r:id="rId163" ref="Q57"/>
    <hyperlink r:id="rId164" ref="R57"/>
    <hyperlink r:id="rId165" ref="W57"/>
    <hyperlink r:id="rId166" ref="Q58"/>
    <hyperlink r:id="rId167" ref="R58"/>
    <hyperlink r:id="rId168" ref="W58"/>
    <hyperlink r:id="rId169" ref="Q59"/>
    <hyperlink r:id="rId170" ref="R59"/>
    <hyperlink r:id="rId171" ref="W59"/>
    <hyperlink r:id="rId172" ref="Q60"/>
    <hyperlink r:id="rId173" ref="R60"/>
    <hyperlink r:id="rId174" ref="W60"/>
    <hyperlink r:id="rId175" ref="Q61"/>
    <hyperlink r:id="rId176" ref="R61"/>
    <hyperlink r:id="rId177" ref="W61"/>
    <hyperlink r:id="rId178" ref="Q62"/>
    <hyperlink r:id="rId179" ref="R62"/>
    <hyperlink r:id="rId180" ref="W62"/>
    <hyperlink r:id="rId181" ref="Q63"/>
    <hyperlink r:id="rId182" ref="R63"/>
    <hyperlink r:id="rId183" ref="W63"/>
    <hyperlink r:id="rId184" ref="Q64"/>
    <hyperlink r:id="rId185" ref="R64"/>
    <hyperlink r:id="rId186" ref="W64"/>
    <hyperlink r:id="rId187" ref="Q65"/>
    <hyperlink r:id="rId188" ref="R65"/>
    <hyperlink r:id="rId189" ref="W65"/>
    <hyperlink r:id="rId190" ref="Q66"/>
    <hyperlink r:id="rId191" ref="R66"/>
    <hyperlink r:id="rId192" ref="W66"/>
    <hyperlink r:id="rId193" ref="Q67"/>
    <hyperlink r:id="rId194" ref="R67"/>
    <hyperlink r:id="rId195" ref="W67"/>
    <hyperlink r:id="rId196" ref="Q68"/>
    <hyperlink r:id="rId197" ref="R68"/>
    <hyperlink r:id="rId198" ref="W68"/>
    <hyperlink r:id="rId199" ref="Q69"/>
    <hyperlink r:id="rId200" ref="R69"/>
    <hyperlink r:id="rId201" ref="W69"/>
    <hyperlink r:id="rId202" ref="Q70"/>
    <hyperlink r:id="rId203" ref="R70"/>
    <hyperlink r:id="rId204" ref="W70"/>
    <hyperlink r:id="rId205" ref="Q71"/>
    <hyperlink r:id="rId206" ref="R71"/>
    <hyperlink r:id="rId207" ref="W71"/>
    <hyperlink r:id="rId208" ref="Q72"/>
    <hyperlink r:id="rId209" ref="R72"/>
    <hyperlink r:id="rId210" ref="W72"/>
    <hyperlink r:id="rId211" ref="Q73"/>
    <hyperlink r:id="rId212" ref="R73"/>
    <hyperlink r:id="rId213" ref="W73"/>
    <hyperlink r:id="rId214" ref="Q74"/>
    <hyperlink r:id="rId215" ref="R74"/>
    <hyperlink r:id="rId216" ref="W74"/>
    <hyperlink r:id="rId217" ref="Q75"/>
    <hyperlink r:id="rId218" ref="R75"/>
    <hyperlink r:id="rId219" ref="W75"/>
    <hyperlink r:id="rId220" ref="Q76"/>
    <hyperlink r:id="rId221" ref="R76"/>
    <hyperlink r:id="rId222" ref="W76"/>
    <hyperlink r:id="rId223" ref="Q77"/>
    <hyperlink r:id="rId224" ref="R77"/>
    <hyperlink r:id="rId225" ref="W77"/>
    <hyperlink r:id="rId226" ref="Q78"/>
    <hyperlink r:id="rId227" ref="R78"/>
    <hyperlink r:id="rId228" ref="W78"/>
    <hyperlink r:id="rId229" ref="Q79"/>
    <hyperlink r:id="rId230" ref="R79"/>
    <hyperlink r:id="rId231" ref="W79"/>
    <hyperlink r:id="rId232" ref="Q80"/>
    <hyperlink r:id="rId233" ref="R80"/>
    <hyperlink r:id="rId234" ref="W80"/>
    <hyperlink r:id="rId235" ref="Q81"/>
    <hyperlink r:id="rId236" ref="R81"/>
    <hyperlink r:id="rId237" ref="W81"/>
    <hyperlink r:id="rId238" ref="Q82"/>
    <hyperlink r:id="rId239" ref="R82"/>
    <hyperlink r:id="rId240" ref="W82"/>
    <hyperlink r:id="rId241" ref="Q83"/>
    <hyperlink r:id="rId242" ref="R83"/>
    <hyperlink r:id="rId243" ref="W83"/>
    <hyperlink r:id="rId244" ref="Q84"/>
    <hyperlink r:id="rId245" ref="R84"/>
    <hyperlink r:id="rId246" ref="W84"/>
    <hyperlink r:id="rId247" ref="Q85"/>
    <hyperlink r:id="rId248" ref="R85"/>
    <hyperlink r:id="rId249" ref="W85"/>
    <hyperlink r:id="rId250" ref="Q86"/>
    <hyperlink r:id="rId251" ref="R86"/>
    <hyperlink r:id="rId252" ref="W86"/>
    <hyperlink r:id="rId253" ref="Q87"/>
    <hyperlink r:id="rId254" ref="R87"/>
    <hyperlink r:id="rId255" ref="W87"/>
    <hyperlink r:id="rId256" ref="Q88"/>
    <hyperlink r:id="rId257" ref="R88"/>
    <hyperlink r:id="rId258" ref="W88"/>
    <hyperlink r:id="rId259" ref="Q89"/>
    <hyperlink r:id="rId260" ref="R89"/>
    <hyperlink r:id="rId261" ref="W89"/>
    <hyperlink r:id="rId262" ref="Q90"/>
    <hyperlink r:id="rId263" ref="R90"/>
    <hyperlink r:id="rId264" ref="W90"/>
    <hyperlink r:id="rId265" ref="Q91"/>
    <hyperlink r:id="rId266" ref="R91"/>
    <hyperlink r:id="rId267" ref="W91"/>
    <hyperlink r:id="rId268" ref="Q93"/>
    <hyperlink r:id="rId269" ref="R93"/>
    <hyperlink r:id="rId270" ref="W93"/>
    <hyperlink r:id="rId271" ref="Q94"/>
    <hyperlink r:id="rId272" ref="R94"/>
    <hyperlink r:id="rId273" ref="W94"/>
    <hyperlink r:id="rId274" ref="Q95"/>
    <hyperlink r:id="rId275" ref="R95"/>
    <hyperlink r:id="rId276" ref="W95"/>
    <hyperlink r:id="rId277" ref="Q96"/>
    <hyperlink r:id="rId278" ref="R96"/>
    <hyperlink r:id="rId279" ref="W96"/>
    <hyperlink r:id="rId280" ref="Q98"/>
    <hyperlink r:id="rId281" ref="R98"/>
    <hyperlink r:id="rId282" ref="W98"/>
    <hyperlink r:id="rId283" ref="Q99"/>
    <hyperlink r:id="rId284" ref="R99"/>
    <hyperlink r:id="rId285" ref="W99"/>
    <hyperlink r:id="rId286" ref="Q100"/>
    <hyperlink r:id="rId287" ref="R100"/>
    <hyperlink r:id="rId288" ref="W100"/>
    <hyperlink r:id="rId289" ref="Q101"/>
    <hyperlink r:id="rId290" ref="R101"/>
    <hyperlink r:id="rId291" ref="W101"/>
    <hyperlink r:id="rId292" ref="Q102"/>
    <hyperlink r:id="rId293" ref="R102"/>
    <hyperlink r:id="rId294" ref="W102"/>
    <hyperlink r:id="rId295" ref="Q103"/>
    <hyperlink r:id="rId296" ref="R103"/>
    <hyperlink r:id="rId297" ref="W103"/>
    <hyperlink r:id="rId298" ref="Q104"/>
    <hyperlink r:id="rId299" ref="R104"/>
    <hyperlink r:id="rId300" ref="W104"/>
    <hyperlink r:id="rId301" ref="Q105"/>
    <hyperlink r:id="rId302" ref="R105"/>
    <hyperlink r:id="rId303" ref="W105"/>
    <hyperlink r:id="rId304" ref="Q107"/>
    <hyperlink r:id="rId305" ref="R107"/>
    <hyperlink r:id="rId306" ref="W107"/>
    <hyperlink r:id="rId307" ref="Q110"/>
    <hyperlink r:id="rId308" ref="R110"/>
    <hyperlink r:id="rId309" ref="W110"/>
    <hyperlink r:id="rId310" ref="Q111"/>
    <hyperlink r:id="rId311" ref="R111"/>
    <hyperlink r:id="rId312" ref="W111"/>
    <hyperlink r:id="rId313" ref="Q112"/>
    <hyperlink r:id="rId314" ref="R112"/>
    <hyperlink r:id="rId315" ref="W112"/>
    <hyperlink r:id="rId316" ref="Q113"/>
    <hyperlink r:id="rId317" ref="R113"/>
    <hyperlink r:id="rId318" ref="W113"/>
    <hyperlink r:id="rId319" ref="Q114"/>
    <hyperlink r:id="rId320" ref="R114"/>
    <hyperlink r:id="rId321" ref="W114"/>
    <hyperlink r:id="rId322" ref="Q115"/>
    <hyperlink r:id="rId323" ref="R115"/>
    <hyperlink r:id="rId324" ref="W115"/>
    <hyperlink r:id="rId325" ref="Q116"/>
    <hyperlink r:id="rId326" ref="R116"/>
    <hyperlink r:id="rId327" ref="W116"/>
    <hyperlink r:id="rId328" ref="Q117"/>
    <hyperlink r:id="rId329" ref="R117"/>
    <hyperlink r:id="rId330" ref="W117"/>
    <hyperlink r:id="rId331" ref="Q118"/>
    <hyperlink r:id="rId332" ref="R118"/>
    <hyperlink r:id="rId333" ref="W118"/>
    <hyperlink r:id="rId334" ref="Q119"/>
    <hyperlink r:id="rId335" ref="R119"/>
    <hyperlink r:id="rId336" ref="W119"/>
    <hyperlink r:id="rId337" ref="Q120"/>
    <hyperlink r:id="rId338" ref="R120"/>
    <hyperlink r:id="rId339" ref="W120"/>
    <hyperlink r:id="rId340" ref="Q121"/>
    <hyperlink r:id="rId341" ref="R121"/>
    <hyperlink r:id="rId342" ref="W121"/>
    <hyperlink r:id="rId343" ref="Q122"/>
    <hyperlink r:id="rId344" ref="R122"/>
    <hyperlink r:id="rId345" ref="W122"/>
    <hyperlink r:id="rId346" ref="Q123"/>
    <hyperlink r:id="rId347" ref="R123"/>
    <hyperlink r:id="rId348" ref="W123"/>
    <hyperlink r:id="rId349" ref="Q128"/>
    <hyperlink r:id="rId350" ref="R128"/>
    <hyperlink r:id="rId351" ref="W128"/>
    <hyperlink r:id="rId352" ref="Q134"/>
    <hyperlink r:id="rId353" ref="R134"/>
    <hyperlink r:id="rId354" ref="W134"/>
    <hyperlink r:id="rId355" ref="Q136"/>
    <hyperlink r:id="rId356" ref="R136"/>
    <hyperlink r:id="rId357" ref="W136"/>
    <hyperlink r:id="rId358" ref="Q138"/>
    <hyperlink r:id="rId359" ref="R138"/>
    <hyperlink r:id="rId360" ref="W138"/>
  </hyperlinks>
  <drawing r:id="rId3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5.13"/>
    <col customWidth="1" min="5" max="5" width="22.63"/>
    <col customWidth="1" min="6" max="6" width="18.88"/>
    <col customWidth="1" min="7" max="7" width="10.13"/>
    <col customWidth="1" min="8" max="8" width="19.13"/>
    <col customWidth="1" min="9" max="9" width="15.13"/>
    <col customWidth="1" min="10" max="10" width="10.13"/>
    <col customWidth="1" min="11" max="12" width="15.13"/>
    <col customWidth="1" min="13" max="13" width="22.63"/>
    <col customWidth="1" hidden="1" min="14" max="14" width="18.88"/>
    <col customWidth="1" min="15" max="15" width="25.25"/>
    <col customWidth="1" min="16" max="16" width="12.63"/>
    <col customWidth="1" min="17" max="17" width="15.13"/>
    <col customWidth="1" min="18" max="19" width="31.38"/>
    <col customWidth="1" min="20" max="21" width="12.63"/>
    <col customWidth="1" min="22" max="23" width="10.13"/>
    <col customWidth="1" hidden="1" min="24" max="24" width="31.38"/>
    <col customWidth="1" hidden="1" min="25" max="25" width="10.13"/>
    <col customWidth="1" min="26" max="26" width="21.0"/>
    <col customWidth="1" min="27" max="27" width="16.38"/>
    <col customWidth="1" min="28" max="28" width="23.63"/>
    <col customWidth="1" min="29" max="29" width="30.5"/>
    <col customWidth="1" min="30" max="31" width="12.63"/>
    <col customWidth="1" min="32" max="32" width="15.13"/>
    <col customWidth="1" min="33" max="33" width="12.63"/>
    <col customWidth="1" min="34" max="34" width="10.13"/>
    <col customWidth="1" min="35" max="35" width="8.88"/>
    <col customWidth="1" min="36" max="36" width="31.38"/>
    <col customWidth="1" min="37" max="37" width="25.13"/>
    <col customWidth="1" min="38" max="38" width="20.13"/>
    <col customWidth="1" min="39" max="39" width="15.13"/>
    <col customWidth="1" min="40" max="42" width="12.63"/>
    <col customWidth="1" min="43" max="48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0" t="s">
        <v>2347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19</v>
      </c>
      <c r="X1" s="1" t="s">
        <v>21</v>
      </c>
      <c r="Y1" s="1" t="s">
        <v>22</v>
      </c>
      <c r="Z1" s="1" t="s">
        <v>23</v>
      </c>
      <c r="AA1" s="3" t="s">
        <v>24</v>
      </c>
      <c r="AB1" s="1" t="s">
        <v>25</v>
      </c>
      <c r="AC1" s="1" t="s">
        <v>26</v>
      </c>
      <c r="AD1" s="1" t="s">
        <v>27</v>
      </c>
      <c r="AE1" s="2" t="s">
        <v>28</v>
      </c>
      <c r="AF1" s="1" t="s">
        <v>29</v>
      </c>
      <c r="AG1" s="2" t="s">
        <v>30</v>
      </c>
      <c r="AH1" s="3" t="s">
        <v>31</v>
      </c>
      <c r="AI1" s="4" t="s">
        <v>32</v>
      </c>
      <c r="AJ1" s="1" t="s">
        <v>33</v>
      </c>
      <c r="AK1" s="1" t="s">
        <v>34</v>
      </c>
      <c r="AL1" s="3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5"/>
      <c r="AR1" s="5"/>
      <c r="AS1" s="5"/>
      <c r="AT1" s="5"/>
      <c r="AU1" s="5"/>
      <c r="AV1" s="5"/>
    </row>
    <row r="2">
      <c r="A2" s="6">
        <v>45786.887459375</v>
      </c>
      <c r="B2" s="7" t="s">
        <v>2131</v>
      </c>
      <c r="C2" s="7" t="s">
        <v>2132</v>
      </c>
      <c r="D2" s="8" t="s">
        <v>2133</v>
      </c>
      <c r="E2" s="7" t="s">
        <v>2134</v>
      </c>
      <c r="F2" s="7" t="s">
        <v>2135</v>
      </c>
      <c r="G2" s="9" t="s">
        <v>44</v>
      </c>
      <c r="H2" s="7" t="s">
        <v>45</v>
      </c>
      <c r="I2" s="7" t="s">
        <v>2136</v>
      </c>
      <c r="J2" s="9" t="s">
        <v>2348</v>
      </c>
      <c r="K2" s="10" t="s">
        <v>2137</v>
      </c>
      <c r="L2" s="31" t="s">
        <v>2349</v>
      </c>
      <c r="M2" s="7" t="s">
        <v>2139</v>
      </c>
      <c r="N2" s="7" t="s">
        <v>49</v>
      </c>
      <c r="O2" s="7" t="s">
        <v>2135</v>
      </c>
      <c r="P2" s="8" t="s">
        <v>2140</v>
      </c>
      <c r="Q2" s="8">
        <v>2.3052028E7</v>
      </c>
      <c r="R2" s="20" t="s">
        <v>2141</v>
      </c>
      <c r="S2" s="11" t="s">
        <v>2142</v>
      </c>
      <c r="T2" s="7" t="s">
        <v>54</v>
      </c>
      <c r="U2" s="7" t="s">
        <v>55</v>
      </c>
      <c r="V2" s="7" t="s">
        <v>54</v>
      </c>
      <c r="W2" s="7" t="s">
        <v>55</v>
      </c>
      <c r="X2" s="11" t="s">
        <v>2143</v>
      </c>
      <c r="Y2" s="7" t="s">
        <v>57</v>
      </c>
      <c r="Z2" s="7" t="s">
        <v>2135</v>
      </c>
      <c r="AA2" s="9" t="s">
        <v>2144</v>
      </c>
      <c r="AB2" s="7" t="s">
        <v>2145</v>
      </c>
      <c r="AC2" s="7" t="s">
        <v>2146</v>
      </c>
      <c r="AD2" s="7" t="s">
        <v>2135</v>
      </c>
      <c r="AE2" s="32" t="s">
        <v>2350</v>
      </c>
      <c r="AF2" s="7" t="s">
        <v>2131</v>
      </c>
      <c r="AG2" s="33" t="s">
        <v>2133</v>
      </c>
      <c r="AH2" s="17" t="s">
        <v>260</v>
      </c>
      <c r="AI2" s="18"/>
      <c r="AJ2" s="13"/>
      <c r="AK2" s="13"/>
      <c r="AL2" s="13"/>
      <c r="AM2" s="7" t="s">
        <v>2147</v>
      </c>
      <c r="AN2" s="7" t="s">
        <v>117</v>
      </c>
      <c r="AO2" s="7" t="s">
        <v>55</v>
      </c>
      <c r="AP2" s="7" t="s">
        <v>70</v>
      </c>
      <c r="AQ2" s="13"/>
      <c r="AR2" s="13"/>
      <c r="AS2" s="13"/>
      <c r="AT2" s="13"/>
      <c r="AU2" s="13"/>
      <c r="AV2" s="13"/>
    </row>
    <row r="3">
      <c r="A3" s="6">
        <v>45784.89292665509</v>
      </c>
      <c r="B3" s="7" t="s">
        <v>301</v>
      </c>
      <c r="C3" s="7" t="s">
        <v>302</v>
      </c>
      <c r="D3" s="8">
        <v>6.0164119769E10</v>
      </c>
      <c r="E3" s="7" t="s">
        <v>303</v>
      </c>
      <c r="F3" s="7" t="s">
        <v>304</v>
      </c>
      <c r="G3" s="9" t="s">
        <v>76</v>
      </c>
      <c r="H3" s="7" t="s">
        <v>77</v>
      </c>
      <c r="I3" s="7" t="s">
        <v>46</v>
      </c>
      <c r="J3" s="7"/>
      <c r="K3" s="8">
        <v>1.3052025E7</v>
      </c>
      <c r="L3" s="34">
        <v>6.0164109769E10</v>
      </c>
      <c r="M3" s="7" t="s">
        <v>303</v>
      </c>
      <c r="N3" s="7" t="s">
        <v>49</v>
      </c>
      <c r="O3" s="7" t="s">
        <v>304</v>
      </c>
      <c r="P3" s="8" t="s">
        <v>305</v>
      </c>
      <c r="Q3" s="8">
        <v>1.506203E7</v>
      </c>
      <c r="R3" s="11" t="s">
        <v>306</v>
      </c>
      <c r="S3" s="11" t="s">
        <v>307</v>
      </c>
      <c r="T3" s="7" t="s">
        <v>308</v>
      </c>
      <c r="U3" s="7" t="s">
        <v>309</v>
      </c>
      <c r="V3" s="7" t="s">
        <v>54</v>
      </c>
      <c r="W3" s="7" t="s">
        <v>55</v>
      </c>
      <c r="X3" s="11" t="s">
        <v>310</v>
      </c>
      <c r="Y3" s="7" t="s">
        <v>57</v>
      </c>
      <c r="Z3" s="7" t="s">
        <v>304</v>
      </c>
      <c r="AA3" s="9" t="s">
        <v>311</v>
      </c>
      <c r="AB3" s="7" t="s">
        <v>312</v>
      </c>
      <c r="AC3" s="7" t="s">
        <v>313</v>
      </c>
      <c r="AD3" s="7" t="s">
        <v>304</v>
      </c>
      <c r="AE3" s="33">
        <v>6.0164109769E10</v>
      </c>
      <c r="AF3" s="7" t="s">
        <v>314</v>
      </c>
      <c r="AG3" s="33">
        <v>6.0164119769E10</v>
      </c>
      <c r="AH3" s="9" t="s">
        <v>64</v>
      </c>
      <c r="AI3" s="9">
        <v>1.0</v>
      </c>
      <c r="AJ3" s="7" t="s">
        <v>315</v>
      </c>
      <c r="AK3" s="7" t="s">
        <v>55</v>
      </c>
      <c r="AL3" s="9" t="s">
        <v>316</v>
      </c>
      <c r="AM3" s="7">
        <v>6.0164119769E10</v>
      </c>
      <c r="AN3" s="7" t="s">
        <v>69</v>
      </c>
      <c r="AO3" s="7" t="s">
        <v>55</v>
      </c>
      <c r="AP3" s="7" t="s">
        <v>70</v>
      </c>
      <c r="AQ3" s="13"/>
      <c r="AR3" s="13"/>
      <c r="AS3" s="13"/>
      <c r="AT3" s="13"/>
      <c r="AU3" s="13"/>
      <c r="AV3" s="13"/>
    </row>
    <row r="4">
      <c r="A4" s="35">
        <v>45784.66623497685</v>
      </c>
      <c r="B4" s="36" t="s">
        <v>96</v>
      </c>
      <c r="C4" s="36" t="s">
        <v>97</v>
      </c>
      <c r="D4" s="37" t="s">
        <v>98</v>
      </c>
      <c r="E4" s="36" t="s">
        <v>99</v>
      </c>
      <c r="F4" s="36" t="s">
        <v>100</v>
      </c>
      <c r="G4" s="38" t="s">
        <v>76</v>
      </c>
      <c r="H4" s="36" t="s">
        <v>101</v>
      </c>
      <c r="I4" s="36" t="s">
        <v>102</v>
      </c>
      <c r="J4" s="36"/>
      <c r="K4" s="39">
        <v>2.7062012E7</v>
      </c>
      <c r="L4" s="37" t="s">
        <v>103</v>
      </c>
      <c r="M4" s="36" t="s">
        <v>104</v>
      </c>
      <c r="N4" s="36" t="s">
        <v>49</v>
      </c>
      <c r="O4" s="36" t="s">
        <v>100</v>
      </c>
      <c r="P4" s="39" t="s">
        <v>105</v>
      </c>
      <c r="Q4" s="37" t="s">
        <v>106</v>
      </c>
      <c r="R4" s="40" t="s">
        <v>107</v>
      </c>
      <c r="S4" s="40" t="s">
        <v>108</v>
      </c>
      <c r="T4" s="36" t="s">
        <v>54</v>
      </c>
      <c r="U4" s="36" t="s">
        <v>109</v>
      </c>
      <c r="V4" s="36" t="s">
        <v>54</v>
      </c>
      <c r="W4" s="36" t="s">
        <v>109</v>
      </c>
      <c r="X4" s="40" t="s">
        <v>110</v>
      </c>
      <c r="Y4" s="36" t="s">
        <v>57</v>
      </c>
      <c r="Z4" s="36" t="s">
        <v>100</v>
      </c>
      <c r="AA4" s="38">
        <v>1.20627070317E11</v>
      </c>
      <c r="AB4" s="36" t="s">
        <v>111</v>
      </c>
      <c r="AC4" s="36" t="s">
        <v>112</v>
      </c>
      <c r="AD4" s="36" t="s">
        <v>100</v>
      </c>
      <c r="AE4" s="37" t="s">
        <v>103</v>
      </c>
      <c r="AF4" s="36" t="s">
        <v>113</v>
      </c>
      <c r="AG4" s="37" t="s">
        <v>98</v>
      </c>
      <c r="AH4" s="38" t="s">
        <v>64</v>
      </c>
      <c r="AI4" s="38">
        <v>2.0</v>
      </c>
      <c r="AJ4" s="36" t="s">
        <v>114</v>
      </c>
      <c r="AK4" s="36" t="s">
        <v>115</v>
      </c>
      <c r="AL4" s="41" t="s">
        <v>116</v>
      </c>
      <c r="AM4" s="36" t="s">
        <v>113</v>
      </c>
      <c r="AN4" s="36" t="s">
        <v>117</v>
      </c>
      <c r="AO4" s="36" t="s">
        <v>109</v>
      </c>
      <c r="AP4" s="36" t="s">
        <v>70</v>
      </c>
      <c r="AQ4" s="25"/>
      <c r="AR4" s="25"/>
      <c r="AS4" s="25"/>
      <c r="AT4" s="25"/>
      <c r="AU4" s="25"/>
      <c r="AV4" s="25"/>
    </row>
    <row r="5">
      <c r="A5" s="6">
        <v>45784.7463474074</v>
      </c>
      <c r="B5" s="7" t="s">
        <v>118</v>
      </c>
      <c r="C5" s="7" t="s">
        <v>119</v>
      </c>
      <c r="D5" s="8">
        <v>1.23111497E8</v>
      </c>
      <c r="E5" s="7" t="s">
        <v>120</v>
      </c>
      <c r="F5" s="7" t="s">
        <v>121</v>
      </c>
      <c r="G5" s="9" t="s">
        <v>76</v>
      </c>
      <c r="H5" s="7" t="s">
        <v>101</v>
      </c>
      <c r="I5" s="7" t="s">
        <v>78</v>
      </c>
      <c r="J5" s="7"/>
      <c r="K5" s="10" t="s">
        <v>122</v>
      </c>
      <c r="L5" s="31" t="s">
        <v>123</v>
      </c>
      <c r="M5" s="7" t="s">
        <v>120</v>
      </c>
      <c r="N5" s="7" t="s">
        <v>49</v>
      </c>
      <c r="O5" s="7" t="s">
        <v>121</v>
      </c>
      <c r="P5" s="8" t="s">
        <v>124</v>
      </c>
      <c r="Q5" s="8">
        <v>1.8052027E7</v>
      </c>
      <c r="R5" s="11" t="s">
        <v>125</v>
      </c>
      <c r="S5" s="11" t="s">
        <v>126</v>
      </c>
      <c r="T5" s="7" t="s">
        <v>54</v>
      </c>
      <c r="U5" s="7" t="s">
        <v>55</v>
      </c>
      <c r="V5" s="7" t="s">
        <v>54</v>
      </c>
      <c r="W5" s="7" t="s">
        <v>55</v>
      </c>
      <c r="X5" s="11" t="s">
        <v>127</v>
      </c>
      <c r="Y5" s="7" t="s">
        <v>57</v>
      </c>
      <c r="Z5" s="7" t="s">
        <v>121</v>
      </c>
      <c r="AA5" s="9" t="s">
        <v>128</v>
      </c>
      <c r="AB5" s="7" t="s">
        <v>129</v>
      </c>
      <c r="AC5" s="7" t="s">
        <v>130</v>
      </c>
      <c r="AD5" s="7" t="s">
        <v>121</v>
      </c>
      <c r="AE5" s="32" t="s">
        <v>131</v>
      </c>
      <c r="AF5" s="7" t="s">
        <v>132</v>
      </c>
      <c r="AG5" s="32" t="s">
        <v>123</v>
      </c>
      <c r="AH5" s="9" t="s">
        <v>64</v>
      </c>
      <c r="AI5" s="9">
        <v>2.0</v>
      </c>
      <c r="AJ5" s="7" t="s">
        <v>133</v>
      </c>
      <c r="AK5" s="7" t="s">
        <v>134</v>
      </c>
      <c r="AL5" s="9">
        <v>2.5062025E7</v>
      </c>
      <c r="AM5" s="7" t="s">
        <v>135</v>
      </c>
      <c r="AN5" s="7" t="s">
        <v>69</v>
      </c>
      <c r="AO5" s="7" t="s">
        <v>55</v>
      </c>
      <c r="AP5" s="7" t="s">
        <v>70</v>
      </c>
      <c r="AQ5" s="13"/>
      <c r="AR5" s="13"/>
      <c r="AS5" s="13"/>
      <c r="AT5" s="13"/>
      <c r="AU5" s="13"/>
      <c r="AV5" s="13"/>
    </row>
    <row r="6">
      <c r="A6" s="6">
        <v>45785.74813939814</v>
      </c>
      <c r="B6" s="7" t="s">
        <v>1032</v>
      </c>
      <c r="C6" s="7" t="s">
        <v>388</v>
      </c>
      <c r="D6" s="8" t="s">
        <v>1033</v>
      </c>
      <c r="E6" s="7" t="s">
        <v>1034</v>
      </c>
      <c r="F6" s="7" t="s">
        <v>1035</v>
      </c>
      <c r="G6" s="9" t="s">
        <v>76</v>
      </c>
      <c r="H6" s="7" t="s">
        <v>77</v>
      </c>
      <c r="I6" s="7" t="s">
        <v>46</v>
      </c>
      <c r="J6" s="7"/>
      <c r="K6" s="8">
        <v>1.1012011E7</v>
      </c>
      <c r="L6" s="31" t="s">
        <v>2351</v>
      </c>
      <c r="M6" s="7" t="s">
        <v>1034</v>
      </c>
      <c r="N6" s="7" t="s">
        <v>49</v>
      </c>
      <c r="O6" s="7" t="s">
        <v>1035</v>
      </c>
      <c r="P6" s="8" t="s">
        <v>1037</v>
      </c>
      <c r="Q6" s="8">
        <v>1.4082028E7</v>
      </c>
      <c r="R6" s="11" t="s">
        <v>1038</v>
      </c>
      <c r="S6" s="11" t="s">
        <v>1039</v>
      </c>
      <c r="T6" s="7" t="s">
        <v>54</v>
      </c>
      <c r="U6" s="7" t="s">
        <v>55</v>
      </c>
      <c r="V6" s="7" t="s">
        <v>54</v>
      </c>
      <c r="W6" s="7" t="s">
        <v>55</v>
      </c>
      <c r="X6" s="11" t="s">
        <v>1040</v>
      </c>
      <c r="Y6" s="7" t="s">
        <v>57</v>
      </c>
      <c r="Z6" s="7" t="s">
        <v>1035</v>
      </c>
      <c r="AA6" s="9" t="s">
        <v>1041</v>
      </c>
      <c r="AB6" s="7" t="s">
        <v>708</v>
      </c>
      <c r="AC6" s="7" t="s">
        <v>1042</v>
      </c>
      <c r="AD6" s="7" t="s">
        <v>1035</v>
      </c>
      <c r="AE6" s="33" t="s">
        <v>1036</v>
      </c>
      <c r="AF6" s="7" t="s">
        <v>1043</v>
      </c>
      <c r="AG6" s="33" t="s">
        <v>1044</v>
      </c>
      <c r="AH6" s="9" t="s">
        <v>64</v>
      </c>
      <c r="AI6" s="9">
        <v>4.0</v>
      </c>
      <c r="AJ6" s="42" t="s">
        <v>1045</v>
      </c>
      <c r="AK6" s="7" t="s">
        <v>336</v>
      </c>
      <c r="AL6" s="9" t="s">
        <v>749</v>
      </c>
      <c r="AM6" s="7" t="s">
        <v>1046</v>
      </c>
      <c r="AN6" s="7" t="s">
        <v>157</v>
      </c>
      <c r="AO6" s="7" t="s">
        <v>55</v>
      </c>
      <c r="AP6" s="7" t="s">
        <v>70</v>
      </c>
      <c r="AQ6" s="13"/>
      <c r="AR6" s="13"/>
      <c r="AS6" s="13"/>
      <c r="AT6" s="13"/>
      <c r="AU6" s="13"/>
      <c r="AV6" s="13"/>
    </row>
    <row r="7">
      <c r="A7" s="6">
        <v>45784.798480729165</v>
      </c>
      <c r="B7" s="7" t="s">
        <v>158</v>
      </c>
      <c r="C7" s="7" t="s">
        <v>159</v>
      </c>
      <c r="D7" s="32" t="s">
        <v>160</v>
      </c>
      <c r="E7" s="7" t="s">
        <v>161</v>
      </c>
      <c r="F7" s="7" t="s">
        <v>162</v>
      </c>
      <c r="G7" s="9" t="s">
        <v>76</v>
      </c>
      <c r="H7" s="7" t="s">
        <v>45</v>
      </c>
      <c r="I7" s="7" t="s">
        <v>46</v>
      </c>
      <c r="J7" s="9" t="s">
        <v>2352</v>
      </c>
      <c r="K7" s="8" t="s">
        <v>163</v>
      </c>
      <c r="L7" s="32" t="s">
        <v>164</v>
      </c>
      <c r="M7" s="7" t="s">
        <v>165</v>
      </c>
      <c r="N7" s="7" t="s">
        <v>49</v>
      </c>
      <c r="O7" s="7" t="s">
        <v>162</v>
      </c>
      <c r="P7" s="8" t="s">
        <v>166</v>
      </c>
      <c r="Q7" s="8" t="s">
        <v>167</v>
      </c>
      <c r="R7" s="11" t="s">
        <v>168</v>
      </c>
      <c r="S7" s="11" t="s">
        <v>169</v>
      </c>
      <c r="T7" s="14" t="s">
        <v>170</v>
      </c>
      <c r="U7" s="14" t="s">
        <v>171</v>
      </c>
      <c r="V7" s="14" t="s">
        <v>54</v>
      </c>
      <c r="W7" s="14" t="s">
        <v>109</v>
      </c>
      <c r="X7" s="11" t="s">
        <v>172</v>
      </c>
      <c r="Y7" s="7" t="s">
        <v>57</v>
      </c>
      <c r="Z7" s="7" t="s">
        <v>162</v>
      </c>
      <c r="AA7" s="9" t="s">
        <v>173</v>
      </c>
      <c r="AB7" s="7" t="s">
        <v>174</v>
      </c>
      <c r="AC7" s="7" t="s">
        <v>175</v>
      </c>
      <c r="AD7" s="7" t="s">
        <v>162</v>
      </c>
      <c r="AE7" s="32" t="s">
        <v>164</v>
      </c>
      <c r="AF7" s="7" t="s">
        <v>176</v>
      </c>
      <c r="AG7" s="32" t="s">
        <v>177</v>
      </c>
      <c r="AH7" s="9" t="s">
        <v>64</v>
      </c>
      <c r="AI7" s="9">
        <v>2.0</v>
      </c>
      <c r="AJ7" s="7" t="s">
        <v>178</v>
      </c>
      <c r="AK7" s="7" t="s">
        <v>179</v>
      </c>
      <c r="AL7" s="9" t="s">
        <v>180</v>
      </c>
      <c r="AM7" s="7" t="s">
        <v>181</v>
      </c>
      <c r="AN7" s="7" t="s">
        <v>69</v>
      </c>
      <c r="AO7" s="7" t="s">
        <v>109</v>
      </c>
      <c r="AP7" s="7" t="s">
        <v>70</v>
      </c>
      <c r="AQ7" s="13"/>
      <c r="AR7" s="13"/>
      <c r="AS7" s="13"/>
      <c r="AT7" s="13"/>
      <c r="AU7" s="13"/>
      <c r="AV7" s="13"/>
    </row>
    <row r="8">
      <c r="A8" s="6">
        <v>45785.955442094906</v>
      </c>
      <c r="B8" s="7" t="s">
        <v>1299</v>
      </c>
      <c r="C8" s="7" t="s">
        <v>1300</v>
      </c>
      <c r="D8" s="10" t="s">
        <v>1301</v>
      </c>
      <c r="E8" s="7" t="s">
        <v>1302</v>
      </c>
      <c r="F8" s="7" t="s">
        <v>1303</v>
      </c>
      <c r="G8" s="9" t="s">
        <v>76</v>
      </c>
      <c r="H8" s="7" t="s">
        <v>77</v>
      </c>
      <c r="I8" s="7" t="s">
        <v>46</v>
      </c>
      <c r="J8" s="7"/>
      <c r="K8" s="8">
        <v>1.5052011E7</v>
      </c>
      <c r="L8" s="31" t="s">
        <v>1304</v>
      </c>
      <c r="M8" s="7" t="s">
        <v>1305</v>
      </c>
      <c r="N8" s="7" t="s">
        <v>49</v>
      </c>
      <c r="O8" s="7" t="s">
        <v>1306</v>
      </c>
      <c r="P8" s="8" t="s">
        <v>1307</v>
      </c>
      <c r="Q8" s="10" t="s">
        <v>1308</v>
      </c>
      <c r="R8" s="11" t="s">
        <v>1309</v>
      </c>
      <c r="S8" s="11" t="s">
        <v>1310</v>
      </c>
      <c r="T8" s="7" t="s">
        <v>54</v>
      </c>
      <c r="U8" s="7" t="s">
        <v>55</v>
      </c>
      <c r="V8" s="7" t="s">
        <v>54</v>
      </c>
      <c r="W8" s="7" t="s">
        <v>55</v>
      </c>
      <c r="X8" s="11" t="s">
        <v>1311</v>
      </c>
      <c r="Y8" s="7" t="s">
        <v>57</v>
      </c>
      <c r="Z8" s="7" t="s">
        <v>1312</v>
      </c>
      <c r="AA8" s="9" t="s">
        <v>1313</v>
      </c>
      <c r="AB8" s="7" t="s">
        <v>1314</v>
      </c>
      <c r="AC8" s="7" t="s">
        <v>1315</v>
      </c>
      <c r="AD8" s="7" t="s">
        <v>1316</v>
      </c>
      <c r="AE8" s="33" t="s">
        <v>1317</v>
      </c>
      <c r="AF8" s="7" t="s">
        <v>1318</v>
      </c>
      <c r="AG8" s="33" t="s">
        <v>1319</v>
      </c>
      <c r="AH8" s="9" t="s">
        <v>64</v>
      </c>
      <c r="AI8" s="9">
        <v>2.0</v>
      </c>
      <c r="AJ8" s="7" t="s">
        <v>1320</v>
      </c>
      <c r="AK8" s="7" t="s">
        <v>1321</v>
      </c>
      <c r="AL8" s="9" t="s">
        <v>1322</v>
      </c>
      <c r="AM8" s="7" t="s">
        <v>1323</v>
      </c>
      <c r="AN8" s="7" t="s">
        <v>117</v>
      </c>
      <c r="AO8" s="7" t="s">
        <v>55</v>
      </c>
      <c r="AP8" s="7" t="s">
        <v>70</v>
      </c>
      <c r="AQ8" s="13"/>
      <c r="AR8" s="13"/>
      <c r="AS8" s="13"/>
      <c r="AT8" s="13"/>
      <c r="AU8" s="13"/>
      <c r="AV8" s="13"/>
    </row>
    <row r="9">
      <c r="A9" s="6">
        <v>45784.95199469908</v>
      </c>
      <c r="B9" s="7" t="s">
        <v>502</v>
      </c>
      <c r="C9" s="7" t="s">
        <v>503</v>
      </c>
      <c r="D9" s="10" t="s">
        <v>504</v>
      </c>
      <c r="E9" s="7" t="s">
        <v>505</v>
      </c>
      <c r="F9" s="7" t="s">
        <v>506</v>
      </c>
      <c r="G9" s="9" t="s">
        <v>44</v>
      </c>
      <c r="H9" s="7" t="s">
        <v>45</v>
      </c>
      <c r="I9" s="7" t="s">
        <v>46</v>
      </c>
      <c r="J9" s="9" t="s">
        <v>2353</v>
      </c>
      <c r="K9" s="10" t="s">
        <v>507</v>
      </c>
      <c r="L9" s="31" t="s">
        <v>508</v>
      </c>
      <c r="M9" s="7" t="s">
        <v>509</v>
      </c>
      <c r="N9" s="7" t="s">
        <v>49</v>
      </c>
      <c r="O9" s="7" t="s">
        <v>510</v>
      </c>
      <c r="P9" s="8" t="s">
        <v>511</v>
      </c>
      <c r="Q9" s="10" t="s">
        <v>512</v>
      </c>
      <c r="R9" s="11" t="s">
        <v>513</v>
      </c>
      <c r="S9" s="11" t="s">
        <v>514</v>
      </c>
      <c r="T9" s="14" t="s">
        <v>54</v>
      </c>
      <c r="U9" s="14" t="s">
        <v>55</v>
      </c>
      <c r="V9" s="14" t="s">
        <v>515</v>
      </c>
      <c r="W9" s="14" t="s">
        <v>55</v>
      </c>
      <c r="X9" s="11" t="s">
        <v>516</v>
      </c>
      <c r="Y9" s="7" t="s">
        <v>57</v>
      </c>
      <c r="Z9" s="7" t="s">
        <v>510</v>
      </c>
      <c r="AA9" s="9" t="s">
        <v>517</v>
      </c>
      <c r="AB9" s="7" t="s">
        <v>518</v>
      </c>
      <c r="AC9" s="7" t="s">
        <v>519</v>
      </c>
      <c r="AD9" s="7" t="s">
        <v>510</v>
      </c>
      <c r="AE9" s="33" t="s">
        <v>520</v>
      </c>
      <c r="AF9" s="7" t="s">
        <v>521</v>
      </c>
      <c r="AG9" s="32" t="s">
        <v>504</v>
      </c>
      <c r="AH9" s="9" t="s">
        <v>64</v>
      </c>
      <c r="AI9" s="9">
        <v>2.0</v>
      </c>
      <c r="AJ9" s="7" t="s">
        <v>522</v>
      </c>
      <c r="AK9" s="7" t="s">
        <v>523</v>
      </c>
      <c r="AL9" s="9" t="s">
        <v>221</v>
      </c>
      <c r="AM9" s="7" t="s">
        <v>524</v>
      </c>
      <c r="AN9" s="7" t="s">
        <v>157</v>
      </c>
      <c r="AO9" s="7" t="s">
        <v>525</v>
      </c>
      <c r="AP9" s="7" t="s">
        <v>70</v>
      </c>
      <c r="AQ9" s="13"/>
      <c r="AR9" s="13"/>
      <c r="AS9" s="13"/>
      <c r="AT9" s="13"/>
      <c r="AU9" s="13"/>
      <c r="AV9" s="13"/>
    </row>
    <row r="10">
      <c r="A10" s="6">
        <v>45784.58876429398</v>
      </c>
      <c r="B10" s="7" t="s">
        <v>40</v>
      </c>
      <c r="C10" s="7" t="s">
        <v>41</v>
      </c>
      <c r="D10" s="8">
        <v>6.0122873127E10</v>
      </c>
      <c r="E10" s="7" t="s">
        <v>42</v>
      </c>
      <c r="F10" s="7" t="s">
        <v>43</v>
      </c>
      <c r="G10" s="9" t="s">
        <v>44</v>
      </c>
      <c r="H10" s="7" t="s">
        <v>45</v>
      </c>
      <c r="I10" s="7" t="s">
        <v>46</v>
      </c>
      <c r="J10" s="9" t="s">
        <v>2348</v>
      </c>
      <c r="K10" s="10" t="s">
        <v>47</v>
      </c>
      <c r="L10" s="34">
        <v>6.0126122474E10</v>
      </c>
      <c r="M10" s="7" t="s">
        <v>48</v>
      </c>
      <c r="N10" s="7" t="s">
        <v>49</v>
      </c>
      <c r="O10" s="7" t="s">
        <v>43</v>
      </c>
      <c r="P10" s="8" t="s">
        <v>50</v>
      </c>
      <c r="Q10" s="10" t="s">
        <v>51</v>
      </c>
      <c r="R10" s="11" t="s">
        <v>52</v>
      </c>
      <c r="S10" s="11" t="s">
        <v>53</v>
      </c>
      <c r="T10" s="7" t="s">
        <v>54</v>
      </c>
      <c r="U10" s="7" t="s">
        <v>55</v>
      </c>
      <c r="V10" s="7" t="s">
        <v>54</v>
      </c>
      <c r="W10" s="7" t="s">
        <v>55</v>
      </c>
      <c r="X10" s="11" t="s">
        <v>56</v>
      </c>
      <c r="Y10" s="7" t="s">
        <v>57</v>
      </c>
      <c r="Z10" s="7" t="s">
        <v>58</v>
      </c>
      <c r="AA10" s="9" t="s">
        <v>59</v>
      </c>
      <c r="AB10" s="7" t="s">
        <v>60</v>
      </c>
      <c r="AC10" s="7" t="s">
        <v>61</v>
      </c>
      <c r="AD10" s="7" t="s">
        <v>62</v>
      </c>
      <c r="AE10" s="33">
        <v>6.0126122484E10</v>
      </c>
      <c r="AF10" s="7" t="s">
        <v>63</v>
      </c>
      <c r="AG10" s="33">
        <v>6.0122873127E10</v>
      </c>
      <c r="AH10" s="9" t="s">
        <v>64</v>
      </c>
      <c r="AI10" s="9">
        <v>2.0</v>
      </c>
      <c r="AJ10" s="7" t="s">
        <v>65</v>
      </c>
      <c r="AK10" s="7" t="s">
        <v>66</v>
      </c>
      <c r="AL10" s="12" t="s">
        <v>67</v>
      </c>
      <c r="AM10" s="7" t="s">
        <v>68</v>
      </c>
      <c r="AN10" s="7" t="s">
        <v>69</v>
      </c>
      <c r="AO10" s="7" t="s">
        <v>55</v>
      </c>
      <c r="AP10" s="7" t="s">
        <v>70</v>
      </c>
      <c r="AQ10" s="13"/>
      <c r="AR10" s="13"/>
      <c r="AS10" s="13"/>
      <c r="AT10" s="13"/>
      <c r="AU10" s="13"/>
      <c r="AV10" s="13"/>
    </row>
    <row r="11">
      <c r="A11" s="6">
        <v>45784.927144166664</v>
      </c>
      <c r="B11" s="7" t="s">
        <v>423</v>
      </c>
      <c r="C11" s="7" t="s">
        <v>424</v>
      </c>
      <c r="D11" s="8" t="s">
        <v>2354</v>
      </c>
      <c r="E11" s="7" t="s">
        <v>426</v>
      </c>
      <c r="F11" s="7" t="s">
        <v>427</v>
      </c>
      <c r="G11" s="9" t="s">
        <v>44</v>
      </c>
      <c r="H11" s="7" t="s">
        <v>45</v>
      </c>
      <c r="I11" s="7" t="s">
        <v>46</v>
      </c>
      <c r="J11" s="9" t="s">
        <v>2348</v>
      </c>
      <c r="K11" s="10" t="s">
        <v>428</v>
      </c>
      <c r="L11" s="34" t="s">
        <v>429</v>
      </c>
      <c r="M11" s="7" t="s">
        <v>430</v>
      </c>
      <c r="N11" s="7" t="s">
        <v>49</v>
      </c>
      <c r="O11" s="7" t="s">
        <v>427</v>
      </c>
      <c r="P11" s="8" t="s">
        <v>431</v>
      </c>
      <c r="Q11" s="8">
        <v>2.0122027E7</v>
      </c>
      <c r="R11" s="11" t="s">
        <v>432</v>
      </c>
      <c r="S11" s="11" t="s">
        <v>433</v>
      </c>
      <c r="T11" s="7" t="s">
        <v>54</v>
      </c>
      <c r="U11" s="7" t="s">
        <v>55</v>
      </c>
      <c r="V11" s="7" t="s">
        <v>54</v>
      </c>
      <c r="W11" s="7" t="s">
        <v>55</v>
      </c>
      <c r="X11" s="11" t="s">
        <v>434</v>
      </c>
      <c r="Y11" s="7" t="s">
        <v>57</v>
      </c>
      <c r="Z11" s="7" t="s">
        <v>427</v>
      </c>
      <c r="AA11" s="9" t="s">
        <v>435</v>
      </c>
      <c r="AB11" s="7" t="s">
        <v>436</v>
      </c>
      <c r="AC11" s="7" t="s">
        <v>437</v>
      </c>
      <c r="AD11" s="7" t="s">
        <v>427</v>
      </c>
      <c r="AE11" s="33" t="s">
        <v>429</v>
      </c>
      <c r="AF11" s="7" t="s">
        <v>439</v>
      </c>
      <c r="AG11" s="33" t="s">
        <v>2354</v>
      </c>
      <c r="AH11" s="9" t="s">
        <v>64</v>
      </c>
      <c r="AI11" s="9">
        <v>1.0</v>
      </c>
      <c r="AJ11" s="7" t="s">
        <v>440</v>
      </c>
      <c r="AK11" s="7" t="s">
        <v>441</v>
      </c>
      <c r="AL11" s="9" t="s">
        <v>442</v>
      </c>
      <c r="AM11" s="7" t="s">
        <v>443</v>
      </c>
      <c r="AN11" s="7" t="s">
        <v>117</v>
      </c>
      <c r="AO11" s="7" t="s">
        <v>55</v>
      </c>
      <c r="AP11" s="7" t="s">
        <v>70</v>
      </c>
      <c r="AQ11" s="13"/>
      <c r="AR11" s="13"/>
      <c r="AS11" s="13"/>
      <c r="AT11" s="13"/>
      <c r="AU11" s="13"/>
      <c r="AV11" s="13"/>
    </row>
    <row r="12">
      <c r="A12" s="6">
        <v>45785.96903775463</v>
      </c>
      <c r="B12" s="7" t="s">
        <v>1339</v>
      </c>
      <c r="C12" s="7" t="s">
        <v>1340</v>
      </c>
      <c r="D12" s="33" t="s">
        <v>1358</v>
      </c>
      <c r="E12" s="7" t="s">
        <v>1342</v>
      </c>
      <c r="F12" s="7" t="s">
        <v>1343</v>
      </c>
      <c r="G12" s="9" t="s">
        <v>44</v>
      </c>
      <c r="H12" s="7" t="s">
        <v>45</v>
      </c>
      <c r="I12" s="7" t="s">
        <v>46</v>
      </c>
      <c r="J12" s="9" t="s">
        <v>2348</v>
      </c>
      <c r="K12" s="8" t="s">
        <v>1344</v>
      </c>
      <c r="L12" s="31" t="s">
        <v>2355</v>
      </c>
      <c r="M12" s="7" t="s">
        <v>1346</v>
      </c>
      <c r="N12" s="7" t="s">
        <v>49</v>
      </c>
      <c r="O12" s="7" t="s">
        <v>1343</v>
      </c>
      <c r="P12" s="8" t="s">
        <v>1347</v>
      </c>
      <c r="Q12" s="8" t="s">
        <v>1348</v>
      </c>
      <c r="R12" s="11" t="s">
        <v>1349</v>
      </c>
      <c r="S12" s="11" t="s">
        <v>1350</v>
      </c>
      <c r="T12" s="7" t="s">
        <v>54</v>
      </c>
      <c r="U12" s="7" t="s">
        <v>55</v>
      </c>
      <c r="V12" s="7" t="s">
        <v>54</v>
      </c>
      <c r="W12" s="7" t="s">
        <v>55</v>
      </c>
      <c r="X12" s="11" t="s">
        <v>1351</v>
      </c>
      <c r="Y12" s="7" t="s">
        <v>57</v>
      </c>
      <c r="Z12" s="7" t="s">
        <v>1343</v>
      </c>
      <c r="AA12" s="9" t="s">
        <v>1352</v>
      </c>
      <c r="AB12" s="7" t="s">
        <v>1353</v>
      </c>
      <c r="AC12" s="7" t="s">
        <v>1354</v>
      </c>
      <c r="AD12" s="7" t="s">
        <v>1355</v>
      </c>
      <c r="AE12" s="32" t="s">
        <v>2355</v>
      </c>
      <c r="AF12" s="7" t="s">
        <v>1357</v>
      </c>
      <c r="AG12" s="32" t="s">
        <v>2356</v>
      </c>
      <c r="AH12" s="17" t="s">
        <v>260</v>
      </c>
      <c r="AI12" s="18"/>
      <c r="AJ12" s="13"/>
      <c r="AK12" s="13"/>
      <c r="AL12" s="16"/>
      <c r="AM12" s="7" t="s">
        <v>1358</v>
      </c>
      <c r="AN12" s="7" t="s">
        <v>117</v>
      </c>
      <c r="AO12" s="7" t="s">
        <v>55</v>
      </c>
      <c r="AP12" s="7" t="s">
        <v>70</v>
      </c>
      <c r="AQ12" s="13"/>
      <c r="AR12" s="13"/>
      <c r="AS12" s="13"/>
      <c r="AT12" s="13"/>
      <c r="AU12" s="13"/>
      <c r="AV12" s="13"/>
    </row>
    <row r="13">
      <c r="A13" s="6">
        <v>45785.9714537963</v>
      </c>
      <c r="B13" s="7" t="s">
        <v>1359</v>
      </c>
      <c r="C13" s="7" t="s">
        <v>1360</v>
      </c>
      <c r="D13" s="8" t="s">
        <v>1361</v>
      </c>
      <c r="E13" s="7" t="s">
        <v>1362</v>
      </c>
      <c r="F13" s="7" t="s">
        <v>1363</v>
      </c>
      <c r="G13" s="9" t="s">
        <v>44</v>
      </c>
      <c r="H13" s="7" t="s">
        <v>45</v>
      </c>
      <c r="I13" s="7" t="s">
        <v>46</v>
      </c>
      <c r="J13" s="9" t="s">
        <v>2348</v>
      </c>
      <c r="K13" s="8" t="s">
        <v>1364</v>
      </c>
      <c r="L13" s="34" t="s">
        <v>1365</v>
      </c>
      <c r="M13" s="7" t="s">
        <v>1366</v>
      </c>
      <c r="N13" s="7" t="s">
        <v>49</v>
      </c>
      <c r="O13" s="7" t="s">
        <v>1363</v>
      </c>
      <c r="P13" s="8" t="s">
        <v>1367</v>
      </c>
      <c r="Q13" s="10" t="s">
        <v>1368</v>
      </c>
      <c r="R13" s="11" t="s">
        <v>1369</v>
      </c>
      <c r="S13" s="11" t="s">
        <v>1370</v>
      </c>
      <c r="T13" s="7" t="s">
        <v>54</v>
      </c>
      <c r="U13" s="7" t="s">
        <v>55</v>
      </c>
      <c r="V13" s="7" t="s">
        <v>54</v>
      </c>
      <c r="W13" s="7" t="s">
        <v>55</v>
      </c>
      <c r="X13" s="11" t="s">
        <v>1371</v>
      </c>
      <c r="Y13" s="14" t="s">
        <v>194</v>
      </c>
      <c r="Z13" s="15"/>
      <c r="AA13" s="16"/>
      <c r="AB13" s="13"/>
      <c r="AC13" s="13"/>
      <c r="AD13" s="7" t="s">
        <v>1372</v>
      </c>
      <c r="AE13" s="33" t="s">
        <v>1365</v>
      </c>
      <c r="AF13" s="7" t="s">
        <v>1359</v>
      </c>
      <c r="AG13" s="33" t="s">
        <v>1361</v>
      </c>
      <c r="AH13" s="9" t="s">
        <v>64</v>
      </c>
      <c r="AI13" s="9">
        <v>3.0</v>
      </c>
      <c r="AJ13" s="7" t="s">
        <v>1373</v>
      </c>
      <c r="AK13" s="7" t="s">
        <v>179</v>
      </c>
      <c r="AL13" s="7" t="s">
        <v>179</v>
      </c>
      <c r="AM13" s="7" t="s">
        <v>1374</v>
      </c>
      <c r="AN13" s="7" t="s">
        <v>117</v>
      </c>
      <c r="AO13" s="7" t="s">
        <v>55</v>
      </c>
      <c r="AP13" s="7" t="s">
        <v>70</v>
      </c>
      <c r="AQ13" s="13"/>
      <c r="AR13" s="13"/>
      <c r="AS13" s="13"/>
      <c r="AT13" s="13"/>
      <c r="AU13" s="13"/>
      <c r="AV13" s="13"/>
    </row>
    <row r="14">
      <c r="A14" s="6">
        <v>45784.78529648148</v>
      </c>
      <c r="B14" s="7" t="s">
        <v>136</v>
      </c>
      <c r="C14" s="7" t="s">
        <v>137</v>
      </c>
      <c r="D14" s="10" t="s">
        <v>138</v>
      </c>
      <c r="E14" s="7" t="s">
        <v>139</v>
      </c>
      <c r="F14" s="7" t="s">
        <v>140</v>
      </c>
      <c r="G14" s="9" t="s">
        <v>76</v>
      </c>
      <c r="H14" s="7" t="s">
        <v>77</v>
      </c>
      <c r="I14" s="7" t="s">
        <v>141</v>
      </c>
      <c r="J14" s="7"/>
      <c r="K14" s="10" t="s">
        <v>142</v>
      </c>
      <c r="L14" s="32" t="s">
        <v>143</v>
      </c>
      <c r="M14" s="7" t="s">
        <v>144</v>
      </c>
      <c r="N14" s="7" t="s">
        <v>49</v>
      </c>
      <c r="O14" s="7" t="s">
        <v>140</v>
      </c>
      <c r="P14" s="8" t="s">
        <v>145</v>
      </c>
      <c r="Q14" s="8">
        <v>2.4122027E7</v>
      </c>
      <c r="R14" s="11" t="s">
        <v>146</v>
      </c>
      <c r="S14" s="11" t="s">
        <v>147</v>
      </c>
      <c r="T14" s="7" t="s">
        <v>54</v>
      </c>
      <c r="U14" s="7" t="s">
        <v>55</v>
      </c>
      <c r="V14" s="7" t="s">
        <v>54</v>
      </c>
      <c r="W14" s="7" t="s">
        <v>55</v>
      </c>
      <c r="X14" s="11" t="s">
        <v>148</v>
      </c>
      <c r="Y14" s="7" t="s">
        <v>57</v>
      </c>
      <c r="Z14" s="7" t="s">
        <v>140</v>
      </c>
      <c r="AA14" s="9" t="s">
        <v>149</v>
      </c>
      <c r="AB14" s="7" t="s">
        <v>150</v>
      </c>
      <c r="AC14" s="7" t="s">
        <v>151</v>
      </c>
      <c r="AD14" s="7" t="s">
        <v>140</v>
      </c>
      <c r="AE14" s="32" t="s">
        <v>143</v>
      </c>
      <c r="AF14" s="7" t="s">
        <v>152</v>
      </c>
      <c r="AG14" s="32" t="s">
        <v>138</v>
      </c>
      <c r="AH14" s="9" t="s">
        <v>64</v>
      </c>
      <c r="AI14" s="9">
        <v>1.0</v>
      </c>
      <c r="AJ14" s="7" t="s">
        <v>153</v>
      </c>
      <c r="AK14" s="7" t="s">
        <v>154</v>
      </c>
      <c r="AL14" s="12" t="s">
        <v>155</v>
      </c>
      <c r="AM14" s="7" t="s">
        <v>156</v>
      </c>
      <c r="AN14" s="7" t="s">
        <v>157</v>
      </c>
      <c r="AO14" s="7" t="s">
        <v>55</v>
      </c>
      <c r="AP14" s="7" t="s">
        <v>70</v>
      </c>
      <c r="AQ14" s="13"/>
      <c r="AR14" s="13"/>
      <c r="AS14" s="13"/>
      <c r="AT14" s="13"/>
      <c r="AU14" s="13"/>
      <c r="AV14" s="13"/>
    </row>
    <row r="15">
      <c r="A15" s="6">
        <v>45784.83369023148</v>
      </c>
      <c r="B15" s="7" t="s">
        <v>182</v>
      </c>
      <c r="C15" s="7" t="s">
        <v>183</v>
      </c>
      <c r="D15" s="32" t="s">
        <v>184</v>
      </c>
      <c r="E15" s="7" t="s">
        <v>185</v>
      </c>
      <c r="F15" s="7" t="s">
        <v>186</v>
      </c>
      <c r="G15" s="9" t="s">
        <v>76</v>
      </c>
      <c r="H15" s="7" t="s">
        <v>77</v>
      </c>
      <c r="I15" s="7" t="s">
        <v>141</v>
      </c>
      <c r="J15" s="7"/>
      <c r="K15" s="8" t="s">
        <v>187</v>
      </c>
      <c r="L15" s="31" t="s">
        <v>184</v>
      </c>
      <c r="M15" s="7" t="s">
        <v>185</v>
      </c>
      <c r="N15" s="7" t="s">
        <v>49</v>
      </c>
      <c r="O15" s="7" t="s">
        <v>188</v>
      </c>
      <c r="P15" s="8" t="s">
        <v>189</v>
      </c>
      <c r="Q15" s="8" t="s">
        <v>190</v>
      </c>
      <c r="R15" s="11" t="s">
        <v>191</v>
      </c>
      <c r="S15" s="11" t="s">
        <v>192</v>
      </c>
      <c r="T15" s="7" t="s">
        <v>54</v>
      </c>
      <c r="U15" s="7" t="s">
        <v>55</v>
      </c>
      <c r="V15" s="7" t="s">
        <v>54</v>
      </c>
      <c r="W15" s="7" t="s">
        <v>55</v>
      </c>
      <c r="X15" s="11" t="s">
        <v>193</v>
      </c>
      <c r="Y15" s="14" t="s">
        <v>194</v>
      </c>
      <c r="Z15" s="15"/>
      <c r="AA15" s="16"/>
      <c r="AB15" s="13"/>
      <c r="AC15" s="13"/>
      <c r="AD15" s="7" t="s">
        <v>195</v>
      </c>
      <c r="AE15" s="32" t="s">
        <v>196</v>
      </c>
      <c r="AF15" s="7" t="s">
        <v>182</v>
      </c>
      <c r="AG15" s="32" t="s">
        <v>184</v>
      </c>
      <c r="AH15" s="9" t="s">
        <v>64</v>
      </c>
      <c r="AI15" s="9">
        <v>3.0</v>
      </c>
      <c r="AJ15" s="7" t="s">
        <v>197</v>
      </c>
      <c r="AK15" s="7" t="s">
        <v>198</v>
      </c>
      <c r="AL15" s="9" t="s">
        <v>199</v>
      </c>
      <c r="AM15" s="7" t="s">
        <v>200</v>
      </c>
      <c r="AN15" s="7" t="s">
        <v>117</v>
      </c>
      <c r="AO15" s="7" t="s">
        <v>55</v>
      </c>
      <c r="AP15" s="7" t="s">
        <v>70</v>
      </c>
      <c r="AQ15" s="13"/>
      <c r="AR15" s="13"/>
      <c r="AS15" s="13"/>
      <c r="AT15" s="13"/>
      <c r="AU15" s="13"/>
      <c r="AV15" s="13"/>
    </row>
    <row r="16">
      <c r="A16" s="6">
        <v>45785.49909363426</v>
      </c>
      <c r="B16" s="7" t="s">
        <v>768</v>
      </c>
      <c r="C16" s="7" t="s">
        <v>769</v>
      </c>
      <c r="D16" s="10" t="s">
        <v>770</v>
      </c>
      <c r="E16" s="7" t="s">
        <v>771</v>
      </c>
      <c r="F16" s="7" t="s">
        <v>772</v>
      </c>
      <c r="G16" s="9" t="s">
        <v>44</v>
      </c>
      <c r="H16" s="7" t="s">
        <v>45</v>
      </c>
      <c r="I16" s="7" t="s">
        <v>46</v>
      </c>
      <c r="J16" s="9" t="s">
        <v>2357</v>
      </c>
      <c r="K16" s="8">
        <v>1.5072009E7</v>
      </c>
      <c r="L16" s="31" t="s">
        <v>773</v>
      </c>
      <c r="M16" s="7" t="s">
        <v>774</v>
      </c>
      <c r="N16" s="7" t="s">
        <v>49</v>
      </c>
      <c r="O16" s="7" t="s">
        <v>775</v>
      </c>
      <c r="P16" s="8" t="s">
        <v>776</v>
      </c>
      <c r="Q16" s="10" t="s">
        <v>777</v>
      </c>
      <c r="R16" s="11" t="s">
        <v>778</v>
      </c>
      <c r="S16" s="11" t="s">
        <v>779</v>
      </c>
      <c r="T16" s="7" t="s">
        <v>54</v>
      </c>
      <c r="U16" s="7" t="s">
        <v>55</v>
      </c>
      <c r="V16" s="7" t="s">
        <v>54</v>
      </c>
      <c r="W16" s="7" t="s">
        <v>55</v>
      </c>
      <c r="X16" s="11" t="s">
        <v>780</v>
      </c>
      <c r="Y16" s="7" t="s">
        <v>57</v>
      </c>
      <c r="Z16" s="7" t="s">
        <v>772</v>
      </c>
      <c r="AA16" s="9" t="s">
        <v>781</v>
      </c>
      <c r="AB16" s="7" t="s">
        <v>782</v>
      </c>
      <c r="AC16" s="7" t="s">
        <v>783</v>
      </c>
      <c r="AD16" s="7" t="s">
        <v>772</v>
      </c>
      <c r="AE16" s="32" t="s">
        <v>773</v>
      </c>
      <c r="AF16" s="7" t="s">
        <v>784</v>
      </c>
      <c r="AG16" s="32" t="s">
        <v>770</v>
      </c>
      <c r="AH16" s="9" t="s">
        <v>64</v>
      </c>
      <c r="AI16" s="9">
        <v>1.0</v>
      </c>
      <c r="AJ16" s="7" t="s">
        <v>785</v>
      </c>
      <c r="AK16" s="7" t="s">
        <v>179</v>
      </c>
      <c r="AL16" s="9" t="s">
        <v>199</v>
      </c>
      <c r="AM16" s="19" t="s">
        <v>770</v>
      </c>
      <c r="AN16" s="7" t="s">
        <v>501</v>
      </c>
      <c r="AO16" s="7" t="s">
        <v>55</v>
      </c>
      <c r="AP16" s="7" t="s">
        <v>70</v>
      </c>
      <c r="AQ16" s="13"/>
      <c r="AR16" s="13"/>
      <c r="AS16" s="13"/>
      <c r="AT16" s="13"/>
      <c r="AU16" s="13"/>
      <c r="AV16" s="13"/>
    </row>
    <row r="17">
      <c r="A17" s="6">
        <v>45785.50486277777</v>
      </c>
      <c r="B17" s="7" t="s">
        <v>786</v>
      </c>
      <c r="C17" s="7" t="s">
        <v>787</v>
      </c>
      <c r="D17" s="10" t="s">
        <v>770</v>
      </c>
      <c r="E17" s="7" t="s">
        <v>771</v>
      </c>
      <c r="F17" s="7" t="s">
        <v>788</v>
      </c>
      <c r="G17" s="9" t="s">
        <v>44</v>
      </c>
      <c r="H17" s="7" t="s">
        <v>45</v>
      </c>
      <c r="I17" s="7" t="s">
        <v>46</v>
      </c>
      <c r="J17" s="9" t="s">
        <v>2357</v>
      </c>
      <c r="K17" s="8">
        <v>1.4122007E7</v>
      </c>
      <c r="L17" s="31" t="s">
        <v>789</v>
      </c>
      <c r="M17" s="7" t="s">
        <v>790</v>
      </c>
      <c r="N17" s="7" t="s">
        <v>49</v>
      </c>
      <c r="O17" s="7" t="s">
        <v>791</v>
      </c>
      <c r="P17" s="8" t="s">
        <v>792</v>
      </c>
      <c r="Q17" s="8" t="s">
        <v>793</v>
      </c>
      <c r="R17" s="11" t="s">
        <v>794</v>
      </c>
      <c r="S17" s="11" t="s">
        <v>795</v>
      </c>
      <c r="T17" s="7" t="s">
        <v>54</v>
      </c>
      <c r="U17" s="7" t="s">
        <v>55</v>
      </c>
      <c r="V17" s="7" t="s">
        <v>54</v>
      </c>
      <c r="W17" s="7" t="s">
        <v>55</v>
      </c>
      <c r="X17" s="11" t="s">
        <v>796</v>
      </c>
      <c r="Y17" s="7" t="s">
        <v>57</v>
      </c>
      <c r="Z17" s="7" t="s">
        <v>791</v>
      </c>
      <c r="AA17" s="9" t="s">
        <v>797</v>
      </c>
      <c r="AB17" s="7" t="s">
        <v>798</v>
      </c>
      <c r="AC17" s="7" t="s">
        <v>783</v>
      </c>
      <c r="AD17" s="7" t="s">
        <v>788</v>
      </c>
      <c r="AE17" s="32" t="s">
        <v>789</v>
      </c>
      <c r="AF17" s="7" t="s">
        <v>799</v>
      </c>
      <c r="AG17" s="32" t="s">
        <v>770</v>
      </c>
      <c r="AH17" s="9" t="s">
        <v>64</v>
      </c>
      <c r="AI17" s="9">
        <v>1.0</v>
      </c>
      <c r="AJ17" s="7" t="s">
        <v>800</v>
      </c>
      <c r="AK17" s="7" t="s">
        <v>179</v>
      </c>
      <c r="AL17" s="9" t="s">
        <v>801</v>
      </c>
      <c r="AM17" s="19" t="s">
        <v>770</v>
      </c>
      <c r="AN17" s="7" t="s">
        <v>117</v>
      </c>
      <c r="AO17" s="7" t="s">
        <v>55</v>
      </c>
      <c r="AP17" s="7" t="s">
        <v>70</v>
      </c>
      <c r="AQ17" s="13"/>
      <c r="AR17" s="13"/>
      <c r="AS17" s="13"/>
      <c r="AT17" s="13"/>
      <c r="AU17" s="13"/>
      <c r="AV17" s="13"/>
    </row>
    <row r="18">
      <c r="A18" s="6">
        <v>45786.53580229166</v>
      </c>
      <c r="B18" s="7" t="s">
        <v>1671</v>
      </c>
      <c r="C18" s="7" t="s">
        <v>1672</v>
      </c>
      <c r="D18" s="32" t="s">
        <v>1673</v>
      </c>
      <c r="E18" s="7" t="s">
        <v>1674</v>
      </c>
      <c r="F18" s="7" t="s">
        <v>1675</v>
      </c>
      <c r="G18" s="9" t="s">
        <v>44</v>
      </c>
      <c r="H18" s="7" t="s">
        <v>45</v>
      </c>
      <c r="I18" s="7" t="s">
        <v>46</v>
      </c>
      <c r="J18" s="9" t="s">
        <v>2357</v>
      </c>
      <c r="K18" s="10" t="s">
        <v>1676</v>
      </c>
      <c r="L18" s="32" t="s">
        <v>1677</v>
      </c>
      <c r="M18" s="7" t="s">
        <v>1678</v>
      </c>
      <c r="N18" s="7" t="s">
        <v>49</v>
      </c>
      <c r="O18" s="7" t="s">
        <v>1675</v>
      </c>
      <c r="P18" s="8" t="s">
        <v>1679</v>
      </c>
      <c r="Q18" s="8">
        <v>1.5022028E7</v>
      </c>
      <c r="R18" s="11" t="s">
        <v>1680</v>
      </c>
      <c r="S18" s="11" t="s">
        <v>1681</v>
      </c>
      <c r="T18" s="7" t="s">
        <v>54</v>
      </c>
      <c r="U18" s="7" t="s">
        <v>55</v>
      </c>
      <c r="V18" s="7" t="s">
        <v>54</v>
      </c>
      <c r="W18" s="7" t="s">
        <v>55</v>
      </c>
      <c r="X18" s="11" t="s">
        <v>1682</v>
      </c>
      <c r="Y18" s="14" t="s">
        <v>194</v>
      </c>
      <c r="Z18" s="15"/>
      <c r="AA18" s="16"/>
      <c r="AB18" s="13"/>
      <c r="AC18" s="13"/>
      <c r="AD18" s="7" t="s">
        <v>1675</v>
      </c>
      <c r="AE18" s="32" t="s">
        <v>1677</v>
      </c>
      <c r="AF18" s="7" t="s">
        <v>422</v>
      </c>
      <c r="AG18" s="8">
        <v>9.999999999E9</v>
      </c>
      <c r="AH18" s="9" t="s">
        <v>64</v>
      </c>
      <c r="AI18" s="9">
        <v>1.0</v>
      </c>
      <c r="AJ18" s="7" t="s">
        <v>1683</v>
      </c>
      <c r="AK18" s="7" t="s">
        <v>932</v>
      </c>
      <c r="AL18" s="7" t="s">
        <v>749</v>
      </c>
      <c r="AM18" s="42" t="s">
        <v>1684</v>
      </c>
      <c r="AN18" s="7" t="s">
        <v>241</v>
      </c>
      <c r="AO18" s="7" t="s">
        <v>55</v>
      </c>
      <c r="AP18" s="7" t="s">
        <v>70</v>
      </c>
      <c r="AQ18" s="13"/>
      <c r="AR18" s="13"/>
      <c r="AS18" s="13"/>
      <c r="AT18" s="13"/>
      <c r="AU18" s="13"/>
      <c r="AV18" s="13"/>
    </row>
    <row r="19">
      <c r="A19" s="6">
        <v>45785.478749699076</v>
      </c>
      <c r="B19" s="7" t="s">
        <v>751</v>
      </c>
      <c r="C19" s="7" t="s">
        <v>752</v>
      </c>
      <c r="D19" s="8" t="s">
        <v>753</v>
      </c>
      <c r="E19" s="7" t="s">
        <v>754</v>
      </c>
      <c r="F19" s="7" t="s">
        <v>755</v>
      </c>
      <c r="G19" s="9" t="s">
        <v>76</v>
      </c>
      <c r="H19" s="7" t="s">
        <v>45</v>
      </c>
      <c r="I19" s="7" t="s">
        <v>46</v>
      </c>
      <c r="J19" s="9" t="s">
        <v>2358</v>
      </c>
      <c r="K19" s="8">
        <v>1.9062009E7</v>
      </c>
      <c r="L19" s="34" t="s">
        <v>2359</v>
      </c>
      <c r="M19" s="7" t="s">
        <v>757</v>
      </c>
      <c r="N19" s="7" t="s">
        <v>49</v>
      </c>
      <c r="O19" s="7" t="s">
        <v>755</v>
      </c>
      <c r="P19" s="8" t="s">
        <v>758</v>
      </c>
      <c r="Q19" s="8">
        <v>1.9062028E7</v>
      </c>
      <c r="R19" s="11" t="s">
        <v>759</v>
      </c>
      <c r="S19" s="11" t="s">
        <v>760</v>
      </c>
      <c r="T19" s="7" t="s">
        <v>54</v>
      </c>
      <c r="U19" s="7" t="s">
        <v>55</v>
      </c>
      <c r="V19" s="7" t="s">
        <v>54</v>
      </c>
      <c r="W19" s="7" t="s">
        <v>55</v>
      </c>
      <c r="X19" s="11" t="s">
        <v>761</v>
      </c>
      <c r="Y19" s="7" t="s">
        <v>57</v>
      </c>
      <c r="Z19" s="7" t="s">
        <v>755</v>
      </c>
      <c r="AA19" s="9" t="s">
        <v>762</v>
      </c>
      <c r="AB19" s="7" t="s">
        <v>763</v>
      </c>
      <c r="AC19" s="7" t="s">
        <v>764</v>
      </c>
      <c r="AD19" s="7" t="s">
        <v>755</v>
      </c>
      <c r="AE19" s="32" t="s">
        <v>2360</v>
      </c>
      <c r="AF19" s="7" t="s">
        <v>765</v>
      </c>
      <c r="AG19" s="33" t="s">
        <v>753</v>
      </c>
      <c r="AH19" s="17" t="s">
        <v>260</v>
      </c>
      <c r="AI19" s="18"/>
      <c r="AJ19" s="13"/>
      <c r="AK19" s="13"/>
      <c r="AL19" s="16"/>
      <c r="AM19" s="7" t="s">
        <v>766</v>
      </c>
      <c r="AN19" s="7" t="s">
        <v>95</v>
      </c>
      <c r="AO19" s="7" t="s">
        <v>767</v>
      </c>
      <c r="AP19" s="7" t="s">
        <v>70</v>
      </c>
      <c r="AQ19" s="13"/>
      <c r="AR19" s="13"/>
      <c r="AS19" s="13"/>
      <c r="AT19" s="13"/>
      <c r="AU19" s="13"/>
      <c r="AV19" s="13"/>
    </row>
    <row r="20">
      <c r="A20" s="6">
        <v>45785.93660103009</v>
      </c>
      <c r="B20" s="7" t="s">
        <v>1210</v>
      </c>
      <c r="C20" s="7" t="s">
        <v>97</v>
      </c>
      <c r="D20" s="10" t="s">
        <v>1211</v>
      </c>
      <c r="E20" s="7" t="s">
        <v>1212</v>
      </c>
      <c r="F20" s="7" t="s">
        <v>1213</v>
      </c>
      <c r="G20" s="9" t="s">
        <v>44</v>
      </c>
      <c r="H20" s="7" t="s">
        <v>45</v>
      </c>
      <c r="I20" s="7" t="s">
        <v>141</v>
      </c>
      <c r="J20" s="9" t="s">
        <v>2361</v>
      </c>
      <c r="K20" s="10" t="s">
        <v>1214</v>
      </c>
      <c r="L20" s="31" t="s">
        <v>1215</v>
      </c>
      <c r="M20" s="7" t="s">
        <v>1216</v>
      </c>
      <c r="N20" s="7" t="s">
        <v>49</v>
      </c>
      <c r="O20" s="7" t="s">
        <v>1213</v>
      </c>
      <c r="P20" s="8" t="s">
        <v>1217</v>
      </c>
      <c r="Q20" s="8">
        <v>2.2072028E7</v>
      </c>
      <c r="R20" s="11" t="s">
        <v>1218</v>
      </c>
      <c r="S20" s="11" t="s">
        <v>1219</v>
      </c>
      <c r="T20" s="7" t="s">
        <v>54</v>
      </c>
      <c r="U20" s="7" t="s">
        <v>55</v>
      </c>
      <c r="V20" s="7" t="s">
        <v>54</v>
      </c>
      <c r="W20" s="7" t="s">
        <v>55</v>
      </c>
      <c r="X20" s="11" t="s">
        <v>1220</v>
      </c>
      <c r="Y20" s="7" t="s">
        <v>57</v>
      </c>
      <c r="Z20" s="7" t="s">
        <v>1213</v>
      </c>
      <c r="AA20" s="9" t="s">
        <v>1221</v>
      </c>
      <c r="AB20" s="7" t="s">
        <v>1222</v>
      </c>
      <c r="AC20" s="7" t="s">
        <v>1223</v>
      </c>
      <c r="AD20" s="7" t="s">
        <v>1213</v>
      </c>
      <c r="AE20" s="32" t="s">
        <v>1215</v>
      </c>
      <c r="AF20" s="7" t="s">
        <v>1224</v>
      </c>
      <c r="AG20" s="32" t="s">
        <v>1211</v>
      </c>
      <c r="AH20" s="9" t="s">
        <v>64</v>
      </c>
      <c r="AI20" s="9">
        <v>3.0</v>
      </c>
      <c r="AJ20" s="7" t="s">
        <v>1225</v>
      </c>
      <c r="AK20" s="7" t="s">
        <v>1226</v>
      </c>
      <c r="AL20" s="9" t="s">
        <v>749</v>
      </c>
      <c r="AM20" s="7" t="s">
        <v>1227</v>
      </c>
      <c r="AN20" s="7" t="s">
        <v>117</v>
      </c>
      <c r="AO20" s="7" t="s">
        <v>55</v>
      </c>
      <c r="AP20" s="7" t="s">
        <v>70</v>
      </c>
      <c r="AQ20" s="13"/>
      <c r="AR20" s="13"/>
      <c r="AS20" s="13"/>
      <c r="AT20" s="13"/>
      <c r="AU20" s="13"/>
      <c r="AV20" s="13"/>
    </row>
    <row r="21">
      <c r="A21" s="6">
        <v>45784.927235104165</v>
      </c>
      <c r="B21" s="7" t="s">
        <v>444</v>
      </c>
      <c r="C21" s="7" t="s">
        <v>97</v>
      </c>
      <c r="D21" s="10" t="s">
        <v>445</v>
      </c>
      <c r="E21" s="7" t="s">
        <v>446</v>
      </c>
      <c r="F21" s="7" t="s">
        <v>447</v>
      </c>
      <c r="G21" s="9" t="s">
        <v>76</v>
      </c>
      <c r="H21" s="7" t="s">
        <v>77</v>
      </c>
      <c r="I21" s="7" t="s">
        <v>141</v>
      </c>
      <c r="J21" s="7"/>
      <c r="K21" s="8">
        <v>2.910201E7</v>
      </c>
      <c r="L21" s="31" t="s">
        <v>448</v>
      </c>
      <c r="M21" s="7" t="s">
        <v>446</v>
      </c>
      <c r="N21" s="7" t="s">
        <v>49</v>
      </c>
      <c r="O21" s="7" t="s">
        <v>449</v>
      </c>
      <c r="P21" s="8" t="s">
        <v>450</v>
      </c>
      <c r="Q21" s="8">
        <v>2.8012027E7</v>
      </c>
      <c r="R21" s="11" t="s">
        <v>451</v>
      </c>
      <c r="S21" s="11" t="s">
        <v>452</v>
      </c>
      <c r="T21" s="7" t="s">
        <v>54</v>
      </c>
      <c r="U21" s="7" t="s">
        <v>55</v>
      </c>
      <c r="V21" s="7" t="s">
        <v>54</v>
      </c>
      <c r="W21" s="7" t="s">
        <v>55</v>
      </c>
      <c r="X21" s="11" t="s">
        <v>453</v>
      </c>
      <c r="Y21" s="14" t="s">
        <v>194</v>
      </c>
      <c r="Z21" s="15"/>
      <c r="AA21" s="16"/>
      <c r="AB21" s="13"/>
      <c r="AC21" s="13"/>
      <c r="AD21" s="7" t="s">
        <v>447</v>
      </c>
      <c r="AE21" s="32" t="s">
        <v>448</v>
      </c>
      <c r="AF21" s="7" t="s">
        <v>454</v>
      </c>
      <c r="AG21" s="32" t="s">
        <v>445</v>
      </c>
      <c r="AH21" s="9" t="s">
        <v>64</v>
      </c>
      <c r="AI21" s="9">
        <v>3.0</v>
      </c>
      <c r="AJ21" s="7" t="s">
        <v>455</v>
      </c>
      <c r="AK21" s="7" t="s">
        <v>456</v>
      </c>
      <c r="AL21" s="9" t="s">
        <v>457</v>
      </c>
      <c r="AM21" s="7" t="s">
        <v>458</v>
      </c>
      <c r="AN21" s="7" t="s">
        <v>69</v>
      </c>
      <c r="AO21" s="7" t="s">
        <v>55</v>
      </c>
      <c r="AP21" s="7" t="s">
        <v>70</v>
      </c>
      <c r="AQ21" s="13"/>
      <c r="AR21" s="13"/>
      <c r="AS21" s="13"/>
      <c r="AT21" s="13"/>
      <c r="AU21" s="13"/>
      <c r="AV21" s="13"/>
    </row>
    <row r="22">
      <c r="A22" s="6">
        <v>45786.40495819444</v>
      </c>
      <c r="B22" s="7" t="s">
        <v>1504</v>
      </c>
      <c r="C22" s="7" t="s">
        <v>936</v>
      </c>
      <c r="D22" s="8" t="s">
        <v>2362</v>
      </c>
      <c r="E22" s="7" t="s">
        <v>1506</v>
      </c>
      <c r="F22" s="7" t="s">
        <v>1507</v>
      </c>
      <c r="G22" s="9" t="s">
        <v>44</v>
      </c>
      <c r="H22" s="7" t="s">
        <v>45</v>
      </c>
      <c r="I22" s="7" t="s">
        <v>141</v>
      </c>
      <c r="J22" s="9" t="s">
        <v>2348</v>
      </c>
      <c r="K22" s="8" t="s">
        <v>1508</v>
      </c>
      <c r="L22" s="32" t="s">
        <v>1520</v>
      </c>
      <c r="M22" s="7" t="s">
        <v>1510</v>
      </c>
      <c r="N22" s="7" t="s">
        <v>49</v>
      </c>
      <c r="O22" s="7" t="s">
        <v>1507</v>
      </c>
      <c r="P22" s="8" t="s">
        <v>1511</v>
      </c>
      <c r="Q22" s="8" t="s">
        <v>1512</v>
      </c>
      <c r="R22" s="11" t="s">
        <v>1513</v>
      </c>
      <c r="S22" s="11" t="s">
        <v>1514</v>
      </c>
      <c r="T22" s="7" t="s">
        <v>54</v>
      </c>
      <c r="U22" s="7" t="s">
        <v>109</v>
      </c>
      <c r="V22" s="7" t="s">
        <v>54</v>
      </c>
      <c r="W22" s="7" t="s">
        <v>109</v>
      </c>
      <c r="X22" s="11" t="s">
        <v>1515</v>
      </c>
      <c r="Y22" s="7" t="s">
        <v>57</v>
      </c>
      <c r="Z22" s="7" t="s">
        <v>1507</v>
      </c>
      <c r="AA22" s="12" t="s">
        <v>1516</v>
      </c>
      <c r="AB22" s="7" t="s">
        <v>1517</v>
      </c>
      <c r="AC22" s="7" t="s">
        <v>1518</v>
      </c>
      <c r="AD22" s="7" t="s">
        <v>1519</v>
      </c>
      <c r="AE22" s="32" t="s">
        <v>1520</v>
      </c>
      <c r="AF22" s="7" t="s">
        <v>1521</v>
      </c>
      <c r="AG22" s="32" t="s">
        <v>1522</v>
      </c>
      <c r="AH22" s="9" t="s">
        <v>64</v>
      </c>
      <c r="AI22" s="9">
        <v>3.0</v>
      </c>
      <c r="AJ22" s="7" t="s">
        <v>1521</v>
      </c>
      <c r="AK22" s="7" t="s">
        <v>299</v>
      </c>
      <c r="AL22" s="7" t="s">
        <v>1523</v>
      </c>
      <c r="AM22" s="7" t="s">
        <v>1524</v>
      </c>
      <c r="AN22" s="7" t="s">
        <v>1525</v>
      </c>
      <c r="AO22" s="7" t="s">
        <v>109</v>
      </c>
      <c r="AP22" s="7" t="s">
        <v>70</v>
      </c>
      <c r="AQ22" s="13"/>
      <c r="AR22" s="13"/>
      <c r="AS22" s="13"/>
      <c r="AT22" s="13"/>
      <c r="AU22" s="13"/>
      <c r="AV22" s="13"/>
    </row>
    <row r="23">
      <c r="A23" s="6">
        <v>45786.58110435185</v>
      </c>
      <c r="B23" s="7" t="s">
        <v>1717</v>
      </c>
      <c r="C23" s="7" t="s">
        <v>1718</v>
      </c>
      <c r="D23" s="10" t="s">
        <v>1719</v>
      </c>
      <c r="E23" s="7" t="s">
        <v>1720</v>
      </c>
      <c r="F23" s="7" t="s">
        <v>1721</v>
      </c>
      <c r="G23" s="9" t="s">
        <v>44</v>
      </c>
      <c r="H23" s="7" t="s">
        <v>45</v>
      </c>
      <c r="I23" s="7" t="s">
        <v>141</v>
      </c>
      <c r="J23" s="9" t="s">
        <v>2348</v>
      </c>
      <c r="K23" s="8">
        <v>2.0032007E7</v>
      </c>
      <c r="L23" s="31" t="s">
        <v>1719</v>
      </c>
      <c r="M23" s="7" t="s">
        <v>1720</v>
      </c>
      <c r="N23" s="7" t="s">
        <v>49</v>
      </c>
      <c r="O23" s="7" t="s">
        <v>1721</v>
      </c>
      <c r="P23" s="8" t="s">
        <v>1722</v>
      </c>
      <c r="Q23" s="8">
        <v>1.2042028E7</v>
      </c>
      <c r="R23" s="11" t="s">
        <v>1723</v>
      </c>
      <c r="S23" s="11" t="s">
        <v>1724</v>
      </c>
      <c r="T23" s="14" t="s">
        <v>573</v>
      </c>
      <c r="U23" s="14" t="s">
        <v>1725</v>
      </c>
      <c r="V23" s="14" t="s">
        <v>54</v>
      </c>
      <c r="W23" s="14" t="s">
        <v>1726</v>
      </c>
      <c r="X23" s="11" t="s">
        <v>1727</v>
      </c>
      <c r="Y23" s="7" t="s">
        <v>57</v>
      </c>
      <c r="Z23" s="7" t="s">
        <v>1721</v>
      </c>
      <c r="AA23" s="9" t="s">
        <v>1728</v>
      </c>
      <c r="AB23" s="7" t="s">
        <v>1729</v>
      </c>
      <c r="AC23" s="7" t="s">
        <v>1730</v>
      </c>
      <c r="AD23" s="7" t="s">
        <v>1721</v>
      </c>
      <c r="AE23" s="32" t="s">
        <v>1719</v>
      </c>
      <c r="AF23" s="7" t="s">
        <v>1731</v>
      </c>
      <c r="AG23" s="8">
        <v>9.999999999E9</v>
      </c>
      <c r="AH23" s="17" t="s">
        <v>260</v>
      </c>
      <c r="AI23" s="18"/>
      <c r="AJ23" s="13"/>
      <c r="AK23" s="13"/>
      <c r="AL23" s="13"/>
      <c r="AM23" s="19" t="s">
        <v>1732</v>
      </c>
      <c r="AN23" s="7" t="s">
        <v>69</v>
      </c>
      <c r="AO23" s="7" t="s">
        <v>1004</v>
      </c>
      <c r="AP23" s="7" t="s">
        <v>70</v>
      </c>
      <c r="AQ23" s="13"/>
      <c r="AR23" s="13"/>
      <c r="AS23" s="13"/>
      <c r="AT23" s="13"/>
      <c r="AU23" s="13"/>
      <c r="AV23" s="13"/>
    </row>
    <row r="24">
      <c r="A24" s="6">
        <v>45786.87001730324</v>
      </c>
      <c r="B24" s="7" t="s">
        <v>2040</v>
      </c>
      <c r="C24" s="7" t="s">
        <v>2041</v>
      </c>
      <c r="D24" s="10" t="s">
        <v>2042</v>
      </c>
      <c r="E24" s="7" t="s">
        <v>2043</v>
      </c>
      <c r="F24" s="7" t="s">
        <v>2044</v>
      </c>
      <c r="G24" s="9" t="s">
        <v>44</v>
      </c>
      <c r="H24" s="7" t="s">
        <v>45</v>
      </c>
      <c r="I24" s="7" t="s">
        <v>141</v>
      </c>
      <c r="J24" s="9" t="s">
        <v>2348</v>
      </c>
      <c r="K24" s="10" t="s">
        <v>2045</v>
      </c>
      <c r="L24" s="32" t="s">
        <v>2046</v>
      </c>
      <c r="M24" s="7" t="s">
        <v>2047</v>
      </c>
      <c r="N24" s="7" t="s">
        <v>49</v>
      </c>
      <c r="O24" s="7" t="s">
        <v>2048</v>
      </c>
      <c r="P24" s="8" t="s">
        <v>2049</v>
      </c>
      <c r="Q24" s="8" t="s">
        <v>2050</v>
      </c>
      <c r="R24" s="11" t="s">
        <v>2051</v>
      </c>
      <c r="S24" s="11" t="s">
        <v>2052</v>
      </c>
      <c r="T24" s="7" t="s">
        <v>54</v>
      </c>
      <c r="U24" s="7" t="s">
        <v>55</v>
      </c>
      <c r="V24" s="7" t="s">
        <v>54</v>
      </c>
      <c r="W24" s="7" t="s">
        <v>55</v>
      </c>
      <c r="X24" s="11" t="s">
        <v>2053</v>
      </c>
      <c r="Y24" s="7" t="s">
        <v>57</v>
      </c>
      <c r="Z24" s="7" t="s">
        <v>2054</v>
      </c>
      <c r="AA24" s="9" t="s">
        <v>2055</v>
      </c>
      <c r="AB24" s="7" t="s">
        <v>2056</v>
      </c>
      <c r="AC24" s="7" t="s">
        <v>2057</v>
      </c>
      <c r="AD24" s="7" t="s">
        <v>2044</v>
      </c>
      <c r="AE24" s="32" t="s">
        <v>2046</v>
      </c>
      <c r="AF24" s="7" t="s">
        <v>2058</v>
      </c>
      <c r="AG24" s="32" t="s">
        <v>2042</v>
      </c>
      <c r="AH24" s="17" t="s">
        <v>260</v>
      </c>
      <c r="AI24" s="18"/>
      <c r="AJ24" s="13"/>
      <c r="AK24" s="13"/>
      <c r="AL24" s="13"/>
      <c r="AM24" s="7" t="s">
        <v>2059</v>
      </c>
      <c r="AN24" s="7" t="s">
        <v>69</v>
      </c>
      <c r="AO24" s="7" t="s">
        <v>2060</v>
      </c>
      <c r="AP24" s="7" t="s">
        <v>70</v>
      </c>
      <c r="AQ24" s="13"/>
      <c r="AR24" s="13"/>
      <c r="AS24" s="13"/>
      <c r="AT24" s="13"/>
      <c r="AU24" s="13"/>
      <c r="AV24" s="13"/>
    </row>
    <row r="25">
      <c r="A25" s="6">
        <v>45785.42926668981</v>
      </c>
      <c r="B25" s="7" t="s">
        <v>674</v>
      </c>
      <c r="C25" s="7" t="s">
        <v>675</v>
      </c>
      <c r="D25" s="10" t="s">
        <v>676</v>
      </c>
      <c r="E25" s="7" t="s">
        <v>677</v>
      </c>
      <c r="F25" s="7" t="s">
        <v>678</v>
      </c>
      <c r="G25" s="9" t="s">
        <v>76</v>
      </c>
      <c r="H25" s="7" t="s">
        <v>77</v>
      </c>
      <c r="I25" s="7" t="s">
        <v>141</v>
      </c>
      <c r="J25" s="7"/>
      <c r="K25" s="10" t="s">
        <v>679</v>
      </c>
      <c r="L25" s="32" t="s">
        <v>680</v>
      </c>
      <c r="M25" s="7" t="s">
        <v>681</v>
      </c>
      <c r="N25" s="7" t="s">
        <v>49</v>
      </c>
      <c r="O25" s="7" t="s">
        <v>678</v>
      </c>
      <c r="P25" s="8" t="s">
        <v>682</v>
      </c>
      <c r="Q25" s="10" t="s">
        <v>683</v>
      </c>
      <c r="R25" s="11" t="s">
        <v>684</v>
      </c>
      <c r="S25" s="11" t="s">
        <v>685</v>
      </c>
      <c r="T25" s="7" t="s">
        <v>54</v>
      </c>
      <c r="U25" s="7" t="s">
        <v>55</v>
      </c>
      <c r="V25" s="7" t="s">
        <v>54</v>
      </c>
      <c r="W25" s="7" t="s">
        <v>55</v>
      </c>
      <c r="X25" s="11" t="s">
        <v>686</v>
      </c>
      <c r="Y25" s="7" t="s">
        <v>57</v>
      </c>
      <c r="Z25" s="7" t="s">
        <v>678</v>
      </c>
      <c r="AA25" s="9" t="s">
        <v>687</v>
      </c>
      <c r="AB25" s="7" t="s">
        <v>688</v>
      </c>
      <c r="AC25" s="7" t="s">
        <v>689</v>
      </c>
      <c r="AD25" s="7" t="s">
        <v>678</v>
      </c>
      <c r="AE25" s="32" t="s">
        <v>680</v>
      </c>
      <c r="AF25" s="7" t="s">
        <v>691</v>
      </c>
      <c r="AG25" s="32" t="s">
        <v>676</v>
      </c>
      <c r="AH25" s="9" t="s">
        <v>64</v>
      </c>
      <c r="AI25" s="9" t="s">
        <v>693</v>
      </c>
      <c r="AJ25" s="7" t="s">
        <v>694</v>
      </c>
      <c r="AK25" s="7" t="s">
        <v>693</v>
      </c>
      <c r="AL25" s="9" t="s">
        <v>693</v>
      </c>
      <c r="AM25" s="7" t="s">
        <v>695</v>
      </c>
      <c r="AN25" s="7" t="s">
        <v>157</v>
      </c>
      <c r="AO25" s="7" t="s">
        <v>55</v>
      </c>
      <c r="AP25" s="7" t="s">
        <v>70</v>
      </c>
      <c r="AQ25" s="13"/>
      <c r="AR25" s="13"/>
      <c r="AS25" s="13"/>
      <c r="AT25" s="13"/>
      <c r="AU25" s="13"/>
      <c r="AV25" s="13"/>
    </row>
    <row r="26">
      <c r="A26" s="6">
        <v>45786.87479108796</v>
      </c>
      <c r="B26" s="7" t="s">
        <v>2096</v>
      </c>
      <c r="C26" s="7" t="s">
        <v>787</v>
      </c>
      <c r="D26" s="33" t="s">
        <v>2097</v>
      </c>
      <c r="E26" s="7" t="s">
        <v>2098</v>
      </c>
      <c r="F26" s="7" t="s">
        <v>2099</v>
      </c>
      <c r="G26" s="9" t="s">
        <v>44</v>
      </c>
      <c r="H26" s="7" t="s">
        <v>45</v>
      </c>
      <c r="I26" s="7" t="s">
        <v>141</v>
      </c>
      <c r="J26" s="9" t="s">
        <v>2348</v>
      </c>
      <c r="K26" s="8">
        <v>1.4042007E7</v>
      </c>
      <c r="L26" s="32" t="s">
        <v>2100</v>
      </c>
      <c r="M26" s="7" t="s">
        <v>2101</v>
      </c>
      <c r="N26" s="7" t="s">
        <v>49</v>
      </c>
      <c r="O26" s="7" t="s">
        <v>2099</v>
      </c>
      <c r="P26" s="8" t="s">
        <v>2102</v>
      </c>
      <c r="Q26" s="8">
        <v>3.0112027E7</v>
      </c>
      <c r="R26" s="20" t="s">
        <v>2103</v>
      </c>
      <c r="S26" s="11" t="s">
        <v>2104</v>
      </c>
      <c r="T26" s="7" t="s">
        <v>54</v>
      </c>
      <c r="U26" s="7" t="s">
        <v>55</v>
      </c>
      <c r="V26" s="7" t="s">
        <v>54</v>
      </c>
      <c r="W26" s="7" t="s">
        <v>55</v>
      </c>
      <c r="X26" s="11" t="s">
        <v>2105</v>
      </c>
      <c r="Y26" s="14" t="s">
        <v>194</v>
      </c>
      <c r="Z26" s="15"/>
      <c r="AA26" s="9"/>
      <c r="AB26" s="13"/>
      <c r="AC26" s="13"/>
      <c r="AD26" s="7" t="s">
        <v>2106</v>
      </c>
      <c r="AE26" s="33" t="s">
        <v>2107</v>
      </c>
      <c r="AF26" s="7" t="s">
        <v>422</v>
      </c>
      <c r="AG26" s="8">
        <v>9.9999999999E10</v>
      </c>
      <c r="AH26" s="9" t="s">
        <v>64</v>
      </c>
      <c r="AI26" s="9">
        <v>1.0</v>
      </c>
      <c r="AJ26" s="7" t="s">
        <v>2108</v>
      </c>
      <c r="AK26" s="7" t="s">
        <v>2109</v>
      </c>
      <c r="AL26" s="7" t="s">
        <v>2110</v>
      </c>
      <c r="AM26" s="7" t="s">
        <v>2111</v>
      </c>
      <c r="AN26" s="7" t="s">
        <v>69</v>
      </c>
      <c r="AO26" s="7" t="s">
        <v>109</v>
      </c>
      <c r="AP26" s="7" t="s">
        <v>70</v>
      </c>
      <c r="AQ26" s="13"/>
      <c r="AR26" s="13"/>
      <c r="AS26" s="13"/>
      <c r="AT26" s="13"/>
      <c r="AU26" s="13"/>
      <c r="AV26" s="13"/>
    </row>
    <row r="27">
      <c r="A27" s="6">
        <v>45784.96345135417</v>
      </c>
      <c r="B27" s="7" t="s">
        <v>563</v>
      </c>
      <c r="C27" s="7" t="s">
        <v>564</v>
      </c>
      <c r="D27" s="10" t="s">
        <v>565</v>
      </c>
      <c r="E27" s="7" t="s">
        <v>566</v>
      </c>
      <c r="F27" s="7" t="s">
        <v>567</v>
      </c>
      <c r="G27" s="9" t="s">
        <v>76</v>
      </c>
      <c r="H27" s="7" t="s">
        <v>101</v>
      </c>
      <c r="I27" s="7" t="s">
        <v>78</v>
      </c>
      <c r="J27" s="7"/>
      <c r="K27" s="8">
        <v>1.3012012E7</v>
      </c>
      <c r="L27" s="31" t="s">
        <v>568</v>
      </c>
      <c r="M27" s="7" t="s">
        <v>566</v>
      </c>
      <c r="N27" s="7" t="s">
        <v>49</v>
      </c>
      <c r="O27" s="7" t="s">
        <v>567</v>
      </c>
      <c r="P27" s="8" t="s">
        <v>569</v>
      </c>
      <c r="Q27" s="10" t="s">
        <v>570</v>
      </c>
      <c r="R27" s="11" t="s">
        <v>571</v>
      </c>
      <c r="S27" s="11" t="s">
        <v>572</v>
      </c>
      <c r="T27" s="14" t="s">
        <v>573</v>
      </c>
      <c r="U27" s="14" t="s">
        <v>574</v>
      </c>
      <c r="V27" s="14" t="s">
        <v>575</v>
      </c>
      <c r="W27" s="14" t="s">
        <v>575</v>
      </c>
      <c r="X27" s="11" t="s">
        <v>576</v>
      </c>
      <c r="Y27" s="7" t="s">
        <v>57</v>
      </c>
      <c r="Z27" s="7" t="s">
        <v>577</v>
      </c>
      <c r="AA27" s="9" t="s">
        <v>578</v>
      </c>
      <c r="AB27" s="7" t="s">
        <v>579</v>
      </c>
      <c r="AC27" s="7" t="s">
        <v>580</v>
      </c>
      <c r="AD27" s="7" t="s">
        <v>581</v>
      </c>
      <c r="AE27" s="32" t="s">
        <v>568</v>
      </c>
      <c r="AF27" s="7" t="s">
        <v>582</v>
      </c>
      <c r="AG27" s="32" t="s">
        <v>565</v>
      </c>
      <c r="AH27" s="9" t="s">
        <v>64</v>
      </c>
      <c r="AI27" s="9">
        <v>2.0</v>
      </c>
      <c r="AJ27" s="42" t="s">
        <v>583</v>
      </c>
      <c r="AK27" s="7" t="s">
        <v>299</v>
      </c>
      <c r="AL27" s="9" t="s">
        <v>299</v>
      </c>
      <c r="AM27" s="7" t="s">
        <v>584</v>
      </c>
      <c r="AN27" s="7" t="s">
        <v>69</v>
      </c>
      <c r="AO27" s="7" t="s">
        <v>55</v>
      </c>
      <c r="AP27" s="7" t="s">
        <v>70</v>
      </c>
      <c r="AQ27" s="13"/>
      <c r="AR27" s="13"/>
      <c r="AS27" s="13"/>
      <c r="AT27" s="13"/>
      <c r="AU27" s="13"/>
      <c r="AV27" s="13"/>
    </row>
    <row r="28">
      <c r="A28" s="35">
        <v>45786.519790266204</v>
      </c>
      <c r="B28" s="36" t="s">
        <v>1634</v>
      </c>
      <c r="C28" s="36" t="s">
        <v>1635</v>
      </c>
      <c r="D28" s="39" t="s">
        <v>1636</v>
      </c>
      <c r="E28" s="36" t="s">
        <v>1637</v>
      </c>
      <c r="F28" s="36" t="s">
        <v>1638</v>
      </c>
      <c r="G28" s="38" t="s">
        <v>44</v>
      </c>
      <c r="H28" s="36" t="s">
        <v>45</v>
      </c>
      <c r="I28" s="36" t="s">
        <v>858</v>
      </c>
      <c r="J28" s="38" t="s">
        <v>2357</v>
      </c>
      <c r="K28" s="39" t="s">
        <v>1639</v>
      </c>
      <c r="L28" s="39" t="s">
        <v>1640</v>
      </c>
      <c r="M28" s="36" t="s">
        <v>1641</v>
      </c>
      <c r="N28" s="36" t="s">
        <v>49</v>
      </c>
      <c r="O28" s="36" t="s">
        <v>1638</v>
      </c>
      <c r="P28" s="39" t="s">
        <v>1642</v>
      </c>
      <c r="Q28" s="39" t="s">
        <v>1643</v>
      </c>
      <c r="R28" s="40" t="s">
        <v>1644</v>
      </c>
      <c r="S28" s="40" t="s">
        <v>1645</v>
      </c>
      <c r="T28" s="36" t="s">
        <v>54</v>
      </c>
      <c r="U28" s="36" t="s">
        <v>55</v>
      </c>
      <c r="V28" s="36" t="s">
        <v>54</v>
      </c>
      <c r="W28" s="36" t="s">
        <v>55</v>
      </c>
      <c r="X28" s="40" t="s">
        <v>1646</v>
      </c>
      <c r="Y28" s="22" t="s">
        <v>194</v>
      </c>
      <c r="Z28" s="43"/>
      <c r="AA28" s="27"/>
      <c r="AB28" s="25"/>
      <c r="AC28" s="25"/>
      <c r="AD28" s="36" t="s">
        <v>1638</v>
      </c>
      <c r="AE28" s="39" t="s">
        <v>1647</v>
      </c>
      <c r="AF28" s="36" t="s">
        <v>1648</v>
      </c>
      <c r="AG28" s="39" t="s">
        <v>1636</v>
      </c>
      <c r="AH28" s="38" t="s">
        <v>64</v>
      </c>
      <c r="AI28" s="38">
        <v>2.0</v>
      </c>
      <c r="AJ28" s="36" t="s">
        <v>1649</v>
      </c>
      <c r="AK28" s="36" t="s">
        <v>1650</v>
      </c>
      <c r="AL28" s="36" t="s">
        <v>221</v>
      </c>
      <c r="AM28" s="36" t="s">
        <v>1651</v>
      </c>
      <c r="AN28" s="36" t="s">
        <v>1652</v>
      </c>
      <c r="AO28" s="36" t="s">
        <v>55</v>
      </c>
      <c r="AP28" s="36" t="s">
        <v>70</v>
      </c>
      <c r="AQ28" s="25"/>
      <c r="AR28" s="25"/>
      <c r="AS28" s="25"/>
      <c r="AT28" s="25"/>
      <c r="AU28" s="25"/>
      <c r="AV28" s="25"/>
    </row>
    <row r="29">
      <c r="A29" s="6">
        <v>45785.03192015046</v>
      </c>
      <c r="B29" s="7" t="s">
        <v>598</v>
      </c>
      <c r="C29" s="7" t="s">
        <v>599</v>
      </c>
      <c r="D29" s="10" t="s">
        <v>600</v>
      </c>
      <c r="E29" s="7" t="s">
        <v>601</v>
      </c>
      <c r="F29" s="7" t="s">
        <v>602</v>
      </c>
      <c r="G29" s="9" t="s">
        <v>76</v>
      </c>
      <c r="H29" s="7" t="s">
        <v>101</v>
      </c>
      <c r="I29" s="7" t="s">
        <v>78</v>
      </c>
      <c r="J29" s="7"/>
      <c r="K29" s="8">
        <v>1.4052012E7</v>
      </c>
      <c r="L29" s="31" t="s">
        <v>600</v>
      </c>
      <c r="M29" s="7" t="s">
        <v>601</v>
      </c>
      <c r="N29" s="7" t="s">
        <v>49</v>
      </c>
      <c r="O29" s="7" t="s">
        <v>602</v>
      </c>
      <c r="P29" s="8" t="s">
        <v>603</v>
      </c>
      <c r="Q29" s="10" t="s">
        <v>604</v>
      </c>
      <c r="R29" s="11" t="s">
        <v>605</v>
      </c>
      <c r="S29" s="11" t="s">
        <v>606</v>
      </c>
      <c r="T29" s="7" t="s">
        <v>54</v>
      </c>
      <c r="U29" s="7" t="s">
        <v>55</v>
      </c>
      <c r="V29" s="7" t="s">
        <v>54</v>
      </c>
      <c r="W29" s="7" t="s">
        <v>55</v>
      </c>
      <c r="X29" s="11" t="s">
        <v>607</v>
      </c>
      <c r="Y29" s="7" t="s">
        <v>57</v>
      </c>
      <c r="Z29" s="7" t="s">
        <v>602</v>
      </c>
      <c r="AA29" s="9" t="s">
        <v>608</v>
      </c>
      <c r="AB29" s="7" t="s">
        <v>609</v>
      </c>
      <c r="AC29" s="7" t="s">
        <v>610</v>
      </c>
      <c r="AD29" s="7" t="s">
        <v>602</v>
      </c>
      <c r="AE29" s="32" t="s">
        <v>611</v>
      </c>
      <c r="AF29" s="7" t="s">
        <v>612</v>
      </c>
      <c r="AG29" s="32" t="s">
        <v>600</v>
      </c>
      <c r="AH29" s="9" t="s">
        <v>64</v>
      </c>
      <c r="AI29" s="9">
        <v>3.0</v>
      </c>
      <c r="AJ29" s="7" t="s">
        <v>613</v>
      </c>
      <c r="AK29" s="7" t="s">
        <v>614</v>
      </c>
      <c r="AL29" s="9" t="s">
        <v>615</v>
      </c>
      <c r="AM29" s="7" t="s">
        <v>616</v>
      </c>
      <c r="AN29" s="7" t="s">
        <v>617</v>
      </c>
      <c r="AO29" s="7" t="s">
        <v>55</v>
      </c>
      <c r="AP29" s="7" t="s">
        <v>70</v>
      </c>
      <c r="AQ29" s="13"/>
      <c r="AR29" s="13"/>
      <c r="AS29" s="13"/>
      <c r="AT29" s="13"/>
      <c r="AU29" s="13"/>
      <c r="AV29" s="13"/>
    </row>
    <row r="30">
      <c r="A30" s="6">
        <v>45785.68051827546</v>
      </c>
      <c r="B30" s="7" t="s">
        <v>935</v>
      </c>
      <c r="C30" s="7" t="s">
        <v>936</v>
      </c>
      <c r="D30" s="8" t="s">
        <v>937</v>
      </c>
      <c r="E30" s="7" t="s">
        <v>938</v>
      </c>
      <c r="F30" s="7" t="s">
        <v>939</v>
      </c>
      <c r="G30" s="9" t="s">
        <v>76</v>
      </c>
      <c r="H30" s="7" t="s">
        <v>45</v>
      </c>
      <c r="I30" s="7" t="s">
        <v>141</v>
      </c>
      <c r="J30" s="9" t="s">
        <v>2363</v>
      </c>
      <c r="K30" s="8">
        <v>1.1032009E7</v>
      </c>
      <c r="L30" s="32" t="s">
        <v>2364</v>
      </c>
      <c r="M30" s="7" t="s">
        <v>941</v>
      </c>
      <c r="N30" s="7" t="s">
        <v>49</v>
      </c>
      <c r="O30" s="7" t="s">
        <v>939</v>
      </c>
      <c r="P30" s="8" t="s">
        <v>942</v>
      </c>
      <c r="Q30" s="10" t="s">
        <v>943</v>
      </c>
      <c r="R30" s="11" t="s">
        <v>944</v>
      </c>
      <c r="S30" s="11" t="s">
        <v>945</v>
      </c>
      <c r="T30" s="7" t="s">
        <v>54</v>
      </c>
      <c r="U30" s="7" t="s">
        <v>55</v>
      </c>
      <c r="V30" s="7" t="s">
        <v>54</v>
      </c>
      <c r="W30" s="7" t="s">
        <v>55</v>
      </c>
      <c r="X30" s="11" t="s">
        <v>946</v>
      </c>
      <c r="Y30" s="7" t="s">
        <v>57</v>
      </c>
      <c r="Z30" s="7" t="s">
        <v>947</v>
      </c>
      <c r="AA30" s="9" t="s">
        <v>948</v>
      </c>
      <c r="AB30" s="7" t="s">
        <v>949</v>
      </c>
      <c r="AC30" s="7" t="s">
        <v>950</v>
      </c>
      <c r="AD30" s="7" t="s">
        <v>947</v>
      </c>
      <c r="AE30" s="33" t="s">
        <v>940</v>
      </c>
      <c r="AF30" s="7" t="s">
        <v>951</v>
      </c>
      <c r="AG30" s="33" t="s">
        <v>937</v>
      </c>
      <c r="AH30" s="9" t="s">
        <v>64</v>
      </c>
      <c r="AI30" s="9">
        <v>1.0</v>
      </c>
      <c r="AJ30" s="7" t="s">
        <v>952</v>
      </c>
      <c r="AK30" s="7" t="s">
        <v>523</v>
      </c>
      <c r="AL30" s="9" t="s">
        <v>953</v>
      </c>
      <c r="AM30" s="42" t="s">
        <v>954</v>
      </c>
      <c r="AN30" s="7" t="s">
        <v>95</v>
      </c>
      <c r="AO30" s="7" t="s">
        <v>55</v>
      </c>
      <c r="AP30" s="7" t="s">
        <v>70</v>
      </c>
      <c r="AQ30" s="13"/>
      <c r="AR30" s="13"/>
      <c r="AS30" s="13"/>
      <c r="AT30" s="13"/>
      <c r="AU30" s="13"/>
      <c r="AV30" s="13"/>
    </row>
    <row r="31">
      <c r="A31" s="6">
        <v>45785.94523203703</v>
      </c>
      <c r="B31" s="7" t="s">
        <v>1247</v>
      </c>
      <c r="C31" s="7" t="s">
        <v>1248</v>
      </c>
      <c r="D31" s="8" t="s">
        <v>1249</v>
      </c>
      <c r="E31" s="7" t="s">
        <v>1250</v>
      </c>
      <c r="F31" s="7" t="s">
        <v>1251</v>
      </c>
      <c r="G31" s="9" t="s">
        <v>76</v>
      </c>
      <c r="H31" s="7" t="s">
        <v>77</v>
      </c>
      <c r="I31" s="7" t="s">
        <v>141</v>
      </c>
      <c r="J31" s="7"/>
      <c r="K31" s="8" t="s">
        <v>1252</v>
      </c>
      <c r="L31" s="31" t="s">
        <v>2365</v>
      </c>
      <c r="M31" s="7" t="s">
        <v>1254</v>
      </c>
      <c r="N31" s="7" t="s">
        <v>49</v>
      </c>
      <c r="O31" s="7" t="s">
        <v>1251</v>
      </c>
      <c r="P31" s="8" t="s">
        <v>1255</v>
      </c>
      <c r="Q31" s="10" t="s">
        <v>1256</v>
      </c>
      <c r="R31" s="11" t="s">
        <v>1257</v>
      </c>
      <c r="S31" s="11" t="s">
        <v>1258</v>
      </c>
      <c r="T31" s="7" t="s">
        <v>54</v>
      </c>
      <c r="U31" s="7" t="s">
        <v>55</v>
      </c>
      <c r="V31" s="7" t="s">
        <v>54</v>
      </c>
      <c r="W31" s="7" t="s">
        <v>55</v>
      </c>
      <c r="X31" s="11" t="s">
        <v>1259</v>
      </c>
      <c r="Y31" s="7" t="s">
        <v>57</v>
      </c>
      <c r="Z31" s="7" t="s">
        <v>1251</v>
      </c>
      <c r="AA31" s="9" t="s">
        <v>1260</v>
      </c>
      <c r="AB31" s="7" t="s">
        <v>1261</v>
      </c>
      <c r="AC31" s="7" t="s">
        <v>1262</v>
      </c>
      <c r="AD31" s="7" t="s">
        <v>1251</v>
      </c>
      <c r="AE31" s="33" t="s">
        <v>1253</v>
      </c>
      <c r="AF31" s="7" t="s">
        <v>1263</v>
      </c>
      <c r="AG31" s="32" t="s">
        <v>1264</v>
      </c>
      <c r="AH31" s="9" t="s">
        <v>64</v>
      </c>
      <c r="AI31" s="9">
        <v>3.0</v>
      </c>
      <c r="AJ31" s="7" t="s">
        <v>1265</v>
      </c>
      <c r="AK31" s="7" t="s">
        <v>1266</v>
      </c>
      <c r="AL31" s="9" t="s">
        <v>1267</v>
      </c>
      <c r="AM31" s="7" t="s">
        <v>1268</v>
      </c>
      <c r="AN31" s="7" t="s">
        <v>69</v>
      </c>
      <c r="AO31" s="7" t="s">
        <v>55</v>
      </c>
      <c r="AP31" s="7" t="s">
        <v>70</v>
      </c>
      <c r="AQ31" s="13"/>
      <c r="AR31" s="13"/>
      <c r="AS31" s="13"/>
      <c r="AT31" s="13"/>
      <c r="AU31" s="13"/>
      <c r="AV31" s="13"/>
    </row>
    <row r="32">
      <c r="A32" s="6">
        <v>45786.67695418981</v>
      </c>
      <c r="B32" s="7" t="s">
        <v>364</v>
      </c>
      <c r="C32" s="7" t="s">
        <v>1818</v>
      </c>
      <c r="D32" s="8" t="s">
        <v>1819</v>
      </c>
      <c r="E32" s="7" t="s">
        <v>1820</v>
      </c>
      <c r="F32" s="7" t="s">
        <v>1821</v>
      </c>
      <c r="G32" s="9" t="s">
        <v>44</v>
      </c>
      <c r="H32" s="7" t="s">
        <v>45</v>
      </c>
      <c r="I32" s="7" t="s">
        <v>322</v>
      </c>
      <c r="J32" s="9" t="s">
        <v>2366</v>
      </c>
      <c r="K32" s="8" t="s">
        <v>1822</v>
      </c>
      <c r="L32" s="34" t="s">
        <v>1823</v>
      </c>
      <c r="M32" s="7" t="s">
        <v>1824</v>
      </c>
      <c r="N32" s="7" t="s">
        <v>49</v>
      </c>
      <c r="O32" s="7" t="s">
        <v>1825</v>
      </c>
      <c r="P32" s="8" t="s">
        <v>1826</v>
      </c>
      <c r="Q32" s="10" t="s">
        <v>1827</v>
      </c>
      <c r="R32" s="20" t="s">
        <v>1828</v>
      </c>
      <c r="S32" s="11" t="s">
        <v>1829</v>
      </c>
      <c r="T32" s="14" t="s">
        <v>54</v>
      </c>
      <c r="U32" s="14" t="s">
        <v>55</v>
      </c>
      <c r="V32" s="14" t="s">
        <v>1830</v>
      </c>
      <c r="W32" s="14" t="s">
        <v>55</v>
      </c>
      <c r="X32" s="11" t="s">
        <v>1831</v>
      </c>
      <c r="Y32" s="7" t="s">
        <v>57</v>
      </c>
      <c r="Z32" s="7" t="s">
        <v>1821</v>
      </c>
      <c r="AA32" s="9" t="s">
        <v>1832</v>
      </c>
      <c r="AB32" s="7" t="s">
        <v>1833</v>
      </c>
      <c r="AC32" s="7" t="s">
        <v>1834</v>
      </c>
      <c r="AD32" s="7" t="s">
        <v>1821</v>
      </c>
      <c r="AE32" s="33" t="s">
        <v>1823</v>
      </c>
      <c r="AF32" s="7" t="s">
        <v>1835</v>
      </c>
      <c r="AG32" s="33" t="s">
        <v>1819</v>
      </c>
      <c r="AH32" s="17" t="s">
        <v>260</v>
      </c>
      <c r="AI32" s="18"/>
      <c r="AJ32" s="13"/>
      <c r="AK32" s="13"/>
      <c r="AL32" s="13"/>
      <c r="AM32" s="7" t="s">
        <v>1836</v>
      </c>
      <c r="AN32" s="7" t="s">
        <v>408</v>
      </c>
      <c r="AO32" s="7" t="s">
        <v>55</v>
      </c>
      <c r="AP32" s="7" t="s">
        <v>70</v>
      </c>
      <c r="AQ32" s="13"/>
      <c r="AR32" s="13"/>
      <c r="AS32" s="13"/>
      <c r="AT32" s="13"/>
      <c r="AU32" s="13"/>
      <c r="AV32" s="13"/>
    </row>
    <row r="33">
      <c r="A33" s="6">
        <v>45786.51234631945</v>
      </c>
      <c r="B33" s="7" t="s">
        <v>1618</v>
      </c>
      <c r="C33" s="7" t="s">
        <v>1048</v>
      </c>
      <c r="D33" s="8" t="s">
        <v>1619</v>
      </c>
      <c r="E33" s="7" t="s">
        <v>1620</v>
      </c>
      <c r="F33" s="7" t="s">
        <v>1621</v>
      </c>
      <c r="G33" s="9" t="s">
        <v>76</v>
      </c>
      <c r="H33" s="7" t="s">
        <v>77</v>
      </c>
      <c r="I33" s="7" t="s">
        <v>141</v>
      </c>
      <c r="J33" s="7"/>
      <c r="K33" s="8">
        <v>2.910201E7</v>
      </c>
      <c r="L33" s="31" t="s">
        <v>2367</v>
      </c>
      <c r="M33" s="7" t="s">
        <v>1620</v>
      </c>
      <c r="N33" s="7" t="s">
        <v>49</v>
      </c>
      <c r="O33" s="7" t="s">
        <v>1622</v>
      </c>
      <c r="P33" s="8" t="s">
        <v>1623</v>
      </c>
      <c r="Q33" s="8">
        <v>3.1072028E7</v>
      </c>
      <c r="R33" s="11" t="s">
        <v>1624</v>
      </c>
      <c r="S33" s="11" t="s">
        <v>1625</v>
      </c>
      <c r="T33" s="7" t="s">
        <v>573</v>
      </c>
      <c r="U33" s="7" t="s">
        <v>1626</v>
      </c>
      <c r="V33" s="7" t="s">
        <v>1627</v>
      </c>
      <c r="W33" s="7" t="s">
        <v>1628</v>
      </c>
      <c r="X33" s="11" t="s">
        <v>1629</v>
      </c>
      <c r="Y33" s="14" t="s">
        <v>194</v>
      </c>
      <c r="Z33" s="15"/>
      <c r="AA33" s="16"/>
      <c r="AB33" s="13"/>
      <c r="AC33" s="13"/>
      <c r="AD33" s="7" t="s">
        <v>1630</v>
      </c>
      <c r="AE33" s="34" t="s">
        <v>1631</v>
      </c>
      <c r="AF33" s="7" t="s">
        <v>1632</v>
      </c>
      <c r="AG33" s="34" t="s">
        <v>1619</v>
      </c>
      <c r="AH33" s="17" t="s">
        <v>260</v>
      </c>
      <c r="AI33" s="18"/>
      <c r="AJ33" s="13"/>
      <c r="AK33" s="13"/>
      <c r="AL33" s="13"/>
      <c r="AM33" s="7" t="s">
        <v>1633</v>
      </c>
      <c r="AN33" s="7" t="s">
        <v>117</v>
      </c>
      <c r="AO33" s="7" t="s">
        <v>109</v>
      </c>
      <c r="AP33" s="7" t="s">
        <v>70</v>
      </c>
      <c r="AQ33" s="13"/>
      <c r="AR33" s="13"/>
      <c r="AS33" s="13"/>
      <c r="AT33" s="13"/>
      <c r="AU33" s="13"/>
      <c r="AV33" s="13"/>
    </row>
    <row r="34">
      <c r="A34" s="35">
        <v>45785.60366263889</v>
      </c>
      <c r="B34" s="36" t="s">
        <v>853</v>
      </c>
      <c r="C34" s="36" t="s">
        <v>854</v>
      </c>
      <c r="D34" s="39" t="s">
        <v>855</v>
      </c>
      <c r="E34" s="36" t="s">
        <v>856</v>
      </c>
      <c r="F34" s="36" t="s">
        <v>857</v>
      </c>
      <c r="G34" s="38" t="s">
        <v>76</v>
      </c>
      <c r="H34" s="36" t="s">
        <v>77</v>
      </c>
      <c r="I34" s="36" t="s">
        <v>858</v>
      </c>
      <c r="J34" s="36"/>
      <c r="K34" s="39">
        <v>2.707201E7</v>
      </c>
      <c r="L34" s="39" t="s">
        <v>859</v>
      </c>
      <c r="M34" s="36" t="s">
        <v>856</v>
      </c>
      <c r="N34" s="36" t="s">
        <v>49</v>
      </c>
      <c r="O34" s="36" t="s">
        <v>857</v>
      </c>
      <c r="P34" s="39" t="s">
        <v>860</v>
      </c>
      <c r="Q34" s="39">
        <v>2.407203E7</v>
      </c>
      <c r="R34" s="40" t="s">
        <v>861</v>
      </c>
      <c r="S34" s="40" t="s">
        <v>862</v>
      </c>
      <c r="T34" s="22" t="s">
        <v>573</v>
      </c>
      <c r="U34" s="22" t="s">
        <v>863</v>
      </c>
      <c r="V34" s="22" t="s">
        <v>54</v>
      </c>
      <c r="W34" s="22" t="s">
        <v>55</v>
      </c>
      <c r="X34" s="40" t="s">
        <v>864</v>
      </c>
      <c r="Y34" s="36" t="s">
        <v>194</v>
      </c>
      <c r="Z34" s="25"/>
      <c r="AA34" s="27"/>
      <c r="AB34" s="25"/>
      <c r="AC34" s="25"/>
      <c r="AD34" s="36" t="s">
        <v>865</v>
      </c>
      <c r="AE34" s="39" t="s">
        <v>859</v>
      </c>
      <c r="AF34" s="36" t="s">
        <v>866</v>
      </c>
      <c r="AG34" s="39" t="s">
        <v>859</v>
      </c>
      <c r="AH34" s="38" t="s">
        <v>64</v>
      </c>
      <c r="AI34" s="38">
        <v>2.0</v>
      </c>
      <c r="AJ34" s="36" t="s">
        <v>867</v>
      </c>
      <c r="AK34" s="36" t="s">
        <v>868</v>
      </c>
      <c r="AL34" s="38" t="s">
        <v>869</v>
      </c>
      <c r="AM34" s="36" t="s">
        <v>870</v>
      </c>
      <c r="AN34" s="36" t="s">
        <v>69</v>
      </c>
      <c r="AO34" s="36" t="s">
        <v>55</v>
      </c>
      <c r="AP34" s="36" t="s">
        <v>70</v>
      </c>
      <c r="AQ34" s="25"/>
      <c r="AR34" s="25"/>
      <c r="AS34" s="25"/>
      <c r="AT34" s="25"/>
      <c r="AU34" s="25"/>
      <c r="AV34" s="25"/>
    </row>
    <row r="35">
      <c r="A35" s="35">
        <v>45786.8708714699</v>
      </c>
      <c r="B35" s="36" t="s">
        <v>2061</v>
      </c>
      <c r="C35" s="36" t="s">
        <v>243</v>
      </c>
      <c r="D35" s="37" t="s">
        <v>2062</v>
      </c>
      <c r="E35" s="36" t="s">
        <v>2063</v>
      </c>
      <c r="F35" s="36" t="s">
        <v>2064</v>
      </c>
      <c r="G35" s="38" t="s">
        <v>44</v>
      </c>
      <c r="H35" s="36" t="s">
        <v>45</v>
      </c>
      <c r="I35" s="36" t="s">
        <v>1096</v>
      </c>
      <c r="J35" s="38"/>
      <c r="K35" s="37" t="s">
        <v>288</v>
      </c>
      <c r="L35" s="37" t="s">
        <v>2065</v>
      </c>
      <c r="M35" s="36" t="s">
        <v>2066</v>
      </c>
      <c r="N35" s="36" t="s">
        <v>49</v>
      </c>
      <c r="O35" s="36" t="s">
        <v>2067</v>
      </c>
      <c r="P35" s="39" t="s">
        <v>2068</v>
      </c>
      <c r="Q35" s="39">
        <v>1.3092029E7</v>
      </c>
      <c r="R35" s="44" t="s">
        <v>2069</v>
      </c>
      <c r="S35" s="40" t="s">
        <v>2070</v>
      </c>
      <c r="T35" s="36" t="s">
        <v>54</v>
      </c>
      <c r="U35" s="36" t="s">
        <v>109</v>
      </c>
      <c r="V35" s="36" t="s">
        <v>54</v>
      </c>
      <c r="W35" s="36" t="s">
        <v>109</v>
      </c>
      <c r="X35" s="40" t="s">
        <v>2071</v>
      </c>
      <c r="Y35" s="22" t="s">
        <v>194</v>
      </c>
      <c r="Z35" s="43"/>
      <c r="AA35" s="27"/>
      <c r="AB35" s="25"/>
      <c r="AC35" s="25"/>
      <c r="AD35" s="36" t="s">
        <v>2064</v>
      </c>
      <c r="AE35" s="37" t="s">
        <v>2062</v>
      </c>
      <c r="AF35" s="36" t="s">
        <v>2072</v>
      </c>
      <c r="AG35" s="37" t="s">
        <v>2062</v>
      </c>
      <c r="AH35" s="38" t="s">
        <v>64</v>
      </c>
      <c r="AI35" s="38">
        <v>3.0</v>
      </c>
      <c r="AJ35" s="36" t="s">
        <v>2073</v>
      </c>
      <c r="AK35" s="36" t="s">
        <v>2074</v>
      </c>
      <c r="AL35" s="36" t="s">
        <v>2075</v>
      </c>
      <c r="AM35" s="45" t="s">
        <v>2062</v>
      </c>
      <c r="AN35" s="36" t="s">
        <v>117</v>
      </c>
      <c r="AO35" s="36" t="s">
        <v>109</v>
      </c>
      <c r="AP35" s="36" t="s">
        <v>70</v>
      </c>
      <c r="AQ35" s="25"/>
      <c r="AR35" s="25"/>
      <c r="AS35" s="25"/>
      <c r="AT35" s="25"/>
      <c r="AU35" s="25"/>
      <c r="AV35" s="25"/>
    </row>
    <row r="36">
      <c r="A36" s="6">
        <v>45786.588665347226</v>
      </c>
      <c r="B36" s="7" t="s">
        <v>1733</v>
      </c>
      <c r="C36" s="7" t="s">
        <v>893</v>
      </c>
      <c r="D36" s="10" t="s">
        <v>1734</v>
      </c>
      <c r="E36" s="7" t="s">
        <v>1735</v>
      </c>
      <c r="F36" s="7" t="s">
        <v>1736</v>
      </c>
      <c r="G36" s="9" t="s">
        <v>44</v>
      </c>
      <c r="H36" s="7" t="s">
        <v>45</v>
      </c>
      <c r="I36" s="7" t="s">
        <v>78</v>
      </c>
      <c r="J36" s="9" t="s">
        <v>2353</v>
      </c>
      <c r="K36" s="10" t="s">
        <v>1737</v>
      </c>
      <c r="L36" s="34" t="s">
        <v>2368</v>
      </c>
      <c r="M36" s="7" t="s">
        <v>1735</v>
      </c>
      <c r="N36" s="7" t="s">
        <v>49</v>
      </c>
      <c r="O36" s="7" t="s">
        <v>1736</v>
      </c>
      <c r="P36" s="8" t="s">
        <v>1739</v>
      </c>
      <c r="Q36" s="10" t="s">
        <v>1740</v>
      </c>
      <c r="R36" s="20" t="s">
        <v>1741</v>
      </c>
      <c r="S36" s="11" t="s">
        <v>1742</v>
      </c>
      <c r="T36" s="7" t="s">
        <v>54</v>
      </c>
      <c r="U36" s="7" t="s">
        <v>55</v>
      </c>
      <c r="V36" s="7" t="s">
        <v>54</v>
      </c>
      <c r="W36" s="7" t="s">
        <v>55</v>
      </c>
      <c r="X36" s="11" t="s">
        <v>1743</v>
      </c>
      <c r="Y36" s="7" t="s">
        <v>57</v>
      </c>
      <c r="Z36" s="7" t="s">
        <v>1736</v>
      </c>
      <c r="AA36" s="9" t="s">
        <v>1744</v>
      </c>
      <c r="AB36" s="7" t="s">
        <v>1745</v>
      </c>
      <c r="AC36" s="7" t="s">
        <v>1746</v>
      </c>
      <c r="AD36" s="7" t="s">
        <v>1736</v>
      </c>
      <c r="AE36" s="33" t="s">
        <v>2368</v>
      </c>
      <c r="AF36" s="7" t="s">
        <v>1747</v>
      </c>
      <c r="AG36" s="32" t="s">
        <v>1734</v>
      </c>
      <c r="AH36" s="17" t="s">
        <v>260</v>
      </c>
      <c r="AI36" s="18"/>
      <c r="AJ36" s="13"/>
      <c r="AK36" s="13"/>
      <c r="AL36" s="13"/>
      <c r="AM36" s="7" t="s">
        <v>1748</v>
      </c>
      <c r="AN36" s="7" t="s">
        <v>117</v>
      </c>
      <c r="AO36" s="7" t="s">
        <v>55</v>
      </c>
      <c r="AP36" s="7" t="s">
        <v>70</v>
      </c>
      <c r="AQ36" s="13"/>
      <c r="AR36" s="13"/>
      <c r="AS36" s="13"/>
      <c r="AT36" s="13"/>
      <c r="AU36" s="13"/>
      <c r="AV36" s="13"/>
    </row>
    <row r="37">
      <c r="A37" s="6">
        <v>45786.82495659722</v>
      </c>
      <c r="B37" s="7" t="s">
        <v>1949</v>
      </c>
      <c r="C37" s="7" t="s">
        <v>1950</v>
      </c>
      <c r="D37" s="10" t="s">
        <v>1951</v>
      </c>
      <c r="E37" s="7" t="s">
        <v>1952</v>
      </c>
      <c r="F37" s="7" t="s">
        <v>1953</v>
      </c>
      <c r="G37" s="9" t="s">
        <v>76</v>
      </c>
      <c r="H37" s="7" t="s">
        <v>45</v>
      </c>
      <c r="I37" s="7" t="s">
        <v>141</v>
      </c>
      <c r="J37" s="9" t="s">
        <v>2348</v>
      </c>
      <c r="K37" s="8">
        <v>1.2122008E7</v>
      </c>
      <c r="L37" s="31" t="s">
        <v>1954</v>
      </c>
      <c r="M37" s="7" t="s">
        <v>1955</v>
      </c>
      <c r="N37" s="7" t="s">
        <v>49</v>
      </c>
      <c r="O37" s="7" t="s">
        <v>1953</v>
      </c>
      <c r="P37" s="8" t="s">
        <v>1956</v>
      </c>
      <c r="Q37" s="8">
        <v>3.0072029E7</v>
      </c>
      <c r="R37" s="11" t="s">
        <v>1957</v>
      </c>
      <c r="S37" s="11" t="s">
        <v>1958</v>
      </c>
      <c r="T37" s="7" t="s">
        <v>54</v>
      </c>
      <c r="U37" s="7" t="s">
        <v>55</v>
      </c>
      <c r="V37" s="7" t="s">
        <v>54</v>
      </c>
      <c r="W37" s="7" t="s">
        <v>55</v>
      </c>
      <c r="X37" s="11" t="s">
        <v>1959</v>
      </c>
      <c r="Y37" s="7" t="s">
        <v>57</v>
      </c>
      <c r="Z37" s="7" t="s">
        <v>1953</v>
      </c>
      <c r="AA37" s="9" t="s">
        <v>1960</v>
      </c>
      <c r="AB37" s="7" t="s">
        <v>1961</v>
      </c>
      <c r="AC37" s="7" t="s">
        <v>1962</v>
      </c>
      <c r="AD37" s="7" t="s">
        <v>1953</v>
      </c>
      <c r="AE37" s="32" t="s">
        <v>1954</v>
      </c>
      <c r="AF37" s="7" t="s">
        <v>1963</v>
      </c>
      <c r="AG37" s="32" t="s">
        <v>1951</v>
      </c>
      <c r="AH37" s="9" t="s">
        <v>64</v>
      </c>
      <c r="AI37" s="9">
        <v>2.0</v>
      </c>
      <c r="AJ37" s="7" t="s">
        <v>1964</v>
      </c>
      <c r="AK37" s="7" t="s">
        <v>932</v>
      </c>
      <c r="AL37" s="7" t="s">
        <v>932</v>
      </c>
      <c r="AM37" s="7" t="s">
        <v>1965</v>
      </c>
      <c r="AN37" s="7" t="s">
        <v>501</v>
      </c>
      <c r="AO37" s="7" t="s">
        <v>55</v>
      </c>
      <c r="AP37" s="7" t="s">
        <v>70</v>
      </c>
      <c r="AQ37" s="13"/>
      <c r="AR37" s="13"/>
      <c r="AS37" s="13"/>
      <c r="AT37" s="13"/>
      <c r="AU37" s="13"/>
      <c r="AV37" s="13"/>
    </row>
    <row r="38">
      <c r="A38" s="6">
        <v>45784.8854602662</v>
      </c>
      <c r="B38" s="7" t="s">
        <v>283</v>
      </c>
      <c r="C38" s="7" t="s">
        <v>284</v>
      </c>
      <c r="D38" s="10" t="s">
        <v>285</v>
      </c>
      <c r="E38" s="7" t="s">
        <v>286</v>
      </c>
      <c r="F38" s="7" t="s">
        <v>287</v>
      </c>
      <c r="G38" s="9" t="s">
        <v>44</v>
      </c>
      <c r="H38" s="7" t="s">
        <v>45</v>
      </c>
      <c r="I38" s="7" t="s">
        <v>78</v>
      </c>
      <c r="J38" s="9" t="s">
        <v>2352</v>
      </c>
      <c r="K38" s="10" t="s">
        <v>288</v>
      </c>
      <c r="L38" s="31" t="s">
        <v>289</v>
      </c>
      <c r="M38" s="7" t="s">
        <v>290</v>
      </c>
      <c r="N38" s="7" t="s">
        <v>49</v>
      </c>
      <c r="O38" s="7" t="s">
        <v>287</v>
      </c>
      <c r="P38" s="8" t="s">
        <v>291</v>
      </c>
      <c r="Q38" s="8">
        <v>1.7052028E7</v>
      </c>
      <c r="R38" s="11" t="s">
        <v>292</v>
      </c>
      <c r="S38" s="11" t="s">
        <v>293</v>
      </c>
      <c r="T38" s="7" t="s">
        <v>54</v>
      </c>
      <c r="U38" s="7" t="s">
        <v>55</v>
      </c>
      <c r="V38" s="7" t="s">
        <v>54</v>
      </c>
      <c r="W38" s="7" t="s">
        <v>55</v>
      </c>
      <c r="X38" s="11" t="s">
        <v>294</v>
      </c>
      <c r="Y38" s="7" t="s">
        <v>57</v>
      </c>
      <c r="Z38" s="7" t="s">
        <v>287</v>
      </c>
      <c r="AA38" s="12" t="s">
        <v>295</v>
      </c>
      <c r="AB38" s="7" t="s">
        <v>296</v>
      </c>
      <c r="AC38" s="7" t="s">
        <v>297</v>
      </c>
      <c r="AD38" s="7" t="s">
        <v>287</v>
      </c>
      <c r="AE38" s="32" t="s">
        <v>289</v>
      </c>
      <c r="AF38" s="7" t="s">
        <v>298</v>
      </c>
      <c r="AG38" s="32" t="s">
        <v>285</v>
      </c>
      <c r="AH38" s="9" t="s">
        <v>64</v>
      </c>
      <c r="AI38" s="9">
        <v>2.0</v>
      </c>
      <c r="AJ38" s="7" t="s">
        <v>299</v>
      </c>
      <c r="AK38" s="7" t="s">
        <v>299</v>
      </c>
      <c r="AL38" s="9" t="s">
        <v>299</v>
      </c>
      <c r="AM38" s="7" t="s">
        <v>300</v>
      </c>
      <c r="AN38" s="7" t="s">
        <v>157</v>
      </c>
      <c r="AO38" s="7" t="s">
        <v>55</v>
      </c>
      <c r="AP38" s="7" t="s">
        <v>70</v>
      </c>
      <c r="AQ38" s="13"/>
      <c r="AR38" s="13"/>
      <c r="AS38" s="13"/>
      <c r="AT38" s="13"/>
      <c r="AU38" s="13"/>
      <c r="AV38" s="13"/>
    </row>
    <row r="39">
      <c r="A39" s="6">
        <v>45784.95174885417</v>
      </c>
      <c r="B39" s="7" t="s">
        <v>478</v>
      </c>
      <c r="C39" s="7" t="s">
        <v>119</v>
      </c>
      <c r="D39" s="10" t="s">
        <v>479</v>
      </c>
      <c r="E39" s="7" t="s">
        <v>480</v>
      </c>
      <c r="F39" s="7" t="s">
        <v>481</v>
      </c>
      <c r="G39" s="9" t="s">
        <v>44</v>
      </c>
      <c r="H39" s="7" t="s">
        <v>45</v>
      </c>
      <c r="I39" s="7" t="s">
        <v>78</v>
      </c>
      <c r="J39" s="9" t="s">
        <v>2348</v>
      </c>
      <c r="K39" s="10" t="s">
        <v>482</v>
      </c>
      <c r="L39" s="31" t="s">
        <v>483</v>
      </c>
      <c r="M39" s="7" t="s">
        <v>484</v>
      </c>
      <c r="N39" s="7" t="s">
        <v>49</v>
      </c>
      <c r="O39" s="7" t="s">
        <v>481</v>
      </c>
      <c r="P39" s="8" t="s">
        <v>485</v>
      </c>
      <c r="Q39" s="8">
        <v>1.8032028E7</v>
      </c>
      <c r="R39" s="20" t="s">
        <v>486</v>
      </c>
      <c r="S39" s="11" t="s">
        <v>487</v>
      </c>
      <c r="T39" s="14" t="s">
        <v>54</v>
      </c>
      <c r="U39" s="14" t="s">
        <v>55</v>
      </c>
      <c r="V39" s="14" t="s">
        <v>488</v>
      </c>
      <c r="W39" s="14" t="s">
        <v>488</v>
      </c>
      <c r="X39" s="11" t="s">
        <v>489</v>
      </c>
      <c r="Y39" s="7" t="s">
        <v>57</v>
      </c>
      <c r="Z39" s="7" t="s">
        <v>490</v>
      </c>
      <c r="AA39" s="9" t="s">
        <v>491</v>
      </c>
      <c r="AB39" s="7" t="s">
        <v>492</v>
      </c>
      <c r="AC39" s="7" t="s">
        <v>493</v>
      </c>
      <c r="AD39" s="7" t="s">
        <v>490</v>
      </c>
      <c r="AE39" s="32" t="s">
        <v>2369</v>
      </c>
      <c r="AF39" s="7" t="s">
        <v>495</v>
      </c>
      <c r="AG39" s="32" t="s">
        <v>479</v>
      </c>
      <c r="AH39" s="9" t="s">
        <v>64</v>
      </c>
      <c r="AI39" s="9">
        <v>1.0</v>
      </c>
      <c r="AJ39" s="7" t="s">
        <v>497</v>
      </c>
      <c r="AK39" s="7" t="s">
        <v>498</v>
      </c>
      <c r="AL39" s="9" t="s">
        <v>499</v>
      </c>
      <c r="AM39" s="7" t="s">
        <v>500</v>
      </c>
      <c r="AN39" s="7" t="s">
        <v>501</v>
      </c>
      <c r="AO39" s="7" t="s">
        <v>109</v>
      </c>
      <c r="AP39" s="7" t="s">
        <v>70</v>
      </c>
      <c r="AQ39" s="13"/>
      <c r="AR39" s="13"/>
      <c r="AS39" s="13"/>
      <c r="AT39" s="13"/>
      <c r="AU39" s="13"/>
      <c r="AV39" s="13"/>
    </row>
    <row r="40">
      <c r="A40" s="6">
        <v>45785.51687841435</v>
      </c>
      <c r="B40" s="7" t="s">
        <v>802</v>
      </c>
      <c r="C40" s="7" t="s">
        <v>803</v>
      </c>
      <c r="D40" s="10" t="s">
        <v>804</v>
      </c>
      <c r="E40" s="7" t="s">
        <v>805</v>
      </c>
      <c r="F40" s="7" t="s">
        <v>806</v>
      </c>
      <c r="G40" s="9" t="s">
        <v>76</v>
      </c>
      <c r="H40" s="7" t="s">
        <v>101</v>
      </c>
      <c r="I40" s="7" t="s">
        <v>78</v>
      </c>
      <c r="J40" s="7"/>
      <c r="K40" s="8" t="s">
        <v>807</v>
      </c>
      <c r="L40" s="32" t="s">
        <v>808</v>
      </c>
      <c r="M40" s="7" t="s">
        <v>805</v>
      </c>
      <c r="N40" s="7" t="s">
        <v>49</v>
      </c>
      <c r="O40" s="7" t="s">
        <v>809</v>
      </c>
      <c r="P40" s="8" t="s">
        <v>810</v>
      </c>
      <c r="Q40" s="8" t="s">
        <v>811</v>
      </c>
      <c r="R40" s="11" t="s">
        <v>812</v>
      </c>
      <c r="S40" s="11" t="s">
        <v>813</v>
      </c>
      <c r="T40" s="14" t="s">
        <v>54</v>
      </c>
      <c r="U40" s="14" t="s">
        <v>55</v>
      </c>
      <c r="V40" s="14" t="s">
        <v>54</v>
      </c>
      <c r="W40" s="14" t="s">
        <v>814</v>
      </c>
      <c r="X40" s="11" t="s">
        <v>815</v>
      </c>
      <c r="Y40" s="7" t="s">
        <v>57</v>
      </c>
      <c r="Z40" s="7" t="s">
        <v>809</v>
      </c>
      <c r="AA40" s="9" t="s">
        <v>816</v>
      </c>
      <c r="AB40" s="7" t="s">
        <v>817</v>
      </c>
      <c r="AC40" s="7" t="s">
        <v>818</v>
      </c>
      <c r="AD40" s="7" t="s">
        <v>809</v>
      </c>
      <c r="AE40" s="32" t="s">
        <v>808</v>
      </c>
      <c r="AF40" s="7" t="s">
        <v>819</v>
      </c>
      <c r="AG40" s="32" t="s">
        <v>804</v>
      </c>
      <c r="AH40" s="9" t="s">
        <v>64</v>
      </c>
      <c r="AI40" s="9">
        <v>2.0</v>
      </c>
      <c r="AJ40" s="7" t="s">
        <v>819</v>
      </c>
      <c r="AK40" s="7" t="s">
        <v>299</v>
      </c>
      <c r="AL40" s="9" t="s">
        <v>299</v>
      </c>
      <c r="AM40" s="7" t="s">
        <v>819</v>
      </c>
      <c r="AN40" s="7" t="s">
        <v>95</v>
      </c>
      <c r="AO40" s="7" t="s">
        <v>55</v>
      </c>
      <c r="AP40" s="7" t="s">
        <v>70</v>
      </c>
      <c r="AQ40" s="13"/>
      <c r="AR40" s="13"/>
      <c r="AS40" s="13"/>
      <c r="AT40" s="13"/>
      <c r="AU40" s="13"/>
      <c r="AV40" s="13"/>
    </row>
    <row r="41">
      <c r="A41" s="6">
        <v>45785.86666509259</v>
      </c>
      <c r="B41" s="7" t="s">
        <v>1073</v>
      </c>
      <c r="C41" s="7" t="s">
        <v>1074</v>
      </c>
      <c r="D41" s="8" t="s">
        <v>1075</v>
      </c>
      <c r="E41" s="7" t="s">
        <v>1076</v>
      </c>
      <c r="F41" s="7" t="s">
        <v>1077</v>
      </c>
      <c r="G41" s="9" t="s">
        <v>44</v>
      </c>
      <c r="H41" s="7" t="s">
        <v>77</v>
      </c>
      <c r="I41" s="7" t="s">
        <v>46</v>
      </c>
      <c r="J41" s="9" t="s">
        <v>2366</v>
      </c>
      <c r="K41" s="10" t="s">
        <v>1078</v>
      </c>
      <c r="L41" s="34" t="s">
        <v>2370</v>
      </c>
      <c r="M41" s="7" t="s">
        <v>1080</v>
      </c>
      <c r="N41" s="7" t="s">
        <v>49</v>
      </c>
      <c r="O41" s="7" t="s">
        <v>1077</v>
      </c>
      <c r="P41" s="8" t="s">
        <v>1081</v>
      </c>
      <c r="Q41" s="8" t="s">
        <v>1082</v>
      </c>
      <c r="R41" s="11" t="s">
        <v>1083</v>
      </c>
      <c r="S41" s="11" t="s">
        <v>1084</v>
      </c>
      <c r="T41" s="7" t="s">
        <v>54</v>
      </c>
      <c r="U41" s="7" t="s">
        <v>55</v>
      </c>
      <c r="V41" s="7" t="s">
        <v>54</v>
      </c>
      <c r="W41" s="7" t="s">
        <v>55</v>
      </c>
      <c r="X41" s="11" t="s">
        <v>1085</v>
      </c>
      <c r="Y41" s="7" t="s">
        <v>57</v>
      </c>
      <c r="Z41" s="7" t="s">
        <v>1077</v>
      </c>
      <c r="AA41" s="9" t="s">
        <v>1086</v>
      </c>
      <c r="AB41" s="7" t="s">
        <v>1087</v>
      </c>
      <c r="AC41" s="7" t="s">
        <v>112</v>
      </c>
      <c r="AD41" s="7" t="s">
        <v>1077</v>
      </c>
      <c r="AE41" s="32" t="s">
        <v>2371</v>
      </c>
      <c r="AF41" s="7" t="s">
        <v>1088</v>
      </c>
      <c r="AG41" s="32" t="s">
        <v>2372</v>
      </c>
      <c r="AH41" s="17" t="s">
        <v>260</v>
      </c>
      <c r="AI41" s="18"/>
      <c r="AJ41" s="13"/>
      <c r="AK41" s="13"/>
      <c r="AL41" s="16"/>
      <c r="AM41" s="7" t="s">
        <v>1089</v>
      </c>
      <c r="AN41" s="7" t="s">
        <v>1090</v>
      </c>
      <c r="AO41" s="7" t="s">
        <v>55</v>
      </c>
      <c r="AP41" s="7" t="s">
        <v>70</v>
      </c>
      <c r="AQ41" s="13"/>
      <c r="AR41" s="13"/>
      <c r="AS41" s="13"/>
      <c r="AT41" s="13"/>
      <c r="AU41" s="13"/>
      <c r="AV41" s="13"/>
    </row>
    <row r="42">
      <c r="A42" s="6">
        <v>45785.542156944444</v>
      </c>
      <c r="B42" s="7" t="s">
        <v>836</v>
      </c>
      <c r="C42" s="7" t="s">
        <v>837</v>
      </c>
      <c r="D42" s="10" t="s">
        <v>838</v>
      </c>
      <c r="E42" s="7" t="s">
        <v>839</v>
      </c>
      <c r="F42" s="7" t="s">
        <v>840</v>
      </c>
      <c r="G42" s="9" t="s">
        <v>76</v>
      </c>
      <c r="H42" s="7" t="s">
        <v>101</v>
      </c>
      <c r="I42" s="7" t="s">
        <v>78</v>
      </c>
      <c r="J42" s="7"/>
      <c r="K42" s="10" t="s">
        <v>841</v>
      </c>
      <c r="L42" s="31" t="s">
        <v>838</v>
      </c>
      <c r="M42" s="7" t="s">
        <v>839</v>
      </c>
      <c r="N42" s="7" t="s">
        <v>49</v>
      </c>
      <c r="O42" s="7" t="s">
        <v>842</v>
      </c>
      <c r="P42" s="8" t="s">
        <v>843</v>
      </c>
      <c r="Q42" s="8">
        <v>2.4092027E7</v>
      </c>
      <c r="R42" s="11" t="s">
        <v>844</v>
      </c>
      <c r="S42" s="11" t="s">
        <v>845</v>
      </c>
      <c r="T42" s="7" t="s">
        <v>54</v>
      </c>
      <c r="U42" s="7" t="s">
        <v>55</v>
      </c>
      <c r="V42" s="7" t="s">
        <v>846</v>
      </c>
      <c r="W42" s="7" t="s">
        <v>55</v>
      </c>
      <c r="X42" s="11" t="s">
        <v>847</v>
      </c>
      <c r="Y42" s="14" t="s">
        <v>194</v>
      </c>
      <c r="Z42" s="15"/>
      <c r="AA42" s="16"/>
      <c r="AB42" s="13"/>
      <c r="AC42" s="13"/>
      <c r="AD42" s="7" t="s">
        <v>840</v>
      </c>
      <c r="AE42" s="32" t="s">
        <v>2373</v>
      </c>
      <c r="AF42" s="7" t="s">
        <v>848</v>
      </c>
      <c r="AG42" s="32" t="s">
        <v>838</v>
      </c>
      <c r="AH42" s="9" t="s">
        <v>64</v>
      </c>
      <c r="AI42" s="9">
        <v>2.0</v>
      </c>
      <c r="AJ42" s="7" t="s">
        <v>849</v>
      </c>
      <c r="AK42" s="7" t="s">
        <v>850</v>
      </c>
      <c r="AL42" s="9" t="s">
        <v>851</v>
      </c>
      <c r="AM42" s="7" t="s">
        <v>848</v>
      </c>
      <c r="AN42" s="7" t="s">
        <v>117</v>
      </c>
      <c r="AO42" s="7" t="s">
        <v>852</v>
      </c>
      <c r="AP42" s="7" t="s">
        <v>70</v>
      </c>
      <c r="AQ42" s="13"/>
      <c r="AR42" s="13"/>
      <c r="AS42" s="13"/>
      <c r="AT42" s="13"/>
      <c r="AU42" s="13"/>
      <c r="AV42" s="13"/>
    </row>
    <row r="43">
      <c r="A43" s="6">
        <v>45784.89381829861</v>
      </c>
      <c r="B43" s="7" t="s">
        <v>317</v>
      </c>
      <c r="C43" s="7" t="s">
        <v>318</v>
      </c>
      <c r="D43" s="8" t="s">
        <v>319</v>
      </c>
      <c r="E43" s="7" t="s">
        <v>320</v>
      </c>
      <c r="F43" s="7" t="s">
        <v>321</v>
      </c>
      <c r="G43" s="9" t="s">
        <v>76</v>
      </c>
      <c r="H43" s="7" t="s">
        <v>77</v>
      </c>
      <c r="I43" s="7" t="s">
        <v>322</v>
      </c>
      <c r="J43" s="7"/>
      <c r="K43" s="10" t="s">
        <v>323</v>
      </c>
      <c r="L43" s="31" t="s">
        <v>333</v>
      </c>
      <c r="M43" s="7" t="s">
        <v>320</v>
      </c>
      <c r="N43" s="7" t="s">
        <v>49</v>
      </c>
      <c r="O43" s="7" t="s">
        <v>321</v>
      </c>
      <c r="P43" s="8" t="s">
        <v>325</v>
      </c>
      <c r="Q43" s="8" t="s">
        <v>326</v>
      </c>
      <c r="R43" s="11" t="s">
        <v>327</v>
      </c>
      <c r="S43" s="11" t="s">
        <v>328</v>
      </c>
      <c r="T43" s="7" t="s">
        <v>54</v>
      </c>
      <c r="U43" s="7" t="s">
        <v>109</v>
      </c>
      <c r="V43" s="7" t="s">
        <v>54</v>
      </c>
      <c r="W43" s="7" t="s">
        <v>109</v>
      </c>
      <c r="X43" s="11" t="s">
        <v>329</v>
      </c>
      <c r="Y43" s="7" t="s">
        <v>57</v>
      </c>
      <c r="Z43" s="7" t="s">
        <v>321</v>
      </c>
      <c r="AA43" s="9" t="s">
        <v>330</v>
      </c>
      <c r="AB43" s="7" t="s">
        <v>331</v>
      </c>
      <c r="AC43" s="7" t="s">
        <v>332</v>
      </c>
      <c r="AD43" s="7" t="s">
        <v>321</v>
      </c>
      <c r="AE43" s="32" t="s">
        <v>333</v>
      </c>
      <c r="AF43" s="7" t="s">
        <v>334</v>
      </c>
      <c r="AG43" s="33" t="s">
        <v>319</v>
      </c>
      <c r="AH43" s="9" t="s">
        <v>64</v>
      </c>
      <c r="AI43" s="9">
        <v>2.0</v>
      </c>
      <c r="AJ43" s="7" t="s">
        <v>335</v>
      </c>
      <c r="AK43" s="7" t="s">
        <v>336</v>
      </c>
      <c r="AL43" s="9" t="s">
        <v>337</v>
      </c>
      <c r="AM43" s="42" t="s">
        <v>338</v>
      </c>
      <c r="AN43" s="7" t="s">
        <v>157</v>
      </c>
      <c r="AO43" s="7" t="s">
        <v>109</v>
      </c>
      <c r="AP43" s="7" t="s">
        <v>70</v>
      </c>
      <c r="AQ43" s="13"/>
      <c r="AR43" s="13"/>
      <c r="AS43" s="13"/>
      <c r="AT43" s="13"/>
      <c r="AU43" s="13"/>
      <c r="AV43" s="13"/>
    </row>
    <row r="44">
      <c r="A44" s="6">
        <v>45786.64409878472</v>
      </c>
      <c r="B44" s="7" t="s">
        <v>1771</v>
      </c>
      <c r="C44" s="7" t="s">
        <v>769</v>
      </c>
      <c r="D44" s="10" t="s">
        <v>1772</v>
      </c>
      <c r="E44" s="7" t="s">
        <v>1773</v>
      </c>
      <c r="F44" s="7" t="s">
        <v>1774</v>
      </c>
      <c r="G44" s="9" t="s">
        <v>76</v>
      </c>
      <c r="H44" s="7" t="s">
        <v>45</v>
      </c>
      <c r="I44" s="7" t="s">
        <v>322</v>
      </c>
      <c r="J44" s="9" t="s">
        <v>2374</v>
      </c>
      <c r="K44" s="8" t="s">
        <v>1775</v>
      </c>
      <c r="L44" s="32" t="s">
        <v>1776</v>
      </c>
      <c r="M44" s="7" t="s">
        <v>1777</v>
      </c>
      <c r="N44" s="7" t="s">
        <v>49</v>
      </c>
      <c r="O44" s="7" t="s">
        <v>1774</v>
      </c>
      <c r="P44" s="8" t="s">
        <v>1778</v>
      </c>
      <c r="Q44" s="10" t="s">
        <v>1779</v>
      </c>
      <c r="R44" s="11" t="s">
        <v>1780</v>
      </c>
      <c r="S44" s="11" t="s">
        <v>1781</v>
      </c>
      <c r="T44" s="7" t="s">
        <v>54</v>
      </c>
      <c r="U44" s="7" t="s">
        <v>55</v>
      </c>
      <c r="V44" s="7" t="s">
        <v>54</v>
      </c>
      <c r="W44" s="7" t="s">
        <v>55</v>
      </c>
      <c r="X44" s="11" t="s">
        <v>1782</v>
      </c>
      <c r="Y44" s="7" t="s">
        <v>57</v>
      </c>
      <c r="Z44" s="7" t="s">
        <v>1783</v>
      </c>
      <c r="AA44" s="9" t="s">
        <v>1784</v>
      </c>
      <c r="AB44" s="7" t="s">
        <v>1785</v>
      </c>
      <c r="AC44" s="7" t="s">
        <v>1786</v>
      </c>
      <c r="AD44" s="7" t="s">
        <v>1783</v>
      </c>
      <c r="AE44" s="32" t="s">
        <v>1776</v>
      </c>
      <c r="AF44" s="7" t="s">
        <v>1787</v>
      </c>
      <c r="AG44" s="32" t="s">
        <v>1772</v>
      </c>
      <c r="AH44" s="17" t="s">
        <v>260</v>
      </c>
      <c r="AI44" s="18"/>
      <c r="AJ44" s="13"/>
      <c r="AK44" s="13"/>
      <c r="AL44" s="13"/>
      <c r="AM44" s="7" t="s">
        <v>1788</v>
      </c>
      <c r="AN44" s="7" t="s">
        <v>501</v>
      </c>
      <c r="AO44" s="7" t="s">
        <v>55</v>
      </c>
      <c r="AP44" s="7" t="s">
        <v>70</v>
      </c>
      <c r="AQ44" s="13"/>
      <c r="AR44" s="13"/>
      <c r="AS44" s="13"/>
      <c r="AT44" s="13"/>
      <c r="AU44" s="13"/>
      <c r="AV44" s="13"/>
    </row>
    <row r="45">
      <c r="A45" s="35">
        <v>45785.652358437495</v>
      </c>
      <c r="B45" s="36" t="s">
        <v>892</v>
      </c>
      <c r="C45" s="36" t="s">
        <v>893</v>
      </c>
      <c r="D45" s="37" t="s">
        <v>894</v>
      </c>
      <c r="E45" s="36" t="s">
        <v>895</v>
      </c>
      <c r="F45" s="36" t="s">
        <v>896</v>
      </c>
      <c r="G45" s="38" t="s">
        <v>76</v>
      </c>
      <c r="H45" s="36" t="s">
        <v>101</v>
      </c>
      <c r="I45" s="36" t="s">
        <v>102</v>
      </c>
      <c r="J45" s="36"/>
      <c r="K45" s="37" t="s">
        <v>897</v>
      </c>
      <c r="L45" s="37" t="s">
        <v>898</v>
      </c>
      <c r="M45" s="36" t="s">
        <v>899</v>
      </c>
      <c r="N45" s="36" t="s">
        <v>49</v>
      </c>
      <c r="O45" s="36" t="s">
        <v>896</v>
      </c>
      <c r="P45" s="39" t="s">
        <v>900</v>
      </c>
      <c r="Q45" s="37" t="s">
        <v>901</v>
      </c>
      <c r="R45" s="40" t="s">
        <v>902</v>
      </c>
      <c r="S45" s="40" t="s">
        <v>903</v>
      </c>
      <c r="T45" s="36" t="s">
        <v>54</v>
      </c>
      <c r="U45" s="36" t="s">
        <v>55</v>
      </c>
      <c r="V45" s="36" t="s">
        <v>54</v>
      </c>
      <c r="W45" s="36" t="s">
        <v>55</v>
      </c>
      <c r="X45" s="40" t="s">
        <v>904</v>
      </c>
      <c r="Y45" s="36" t="s">
        <v>57</v>
      </c>
      <c r="Z45" s="36" t="s">
        <v>896</v>
      </c>
      <c r="AA45" s="38" t="s">
        <v>905</v>
      </c>
      <c r="AB45" s="36" t="s">
        <v>354</v>
      </c>
      <c r="AC45" s="36" t="s">
        <v>906</v>
      </c>
      <c r="AD45" s="36" t="s">
        <v>896</v>
      </c>
      <c r="AE45" s="37" t="s">
        <v>898</v>
      </c>
      <c r="AF45" s="36" t="s">
        <v>892</v>
      </c>
      <c r="AG45" s="37" t="s">
        <v>894</v>
      </c>
      <c r="AH45" s="38" t="s">
        <v>64</v>
      </c>
      <c r="AI45" s="38">
        <v>2.0</v>
      </c>
      <c r="AJ45" s="36" t="s">
        <v>907</v>
      </c>
      <c r="AK45" s="36" t="s">
        <v>908</v>
      </c>
      <c r="AL45" s="38" t="s">
        <v>909</v>
      </c>
      <c r="AM45" s="36" t="s">
        <v>910</v>
      </c>
      <c r="AN45" s="36" t="s">
        <v>117</v>
      </c>
      <c r="AO45" s="36" t="s">
        <v>55</v>
      </c>
      <c r="AP45" s="36" t="s">
        <v>70</v>
      </c>
      <c r="AQ45" s="25"/>
      <c r="AR45" s="25"/>
      <c r="AS45" s="25"/>
      <c r="AT45" s="25"/>
      <c r="AU45" s="25"/>
      <c r="AV45" s="25"/>
    </row>
    <row r="46">
      <c r="A46" s="6">
        <v>45784.92611373843</v>
      </c>
      <c r="B46" s="7" t="s">
        <v>409</v>
      </c>
      <c r="C46" s="7" t="s">
        <v>410</v>
      </c>
      <c r="D46" s="10" t="s">
        <v>411</v>
      </c>
      <c r="E46" s="7" t="s">
        <v>412</v>
      </c>
      <c r="F46" s="7" t="s">
        <v>410</v>
      </c>
      <c r="G46" s="9" t="s">
        <v>76</v>
      </c>
      <c r="H46" s="7" t="s">
        <v>45</v>
      </c>
      <c r="I46" s="7" t="s">
        <v>322</v>
      </c>
      <c r="J46" s="9" t="s">
        <v>2366</v>
      </c>
      <c r="K46" s="8">
        <v>2.4042007E7</v>
      </c>
      <c r="L46" s="31" t="s">
        <v>411</v>
      </c>
      <c r="M46" s="7" t="s">
        <v>412</v>
      </c>
      <c r="N46" s="7" t="s">
        <v>49</v>
      </c>
      <c r="O46" s="7" t="s">
        <v>413</v>
      </c>
      <c r="P46" s="8" t="s">
        <v>414</v>
      </c>
      <c r="Q46" s="8">
        <v>1.3112029E7</v>
      </c>
      <c r="R46" s="11" t="s">
        <v>415</v>
      </c>
      <c r="S46" s="11" t="s">
        <v>416</v>
      </c>
      <c r="T46" s="7" t="s">
        <v>54</v>
      </c>
      <c r="U46" s="7" t="s">
        <v>55</v>
      </c>
      <c r="V46" s="7" t="s">
        <v>54</v>
      </c>
      <c r="W46" s="7" t="s">
        <v>55</v>
      </c>
      <c r="X46" s="11" t="s">
        <v>417</v>
      </c>
      <c r="Y46" s="7" t="s">
        <v>57</v>
      </c>
      <c r="Z46" s="7" t="s">
        <v>409</v>
      </c>
      <c r="AA46" s="9" t="s">
        <v>418</v>
      </c>
      <c r="AB46" s="7" t="s">
        <v>419</v>
      </c>
      <c r="AC46" s="7" t="s">
        <v>420</v>
      </c>
      <c r="AD46" s="7" t="s">
        <v>409</v>
      </c>
      <c r="AE46" s="33" t="s">
        <v>421</v>
      </c>
      <c r="AF46" s="7" t="s">
        <v>422</v>
      </c>
      <c r="AG46" s="8">
        <v>9.999999999E9</v>
      </c>
      <c r="AH46" s="17" t="s">
        <v>260</v>
      </c>
      <c r="AI46" s="18"/>
      <c r="AJ46" s="13"/>
      <c r="AK46" s="13"/>
      <c r="AL46" s="16"/>
      <c r="AM46" s="19" t="s">
        <v>411</v>
      </c>
      <c r="AN46" s="46" t="s">
        <v>2375</v>
      </c>
      <c r="AO46" s="7" t="s">
        <v>55</v>
      </c>
      <c r="AP46" s="7" t="s">
        <v>70</v>
      </c>
      <c r="AQ46" s="13"/>
      <c r="AR46" s="13"/>
      <c r="AS46" s="13"/>
      <c r="AT46" s="13"/>
      <c r="AU46" s="13"/>
      <c r="AV46" s="13"/>
    </row>
    <row r="47" hidden="1">
      <c r="A47" s="21">
        <v>45787.64622386574</v>
      </c>
      <c r="B47" s="22" t="s">
        <v>2220</v>
      </c>
      <c r="C47" s="22" t="s">
        <v>936</v>
      </c>
      <c r="D47" s="23" t="s">
        <v>2221</v>
      </c>
      <c r="E47" s="22" t="s">
        <v>2222</v>
      </c>
      <c r="F47" s="22" t="s">
        <v>2223</v>
      </c>
      <c r="G47" s="24" t="s">
        <v>76</v>
      </c>
      <c r="H47" s="22" t="s">
        <v>45</v>
      </c>
      <c r="I47" s="22" t="s">
        <v>322</v>
      </c>
      <c r="J47" s="24"/>
      <c r="K47" s="28">
        <v>1.7012009E7</v>
      </c>
      <c r="L47" s="23" t="s">
        <v>2224</v>
      </c>
      <c r="M47" s="22" t="s">
        <v>2225</v>
      </c>
      <c r="N47" s="22" t="s">
        <v>1072</v>
      </c>
      <c r="O47" s="25"/>
      <c r="P47" s="26"/>
      <c r="Q47" s="26"/>
      <c r="R47" s="25"/>
      <c r="S47" s="25"/>
      <c r="T47" s="25"/>
      <c r="U47" s="25"/>
      <c r="V47" s="25"/>
      <c r="W47" s="25"/>
      <c r="X47" s="25"/>
      <c r="Y47" s="25"/>
      <c r="Z47" s="25"/>
      <c r="AA47" s="27"/>
      <c r="AB47" s="25"/>
      <c r="AC47" s="25"/>
      <c r="AD47" s="25"/>
      <c r="AE47" s="26"/>
      <c r="AF47" s="25"/>
      <c r="AG47" s="26"/>
      <c r="AH47" s="27"/>
      <c r="AI47" s="27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>
      <c r="A48" s="6">
        <v>45785.68235458333</v>
      </c>
      <c r="B48" s="7" t="s">
        <v>224</v>
      </c>
      <c r="C48" s="7" t="s">
        <v>225</v>
      </c>
      <c r="D48" s="10" t="s">
        <v>226</v>
      </c>
      <c r="E48" s="7" t="s">
        <v>227</v>
      </c>
      <c r="F48" s="7" t="s">
        <v>955</v>
      </c>
      <c r="G48" s="9" t="s">
        <v>76</v>
      </c>
      <c r="H48" s="7" t="s">
        <v>101</v>
      </c>
      <c r="I48" s="7" t="s">
        <v>78</v>
      </c>
      <c r="J48" s="7"/>
      <c r="K48" s="10" t="s">
        <v>956</v>
      </c>
      <c r="L48" s="31" t="s">
        <v>957</v>
      </c>
      <c r="M48" s="7" t="s">
        <v>227</v>
      </c>
      <c r="N48" s="7" t="s">
        <v>49</v>
      </c>
      <c r="O48" s="7" t="s">
        <v>955</v>
      </c>
      <c r="P48" s="8" t="s">
        <v>958</v>
      </c>
      <c r="Q48" s="8" t="s">
        <v>959</v>
      </c>
      <c r="R48" s="11" t="s">
        <v>960</v>
      </c>
      <c r="S48" s="11" t="s">
        <v>961</v>
      </c>
      <c r="T48" s="7" t="s">
        <v>54</v>
      </c>
      <c r="U48" s="7" t="s">
        <v>55</v>
      </c>
      <c r="V48" s="7" t="s">
        <v>54</v>
      </c>
      <c r="W48" s="7" t="s">
        <v>55</v>
      </c>
      <c r="X48" s="11" t="s">
        <v>962</v>
      </c>
      <c r="Y48" s="14" t="s">
        <v>194</v>
      </c>
      <c r="Z48" s="15"/>
      <c r="AA48" s="16"/>
      <c r="AB48" s="13"/>
      <c r="AC48" s="13"/>
      <c r="AD48" s="7" t="s">
        <v>955</v>
      </c>
      <c r="AE48" s="32" t="s">
        <v>957</v>
      </c>
      <c r="AF48" s="7" t="s">
        <v>963</v>
      </c>
      <c r="AG48" s="32" t="s">
        <v>964</v>
      </c>
      <c r="AH48" s="9" t="s">
        <v>64</v>
      </c>
      <c r="AI48" s="9">
        <v>2.0</v>
      </c>
      <c r="AJ48" s="7" t="s">
        <v>965</v>
      </c>
      <c r="AK48" s="7" t="s">
        <v>727</v>
      </c>
      <c r="AL48" s="9" t="s">
        <v>727</v>
      </c>
      <c r="AM48" s="7" t="s">
        <v>966</v>
      </c>
      <c r="AN48" s="7" t="s">
        <v>157</v>
      </c>
      <c r="AO48" s="7" t="s">
        <v>55</v>
      </c>
      <c r="AP48" s="7" t="s">
        <v>70</v>
      </c>
      <c r="AQ48" s="13"/>
      <c r="AR48" s="13"/>
      <c r="AS48" s="13"/>
      <c r="AT48" s="13"/>
      <c r="AU48" s="13"/>
      <c r="AV48" s="13"/>
    </row>
    <row r="49">
      <c r="A49" s="6">
        <v>45785.91132032407</v>
      </c>
      <c r="B49" s="7" t="s">
        <v>1151</v>
      </c>
      <c r="C49" s="7" t="s">
        <v>1152</v>
      </c>
      <c r="D49" s="8" t="s">
        <v>1153</v>
      </c>
      <c r="E49" s="7" t="s">
        <v>1154</v>
      </c>
      <c r="F49" s="7" t="s">
        <v>1155</v>
      </c>
      <c r="G49" s="9" t="s">
        <v>44</v>
      </c>
      <c r="H49" s="7" t="s">
        <v>77</v>
      </c>
      <c r="I49" s="7" t="s">
        <v>46</v>
      </c>
      <c r="J49" s="9" t="s">
        <v>2366</v>
      </c>
      <c r="K49" s="8" t="s">
        <v>1156</v>
      </c>
      <c r="L49" s="33" t="s">
        <v>2376</v>
      </c>
      <c r="M49" s="7" t="s">
        <v>1158</v>
      </c>
      <c r="N49" s="7" t="s">
        <v>49</v>
      </c>
      <c r="O49" s="7" t="s">
        <v>1159</v>
      </c>
      <c r="P49" s="8" t="s">
        <v>1160</v>
      </c>
      <c r="Q49" s="8" t="s">
        <v>1161</v>
      </c>
      <c r="R49" s="11" t="s">
        <v>1162</v>
      </c>
      <c r="S49" s="11" t="s">
        <v>1163</v>
      </c>
      <c r="T49" s="7" t="s">
        <v>54</v>
      </c>
      <c r="U49" s="7" t="s">
        <v>55</v>
      </c>
      <c r="V49" s="7" t="s">
        <v>54</v>
      </c>
      <c r="W49" s="7" t="s">
        <v>55</v>
      </c>
      <c r="X49" s="11" t="s">
        <v>1164</v>
      </c>
      <c r="Y49" s="7" t="s">
        <v>57</v>
      </c>
      <c r="Z49" s="7" t="s">
        <v>1155</v>
      </c>
      <c r="AA49" s="9" t="s">
        <v>1165</v>
      </c>
      <c r="AB49" s="7" t="s">
        <v>1166</v>
      </c>
      <c r="AC49" s="7" t="s">
        <v>1167</v>
      </c>
      <c r="AD49" s="7" t="s">
        <v>1155</v>
      </c>
      <c r="AE49" s="32" t="s">
        <v>1168</v>
      </c>
      <c r="AF49" s="7" t="s">
        <v>1169</v>
      </c>
      <c r="AG49" s="32" t="s">
        <v>1170</v>
      </c>
      <c r="AH49" s="17" t="s">
        <v>260</v>
      </c>
      <c r="AI49" s="18"/>
      <c r="AJ49" s="13"/>
      <c r="AK49" s="13"/>
      <c r="AL49" s="16"/>
      <c r="AM49" s="42" t="s">
        <v>1171</v>
      </c>
      <c r="AN49" s="7" t="s">
        <v>241</v>
      </c>
      <c r="AO49" s="7" t="s">
        <v>55</v>
      </c>
      <c r="AP49" s="7" t="s">
        <v>70</v>
      </c>
      <c r="AQ49" s="13"/>
      <c r="AR49" s="13"/>
      <c r="AS49" s="13"/>
      <c r="AT49" s="13"/>
      <c r="AU49" s="13"/>
      <c r="AV49" s="13"/>
    </row>
    <row r="50">
      <c r="A50" s="6">
        <v>45785.94071385417</v>
      </c>
      <c r="B50" s="7" t="s">
        <v>1228</v>
      </c>
      <c r="C50" s="7" t="s">
        <v>460</v>
      </c>
      <c r="D50" s="8" t="s">
        <v>1229</v>
      </c>
      <c r="E50" s="7" t="s">
        <v>1230</v>
      </c>
      <c r="F50" s="7" t="s">
        <v>1231</v>
      </c>
      <c r="G50" s="9" t="s">
        <v>44</v>
      </c>
      <c r="H50" s="7" t="s">
        <v>77</v>
      </c>
      <c r="I50" s="7" t="s">
        <v>46</v>
      </c>
      <c r="J50" s="9" t="s">
        <v>2366</v>
      </c>
      <c r="K50" s="8" t="s">
        <v>1232</v>
      </c>
      <c r="L50" s="34" t="s">
        <v>2377</v>
      </c>
      <c r="M50" s="7" t="s">
        <v>1234</v>
      </c>
      <c r="N50" s="7" t="s">
        <v>49</v>
      </c>
      <c r="O50" s="7" t="s">
        <v>1231</v>
      </c>
      <c r="P50" s="8" t="s">
        <v>1235</v>
      </c>
      <c r="Q50" s="10" t="s">
        <v>1236</v>
      </c>
      <c r="R50" s="11" t="s">
        <v>1237</v>
      </c>
      <c r="S50" s="11" t="s">
        <v>1238</v>
      </c>
      <c r="T50" s="7" t="s">
        <v>54</v>
      </c>
      <c r="U50" s="7" t="s">
        <v>55</v>
      </c>
      <c r="V50" s="7" t="s">
        <v>54</v>
      </c>
      <c r="W50" s="7" t="s">
        <v>55</v>
      </c>
      <c r="X50" s="11" t="s">
        <v>1239</v>
      </c>
      <c r="Y50" s="7" t="s">
        <v>57</v>
      </c>
      <c r="Z50" s="7" t="s">
        <v>1231</v>
      </c>
      <c r="AA50" s="9" t="s">
        <v>1240</v>
      </c>
      <c r="AB50" s="7" t="s">
        <v>312</v>
      </c>
      <c r="AC50" s="7" t="s">
        <v>1241</v>
      </c>
      <c r="AD50" s="7" t="s">
        <v>1231</v>
      </c>
      <c r="AE50" s="32" t="s">
        <v>2378</v>
      </c>
      <c r="AF50" s="7" t="s">
        <v>1242</v>
      </c>
      <c r="AG50" s="32" t="s">
        <v>2379</v>
      </c>
      <c r="AH50" s="9" t="s">
        <v>64</v>
      </c>
      <c r="AI50" s="9">
        <v>3.0</v>
      </c>
      <c r="AJ50" s="7" t="s">
        <v>1243</v>
      </c>
      <c r="AK50" s="7" t="s">
        <v>1244</v>
      </c>
      <c r="AL50" s="9" t="s">
        <v>1245</v>
      </c>
      <c r="AM50" s="7" t="s">
        <v>1246</v>
      </c>
      <c r="AN50" s="7" t="s">
        <v>95</v>
      </c>
      <c r="AO50" s="7" t="s">
        <v>55</v>
      </c>
      <c r="AP50" s="7" t="s">
        <v>70</v>
      </c>
      <c r="AQ50" s="13"/>
      <c r="AR50" s="13"/>
      <c r="AS50" s="13"/>
      <c r="AT50" s="13"/>
      <c r="AU50" s="13"/>
      <c r="AV50" s="13"/>
    </row>
    <row r="51">
      <c r="A51" s="6">
        <v>45785.697269780096</v>
      </c>
      <c r="B51" s="7" t="s">
        <v>988</v>
      </c>
      <c r="C51" s="7" t="s">
        <v>989</v>
      </c>
      <c r="D51" s="10" t="s">
        <v>990</v>
      </c>
      <c r="E51" s="7" t="s">
        <v>991</v>
      </c>
      <c r="F51" s="7" t="s">
        <v>992</v>
      </c>
      <c r="G51" s="9" t="s">
        <v>76</v>
      </c>
      <c r="H51" s="7" t="s">
        <v>101</v>
      </c>
      <c r="I51" s="7" t="s">
        <v>78</v>
      </c>
      <c r="J51" s="7"/>
      <c r="K51" s="8">
        <v>2.6072012E7</v>
      </c>
      <c r="L51" s="31" t="s">
        <v>993</v>
      </c>
      <c r="M51" s="7" t="s">
        <v>994</v>
      </c>
      <c r="N51" s="7" t="s">
        <v>49</v>
      </c>
      <c r="O51" s="7" t="s">
        <v>995</v>
      </c>
      <c r="P51" s="8" t="s">
        <v>996</v>
      </c>
      <c r="Q51" s="8">
        <v>1.7092028E7</v>
      </c>
      <c r="R51" s="11" t="s">
        <v>997</v>
      </c>
      <c r="S51" s="11" t="s">
        <v>998</v>
      </c>
      <c r="T51" s="7" t="s">
        <v>54</v>
      </c>
      <c r="U51" s="7" t="s">
        <v>109</v>
      </c>
      <c r="V51" s="7" t="s">
        <v>54</v>
      </c>
      <c r="W51" s="7" t="s">
        <v>109</v>
      </c>
      <c r="X51" s="11" t="s">
        <v>999</v>
      </c>
      <c r="Y51" s="7" t="s">
        <v>57</v>
      </c>
      <c r="Z51" s="7" t="s">
        <v>992</v>
      </c>
      <c r="AA51" s="9" t="s">
        <v>1000</v>
      </c>
      <c r="AB51" s="7" t="s">
        <v>1001</v>
      </c>
      <c r="AC51" s="7" t="s">
        <v>1002</v>
      </c>
      <c r="AD51" s="7" t="s">
        <v>992</v>
      </c>
      <c r="AE51" s="32" t="s">
        <v>993</v>
      </c>
      <c r="AF51" s="7" t="s">
        <v>1003</v>
      </c>
      <c r="AG51" s="32" t="s">
        <v>990</v>
      </c>
      <c r="AH51" s="17" t="s">
        <v>260</v>
      </c>
      <c r="AI51" s="18"/>
      <c r="AJ51" s="13"/>
      <c r="AK51" s="13"/>
      <c r="AL51" s="16"/>
      <c r="AM51" s="7" t="s">
        <v>1003</v>
      </c>
      <c r="AN51" s="7" t="s">
        <v>117</v>
      </c>
      <c r="AO51" s="7" t="s">
        <v>1004</v>
      </c>
      <c r="AP51" s="7" t="s">
        <v>70</v>
      </c>
      <c r="AQ51" s="13"/>
      <c r="AR51" s="13"/>
      <c r="AS51" s="13"/>
      <c r="AT51" s="13"/>
      <c r="AU51" s="13"/>
      <c r="AV51" s="13"/>
    </row>
    <row r="52">
      <c r="A52" s="6">
        <v>45784.95295045139</v>
      </c>
      <c r="B52" s="7" t="s">
        <v>526</v>
      </c>
      <c r="C52" s="7" t="s">
        <v>97</v>
      </c>
      <c r="D52" s="10" t="s">
        <v>527</v>
      </c>
      <c r="E52" s="7" t="s">
        <v>528</v>
      </c>
      <c r="F52" s="7" t="s">
        <v>529</v>
      </c>
      <c r="G52" s="9" t="s">
        <v>76</v>
      </c>
      <c r="H52" s="7" t="s">
        <v>77</v>
      </c>
      <c r="I52" s="7" t="s">
        <v>322</v>
      </c>
      <c r="J52" s="7"/>
      <c r="K52" s="8">
        <v>1.802201E7</v>
      </c>
      <c r="L52" s="31" t="s">
        <v>530</v>
      </c>
      <c r="M52" s="7" t="s">
        <v>531</v>
      </c>
      <c r="N52" s="7" t="s">
        <v>49</v>
      </c>
      <c r="O52" s="7" t="s">
        <v>529</v>
      </c>
      <c r="P52" s="8" t="s">
        <v>532</v>
      </c>
      <c r="Q52" s="10" t="s">
        <v>533</v>
      </c>
      <c r="R52" s="11" t="s">
        <v>534</v>
      </c>
      <c r="S52" s="11" t="s">
        <v>535</v>
      </c>
      <c r="T52" s="14" t="s">
        <v>308</v>
      </c>
      <c r="U52" s="14" t="s">
        <v>536</v>
      </c>
      <c r="V52" s="14" t="s">
        <v>54</v>
      </c>
      <c r="W52" s="14" t="s">
        <v>109</v>
      </c>
      <c r="X52" s="11" t="s">
        <v>537</v>
      </c>
      <c r="Y52" s="7" t="s">
        <v>57</v>
      </c>
      <c r="Z52" s="7" t="s">
        <v>529</v>
      </c>
      <c r="AA52" s="9" t="s">
        <v>538</v>
      </c>
      <c r="AB52" s="7" t="s">
        <v>539</v>
      </c>
      <c r="AC52" s="7" t="s">
        <v>540</v>
      </c>
      <c r="AD52" s="7" t="s">
        <v>529</v>
      </c>
      <c r="AE52" s="32" t="s">
        <v>530</v>
      </c>
      <c r="AF52" s="7" t="s">
        <v>541</v>
      </c>
      <c r="AG52" s="32" t="s">
        <v>527</v>
      </c>
      <c r="AH52" s="9" t="s">
        <v>64</v>
      </c>
      <c r="AI52" s="9">
        <v>3.0</v>
      </c>
      <c r="AJ52" s="7" t="s">
        <v>542</v>
      </c>
      <c r="AK52" s="7" t="s">
        <v>543</v>
      </c>
      <c r="AL52" s="9" t="s">
        <v>544</v>
      </c>
      <c r="AM52" s="7" t="s">
        <v>545</v>
      </c>
      <c r="AN52" s="7" t="s">
        <v>117</v>
      </c>
      <c r="AO52" s="7" t="s">
        <v>109</v>
      </c>
      <c r="AP52" s="7" t="s">
        <v>70</v>
      </c>
      <c r="AQ52" s="13"/>
      <c r="AR52" s="13"/>
      <c r="AS52" s="13"/>
      <c r="AT52" s="13"/>
      <c r="AU52" s="13"/>
      <c r="AV52" s="13"/>
    </row>
    <row r="53">
      <c r="A53" s="6">
        <v>45785.73232701389</v>
      </c>
      <c r="B53" s="7" t="s">
        <v>1014</v>
      </c>
      <c r="C53" s="7" t="s">
        <v>803</v>
      </c>
      <c r="D53" s="10" t="s">
        <v>1015</v>
      </c>
      <c r="E53" s="7" t="s">
        <v>1016</v>
      </c>
      <c r="F53" s="7" t="s">
        <v>1017</v>
      </c>
      <c r="G53" s="9" t="s">
        <v>76</v>
      </c>
      <c r="H53" s="7" t="s">
        <v>101</v>
      </c>
      <c r="I53" s="7" t="s">
        <v>78</v>
      </c>
      <c r="J53" s="7"/>
      <c r="K53" s="8">
        <v>1.8052012E7</v>
      </c>
      <c r="L53" s="31" t="s">
        <v>1018</v>
      </c>
      <c r="M53" s="7" t="s">
        <v>1019</v>
      </c>
      <c r="N53" s="7" t="s">
        <v>49</v>
      </c>
      <c r="O53" s="7" t="s">
        <v>1017</v>
      </c>
      <c r="P53" s="8" t="s">
        <v>1020</v>
      </c>
      <c r="Q53" s="10" t="s">
        <v>1021</v>
      </c>
      <c r="R53" s="11" t="s">
        <v>1022</v>
      </c>
      <c r="S53" s="11" t="s">
        <v>1023</v>
      </c>
      <c r="T53" s="14" t="s">
        <v>573</v>
      </c>
      <c r="U53" s="14" t="s">
        <v>1024</v>
      </c>
      <c r="V53" s="14" t="s">
        <v>54</v>
      </c>
      <c r="W53" s="14" t="s">
        <v>55</v>
      </c>
      <c r="X53" s="11" t="s">
        <v>1025</v>
      </c>
      <c r="Y53" s="7" t="s">
        <v>57</v>
      </c>
      <c r="Z53" s="7" t="s">
        <v>1017</v>
      </c>
      <c r="AA53" s="9" t="s">
        <v>1026</v>
      </c>
      <c r="AB53" s="7" t="s">
        <v>1027</v>
      </c>
      <c r="AC53" s="7" t="s">
        <v>1028</v>
      </c>
      <c r="AD53" s="7" t="s">
        <v>1017</v>
      </c>
      <c r="AE53" s="32" t="s">
        <v>1018</v>
      </c>
      <c r="AF53" s="7" t="s">
        <v>1029</v>
      </c>
      <c r="AG53" s="32" t="s">
        <v>1015</v>
      </c>
      <c r="AH53" s="17" t="s">
        <v>260</v>
      </c>
      <c r="AI53" s="18"/>
      <c r="AJ53" s="13"/>
      <c r="AK53" s="13"/>
      <c r="AL53" s="16"/>
      <c r="AM53" s="7" t="s">
        <v>1030</v>
      </c>
      <c r="AN53" s="7" t="s">
        <v>95</v>
      </c>
      <c r="AO53" s="7" t="s">
        <v>1031</v>
      </c>
      <c r="AP53" s="7" t="s">
        <v>70</v>
      </c>
      <c r="AQ53" s="13"/>
      <c r="AR53" s="13"/>
      <c r="AS53" s="13"/>
      <c r="AT53" s="13"/>
      <c r="AU53" s="13"/>
      <c r="AV53" s="13"/>
    </row>
    <row r="54" hidden="1">
      <c r="A54" s="21">
        <v>45789.97834997685</v>
      </c>
      <c r="B54" s="22" t="s">
        <v>2342</v>
      </c>
      <c r="C54" s="22" t="s">
        <v>2343</v>
      </c>
      <c r="D54" s="23" t="s">
        <v>2344</v>
      </c>
      <c r="E54" s="22" t="s">
        <v>2345</v>
      </c>
      <c r="F54" s="22" t="s">
        <v>2346</v>
      </c>
      <c r="G54" s="24" t="s">
        <v>76</v>
      </c>
      <c r="H54" s="22" t="s">
        <v>77</v>
      </c>
      <c r="I54" s="22" t="s">
        <v>1096</v>
      </c>
      <c r="J54" s="22"/>
      <c r="K54" s="28">
        <v>1.606201E7</v>
      </c>
      <c r="L54" s="23" t="s">
        <v>2344</v>
      </c>
      <c r="M54" s="22" t="s">
        <v>2345</v>
      </c>
      <c r="N54" s="22" t="s">
        <v>1072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>
      <c r="A55" s="6">
        <v>45784.883691423616</v>
      </c>
      <c r="B55" s="7" t="s">
        <v>242</v>
      </c>
      <c r="C55" s="7" t="s">
        <v>243</v>
      </c>
      <c r="D55" s="10" t="s">
        <v>244</v>
      </c>
      <c r="E55" s="7" t="s">
        <v>245</v>
      </c>
      <c r="F55" s="7" t="s">
        <v>246</v>
      </c>
      <c r="G55" s="9" t="s">
        <v>44</v>
      </c>
      <c r="H55" s="7" t="s">
        <v>77</v>
      </c>
      <c r="I55" s="7" t="s">
        <v>46</v>
      </c>
      <c r="J55" s="9" t="s">
        <v>2361</v>
      </c>
      <c r="K55" s="8" t="s">
        <v>247</v>
      </c>
      <c r="L55" s="31" t="s">
        <v>248</v>
      </c>
      <c r="M55" s="7" t="s">
        <v>249</v>
      </c>
      <c r="N55" s="7" t="s">
        <v>49</v>
      </c>
      <c r="O55" s="7" t="s">
        <v>250</v>
      </c>
      <c r="P55" s="8" t="s">
        <v>251</v>
      </c>
      <c r="Q55" s="8" t="s">
        <v>252</v>
      </c>
      <c r="R55" s="11" t="s">
        <v>253</v>
      </c>
      <c r="S55" s="11" t="s">
        <v>254</v>
      </c>
      <c r="T55" s="7" t="s">
        <v>54</v>
      </c>
      <c r="U55" s="7" t="s">
        <v>55</v>
      </c>
      <c r="V55" s="7" t="s">
        <v>54</v>
      </c>
      <c r="W55" s="7" t="s">
        <v>55</v>
      </c>
      <c r="X55" s="11" t="s">
        <v>255</v>
      </c>
      <c r="Y55" s="7" t="s">
        <v>57</v>
      </c>
      <c r="Z55" s="7" t="s">
        <v>250</v>
      </c>
      <c r="AA55" s="9" t="s">
        <v>256</v>
      </c>
      <c r="AB55" s="7" t="s">
        <v>257</v>
      </c>
      <c r="AC55" s="7" t="s">
        <v>258</v>
      </c>
      <c r="AD55" s="7" t="s">
        <v>250</v>
      </c>
      <c r="AE55" s="32" t="s">
        <v>248</v>
      </c>
      <c r="AF55" s="7" t="s">
        <v>259</v>
      </c>
      <c r="AG55" s="32" t="s">
        <v>244</v>
      </c>
      <c r="AH55" s="17" t="s">
        <v>260</v>
      </c>
      <c r="AI55" s="18"/>
      <c r="AJ55" s="13"/>
      <c r="AK55" s="13"/>
      <c r="AL55" s="16"/>
      <c r="AM55" s="7" t="s">
        <v>259</v>
      </c>
      <c r="AN55" s="7" t="s">
        <v>117</v>
      </c>
      <c r="AO55" s="7" t="s">
        <v>55</v>
      </c>
      <c r="AP55" s="7" t="s">
        <v>70</v>
      </c>
      <c r="AQ55" s="13"/>
      <c r="AR55" s="13"/>
      <c r="AS55" s="13"/>
      <c r="AT55" s="13"/>
      <c r="AU55" s="13"/>
      <c r="AV55" s="13"/>
    </row>
    <row r="56" hidden="1">
      <c r="A56" s="21">
        <v>45786.81678421296</v>
      </c>
      <c r="B56" s="22" t="s">
        <v>1944</v>
      </c>
      <c r="C56" s="22" t="s">
        <v>1945</v>
      </c>
      <c r="D56" s="23" t="s">
        <v>1946</v>
      </c>
      <c r="E56" s="22" t="s">
        <v>1947</v>
      </c>
      <c r="F56" s="22" t="s">
        <v>1948</v>
      </c>
      <c r="G56" s="24" t="s">
        <v>44</v>
      </c>
      <c r="H56" s="22" t="s">
        <v>77</v>
      </c>
      <c r="I56" s="22" t="s">
        <v>141</v>
      </c>
      <c r="J56" s="24"/>
      <c r="K56" s="28">
        <v>2.7042011E7</v>
      </c>
      <c r="L56" s="23" t="s">
        <v>1946</v>
      </c>
      <c r="M56" s="22" t="s">
        <v>1947</v>
      </c>
      <c r="N56" s="22" t="s">
        <v>1072</v>
      </c>
      <c r="O56" s="25"/>
      <c r="P56" s="26"/>
      <c r="Q56" s="26"/>
      <c r="R56" s="25"/>
      <c r="S56" s="25"/>
      <c r="T56" s="25"/>
      <c r="U56" s="25"/>
      <c r="V56" s="25"/>
      <c r="W56" s="25"/>
      <c r="X56" s="25"/>
      <c r="Y56" s="25"/>
      <c r="Z56" s="25"/>
      <c r="AA56" s="27"/>
      <c r="AB56" s="25"/>
      <c r="AC56" s="25"/>
      <c r="AD56" s="25"/>
      <c r="AE56" s="47"/>
      <c r="AF56" s="25"/>
      <c r="AG56" s="26"/>
      <c r="AH56" s="27"/>
      <c r="AI56" s="27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>
      <c r="A57" s="6">
        <v>45786.366681134255</v>
      </c>
      <c r="B57" s="7" t="s">
        <v>1463</v>
      </c>
      <c r="C57" s="7" t="s">
        <v>1464</v>
      </c>
      <c r="D57" s="8" t="s">
        <v>1465</v>
      </c>
      <c r="E57" s="7" t="s">
        <v>1466</v>
      </c>
      <c r="F57" s="7" t="s">
        <v>1467</v>
      </c>
      <c r="G57" s="9" t="s">
        <v>44</v>
      </c>
      <c r="H57" s="7" t="s">
        <v>77</v>
      </c>
      <c r="I57" s="7" t="s">
        <v>46</v>
      </c>
      <c r="J57" s="9" t="s">
        <v>2358</v>
      </c>
      <c r="K57" s="8">
        <v>1.809201E7</v>
      </c>
      <c r="L57" s="31" t="s">
        <v>1468</v>
      </c>
      <c r="M57" s="7" t="s">
        <v>1469</v>
      </c>
      <c r="N57" s="7" t="s">
        <v>49</v>
      </c>
      <c r="O57" s="7" t="s">
        <v>1467</v>
      </c>
      <c r="P57" s="8" t="s">
        <v>1470</v>
      </c>
      <c r="Q57" s="8">
        <v>1.1062029E7</v>
      </c>
      <c r="R57" s="11" t="s">
        <v>1471</v>
      </c>
      <c r="S57" s="11" t="s">
        <v>1472</v>
      </c>
      <c r="T57" s="14" t="s">
        <v>573</v>
      </c>
      <c r="U57" s="14" t="s">
        <v>1473</v>
      </c>
      <c r="V57" s="14" t="s">
        <v>54</v>
      </c>
      <c r="W57" s="14" t="s">
        <v>109</v>
      </c>
      <c r="X57" s="11" t="s">
        <v>1474</v>
      </c>
      <c r="Y57" s="7" t="s">
        <v>57</v>
      </c>
      <c r="Z57" s="7" t="s">
        <v>1467</v>
      </c>
      <c r="AA57" s="9" t="s">
        <v>1475</v>
      </c>
      <c r="AB57" s="7" t="s">
        <v>1476</v>
      </c>
      <c r="AC57" s="7" t="s">
        <v>1477</v>
      </c>
      <c r="AD57" s="7" t="s">
        <v>1467</v>
      </c>
      <c r="AE57" s="32" t="s">
        <v>1468</v>
      </c>
      <c r="AF57" s="7" t="s">
        <v>1478</v>
      </c>
      <c r="AG57" s="32" t="s">
        <v>1479</v>
      </c>
      <c r="AH57" s="9" t="s">
        <v>64</v>
      </c>
      <c r="AI57" s="9">
        <v>3.0</v>
      </c>
      <c r="AJ57" s="7" t="s">
        <v>1480</v>
      </c>
      <c r="AK57" s="7" t="s">
        <v>1481</v>
      </c>
      <c r="AL57" s="19" t="s">
        <v>1482</v>
      </c>
      <c r="AM57" s="42" t="s">
        <v>1483</v>
      </c>
      <c r="AN57" s="7" t="s">
        <v>95</v>
      </c>
      <c r="AO57" s="7" t="s">
        <v>109</v>
      </c>
      <c r="AP57" s="7" t="s">
        <v>70</v>
      </c>
      <c r="AQ57" s="13"/>
      <c r="AR57" s="13"/>
      <c r="AS57" s="13"/>
      <c r="AT57" s="13"/>
      <c r="AU57" s="13"/>
      <c r="AV57" s="13"/>
    </row>
    <row r="58">
      <c r="A58" s="6">
        <v>45786.87207493055</v>
      </c>
      <c r="B58" s="7" t="s">
        <v>2076</v>
      </c>
      <c r="C58" s="7" t="s">
        <v>97</v>
      </c>
      <c r="D58" s="8" t="s">
        <v>2077</v>
      </c>
      <c r="E58" s="7" t="s">
        <v>2078</v>
      </c>
      <c r="F58" s="7" t="s">
        <v>2079</v>
      </c>
      <c r="G58" s="9" t="s">
        <v>76</v>
      </c>
      <c r="H58" s="7" t="s">
        <v>45</v>
      </c>
      <c r="I58" s="7" t="s">
        <v>322</v>
      </c>
      <c r="J58" s="9" t="s">
        <v>2366</v>
      </c>
      <c r="K58" s="8">
        <v>1.5102008E7</v>
      </c>
      <c r="L58" s="32" t="s">
        <v>2090</v>
      </c>
      <c r="M58" s="7" t="s">
        <v>2081</v>
      </c>
      <c r="N58" s="7" t="s">
        <v>49</v>
      </c>
      <c r="O58" s="7" t="s">
        <v>2082</v>
      </c>
      <c r="P58" s="8" t="s">
        <v>2083</v>
      </c>
      <c r="Q58" s="8">
        <v>2.4022028E7</v>
      </c>
      <c r="R58" s="11" t="s">
        <v>2084</v>
      </c>
      <c r="S58" s="11" t="s">
        <v>2085</v>
      </c>
      <c r="T58" s="7" t="s">
        <v>54</v>
      </c>
      <c r="U58" s="7" t="s">
        <v>55</v>
      </c>
      <c r="V58" s="7" t="s">
        <v>54</v>
      </c>
      <c r="W58" s="7" t="s">
        <v>55</v>
      </c>
      <c r="X58" s="11" t="s">
        <v>2086</v>
      </c>
      <c r="Y58" s="7" t="s">
        <v>57</v>
      </c>
      <c r="Z58" s="7" t="s">
        <v>2079</v>
      </c>
      <c r="AA58" s="9" t="s">
        <v>2087</v>
      </c>
      <c r="AB58" s="7" t="s">
        <v>2088</v>
      </c>
      <c r="AC58" s="7" t="s">
        <v>2089</v>
      </c>
      <c r="AD58" s="7" t="s">
        <v>2079</v>
      </c>
      <c r="AE58" s="32" t="s">
        <v>2090</v>
      </c>
      <c r="AF58" s="7" t="s">
        <v>2091</v>
      </c>
      <c r="AG58" s="32" t="s">
        <v>2092</v>
      </c>
      <c r="AH58" s="9" t="s">
        <v>64</v>
      </c>
      <c r="AI58" s="9">
        <v>2.0</v>
      </c>
      <c r="AJ58" s="7" t="s">
        <v>2093</v>
      </c>
      <c r="AK58" s="7" t="s">
        <v>2094</v>
      </c>
      <c r="AL58" s="19" t="s">
        <v>2095</v>
      </c>
      <c r="AM58" s="19" t="s">
        <v>2092</v>
      </c>
      <c r="AN58" s="7" t="s">
        <v>117</v>
      </c>
      <c r="AO58" s="7" t="s">
        <v>55</v>
      </c>
      <c r="AP58" s="7" t="s">
        <v>70</v>
      </c>
      <c r="AQ58" s="13"/>
      <c r="AR58" s="13"/>
      <c r="AS58" s="13"/>
      <c r="AT58" s="13"/>
      <c r="AU58" s="13"/>
      <c r="AV58" s="13"/>
    </row>
    <row r="59">
      <c r="A59" s="6">
        <v>45788.93247745371</v>
      </c>
      <c r="B59" s="7" t="s">
        <v>2308</v>
      </c>
      <c r="C59" s="7" t="s">
        <v>2309</v>
      </c>
      <c r="D59" s="10" t="s">
        <v>2310</v>
      </c>
      <c r="E59" s="7" t="s">
        <v>2311</v>
      </c>
      <c r="F59" s="7" t="s">
        <v>2312</v>
      </c>
      <c r="G59" s="9" t="s">
        <v>76</v>
      </c>
      <c r="H59" s="7" t="s">
        <v>45</v>
      </c>
      <c r="I59" s="7" t="s">
        <v>322</v>
      </c>
      <c r="J59" s="9" t="s">
        <v>2366</v>
      </c>
      <c r="K59" s="8">
        <v>2.3082007E7</v>
      </c>
      <c r="L59" s="31" t="s">
        <v>2310</v>
      </c>
      <c r="M59" s="7" t="s">
        <v>2311</v>
      </c>
      <c r="N59" s="7" t="s">
        <v>49</v>
      </c>
      <c r="O59" s="7" t="s">
        <v>2313</v>
      </c>
      <c r="P59" s="8" t="s">
        <v>2314</v>
      </c>
      <c r="Q59" s="8">
        <v>2.8012028E7</v>
      </c>
      <c r="R59" s="11" t="s">
        <v>2315</v>
      </c>
      <c r="S59" s="11" t="s">
        <v>2316</v>
      </c>
      <c r="T59" s="14" t="s">
        <v>54</v>
      </c>
      <c r="U59" s="14" t="s">
        <v>1004</v>
      </c>
      <c r="V59" s="14" t="s">
        <v>2317</v>
      </c>
      <c r="W59" s="14" t="s">
        <v>1004</v>
      </c>
      <c r="X59" s="11" t="s">
        <v>2318</v>
      </c>
      <c r="Y59" s="7" t="s">
        <v>57</v>
      </c>
      <c r="Z59" s="7" t="s">
        <v>2313</v>
      </c>
      <c r="AA59" s="12" t="s">
        <v>2319</v>
      </c>
      <c r="AB59" s="7" t="s">
        <v>2320</v>
      </c>
      <c r="AC59" s="7" t="s">
        <v>2321</v>
      </c>
      <c r="AD59" s="7" t="s">
        <v>2313</v>
      </c>
      <c r="AE59" s="32" t="s">
        <v>2310</v>
      </c>
      <c r="AF59" s="7" t="s">
        <v>2322</v>
      </c>
      <c r="AG59" s="32" t="s">
        <v>2323</v>
      </c>
      <c r="AH59" s="17" t="s">
        <v>260</v>
      </c>
      <c r="AI59" s="15"/>
      <c r="AJ59" s="13"/>
      <c r="AK59" s="13"/>
      <c r="AL59" s="13"/>
      <c r="AM59" s="19" t="s">
        <v>2323</v>
      </c>
      <c r="AN59" s="7" t="s">
        <v>117</v>
      </c>
      <c r="AO59" s="7" t="s">
        <v>55</v>
      </c>
      <c r="AP59" s="7" t="s">
        <v>70</v>
      </c>
      <c r="AQ59" s="13"/>
      <c r="AR59" s="13"/>
      <c r="AS59" s="13"/>
      <c r="AT59" s="13"/>
      <c r="AU59" s="13"/>
      <c r="AV59" s="13"/>
    </row>
    <row r="60">
      <c r="A60" s="6">
        <v>45785.9106142824</v>
      </c>
      <c r="B60" s="7" t="s">
        <v>1130</v>
      </c>
      <c r="C60" s="7" t="s">
        <v>1131</v>
      </c>
      <c r="D60" s="10" t="s">
        <v>1132</v>
      </c>
      <c r="E60" s="7" t="s">
        <v>1133</v>
      </c>
      <c r="F60" s="7" t="s">
        <v>1134</v>
      </c>
      <c r="G60" s="9" t="s">
        <v>76</v>
      </c>
      <c r="H60" s="7" t="s">
        <v>101</v>
      </c>
      <c r="I60" s="7" t="s">
        <v>78</v>
      </c>
      <c r="J60" s="7"/>
      <c r="K60" s="10" t="s">
        <v>1135</v>
      </c>
      <c r="L60" s="31" t="s">
        <v>1136</v>
      </c>
      <c r="M60" s="7" t="s">
        <v>1137</v>
      </c>
      <c r="N60" s="7" t="s">
        <v>49</v>
      </c>
      <c r="O60" s="7" t="s">
        <v>1134</v>
      </c>
      <c r="P60" s="8" t="s">
        <v>1138</v>
      </c>
      <c r="Q60" s="8" t="s">
        <v>1139</v>
      </c>
      <c r="R60" s="11" t="s">
        <v>1140</v>
      </c>
      <c r="S60" s="11" t="s">
        <v>1141</v>
      </c>
      <c r="T60" s="7" t="s">
        <v>54</v>
      </c>
      <c r="U60" s="7" t="s">
        <v>55</v>
      </c>
      <c r="V60" s="7" t="s">
        <v>54</v>
      </c>
      <c r="W60" s="7" t="s">
        <v>55</v>
      </c>
      <c r="X60" s="11" t="s">
        <v>1142</v>
      </c>
      <c r="Y60" s="7" t="s">
        <v>57</v>
      </c>
      <c r="Z60" s="7" t="s">
        <v>1134</v>
      </c>
      <c r="AA60" s="9" t="s">
        <v>1143</v>
      </c>
      <c r="AB60" s="7" t="s">
        <v>1144</v>
      </c>
      <c r="AC60" s="7" t="s">
        <v>1145</v>
      </c>
      <c r="AD60" s="7" t="s">
        <v>1134</v>
      </c>
      <c r="AE60" s="32" t="s">
        <v>1136</v>
      </c>
      <c r="AF60" s="7" t="s">
        <v>1146</v>
      </c>
      <c r="AG60" s="32" t="s">
        <v>1132</v>
      </c>
      <c r="AH60" s="9" t="s">
        <v>64</v>
      </c>
      <c r="AI60" s="9">
        <v>1.0</v>
      </c>
      <c r="AJ60" s="7" t="s">
        <v>1147</v>
      </c>
      <c r="AK60" s="7" t="s">
        <v>1148</v>
      </c>
      <c r="AL60" s="9" t="s">
        <v>1149</v>
      </c>
      <c r="AM60" s="42" t="s">
        <v>1150</v>
      </c>
      <c r="AN60" s="7" t="s">
        <v>95</v>
      </c>
      <c r="AO60" s="7" t="s">
        <v>55</v>
      </c>
      <c r="AP60" s="7" t="s">
        <v>70</v>
      </c>
      <c r="AQ60" s="13"/>
      <c r="AR60" s="13"/>
      <c r="AS60" s="13"/>
      <c r="AT60" s="13"/>
      <c r="AU60" s="13"/>
      <c r="AV60" s="13"/>
    </row>
    <row r="61">
      <c r="A61" s="6">
        <v>45784.97240313658</v>
      </c>
      <c r="B61" s="7" t="s">
        <v>585</v>
      </c>
      <c r="C61" s="7" t="s">
        <v>586</v>
      </c>
      <c r="D61" s="33" t="s">
        <v>587</v>
      </c>
      <c r="E61" s="7" t="s">
        <v>588</v>
      </c>
      <c r="F61" s="7" t="s">
        <v>589</v>
      </c>
      <c r="G61" s="9" t="s">
        <v>44</v>
      </c>
      <c r="H61" s="7" t="s">
        <v>77</v>
      </c>
      <c r="I61" s="7" t="s">
        <v>46</v>
      </c>
      <c r="J61" s="9" t="s">
        <v>2348</v>
      </c>
      <c r="K61" s="8">
        <v>1.812201E7</v>
      </c>
      <c r="L61" s="33" t="s">
        <v>587</v>
      </c>
      <c r="M61" s="7" t="s">
        <v>588</v>
      </c>
      <c r="N61" s="7" t="s">
        <v>49</v>
      </c>
      <c r="O61" s="7" t="s">
        <v>590</v>
      </c>
      <c r="P61" s="8" t="s">
        <v>591</v>
      </c>
      <c r="Q61" s="8">
        <v>1.908203E7</v>
      </c>
      <c r="R61" s="11" t="s">
        <v>592</v>
      </c>
      <c r="S61" s="11" t="s">
        <v>593</v>
      </c>
      <c r="T61" s="7" t="s">
        <v>54</v>
      </c>
      <c r="U61" s="7" t="s">
        <v>55</v>
      </c>
      <c r="V61" s="7" t="s">
        <v>54</v>
      </c>
      <c r="W61" s="7" t="s">
        <v>55</v>
      </c>
      <c r="X61" s="11" t="s">
        <v>594</v>
      </c>
      <c r="Y61" s="14" t="s">
        <v>194</v>
      </c>
      <c r="Z61" s="15"/>
      <c r="AA61" s="16"/>
      <c r="AB61" s="13"/>
      <c r="AC61" s="13"/>
      <c r="AD61" s="7" t="s">
        <v>589</v>
      </c>
      <c r="AE61" s="33" t="s">
        <v>587</v>
      </c>
      <c r="AF61" s="42" t="s">
        <v>595</v>
      </c>
      <c r="AG61" s="33" t="s">
        <v>587</v>
      </c>
      <c r="AH61" s="9" t="s">
        <v>64</v>
      </c>
      <c r="AI61" s="9">
        <v>2.0</v>
      </c>
      <c r="AJ61" s="7" t="s">
        <v>595</v>
      </c>
      <c r="AK61" s="7" t="s">
        <v>596</v>
      </c>
      <c r="AL61" s="9" t="s">
        <v>299</v>
      </c>
      <c r="AM61" s="7" t="s">
        <v>597</v>
      </c>
      <c r="AN61" s="7" t="s">
        <v>408</v>
      </c>
      <c r="AO61" s="7" t="s">
        <v>55</v>
      </c>
      <c r="AP61" s="7" t="s">
        <v>70</v>
      </c>
      <c r="AQ61" s="13"/>
      <c r="AR61" s="13"/>
      <c r="AS61" s="13"/>
      <c r="AT61" s="13"/>
      <c r="AU61" s="13"/>
      <c r="AV61" s="13"/>
    </row>
    <row r="62">
      <c r="A62" s="6">
        <v>45785.68788619213</v>
      </c>
      <c r="B62" s="7" t="s">
        <v>585</v>
      </c>
      <c r="C62" s="7" t="s">
        <v>586</v>
      </c>
      <c r="D62" s="33" t="s">
        <v>587</v>
      </c>
      <c r="E62" s="7" t="s">
        <v>588</v>
      </c>
      <c r="F62" s="7" t="s">
        <v>589</v>
      </c>
      <c r="G62" s="9" t="s">
        <v>44</v>
      </c>
      <c r="H62" s="7" t="s">
        <v>77</v>
      </c>
      <c r="I62" s="7" t="s">
        <v>46</v>
      </c>
      <c r="J62" s="9" t="s">
        <v>2348</v>
      </c>
      <c r="K62" s="8">
        <v>1.812201E7</v>
      </c>
      <c r="L62" s="33" t="s">
        <v>982</v>
      </c>
      <c r="M62" s="7" t="s">
        <v>588</v>
      </c>
      <c r="N62" s="7" t="s">
        <v>49</v>
      </c>
      <c r="O62" s="7" t="s">
        <v>590</v>
      </c>
      <c r="P62" s="8" t="s">
        <v>591</v>
      </c>
      <c r="Q62" s="8">
        <v>1.908203E7</v>
      </c>
      <c r="R62" s="11" t="s">
        <v>983</v>
      </c>
      <c r="S62" s="11" t="s">
        <v>984</v>
      </c>
      <c r="T62" s="7" t="s">
        <v>54</v>
      </c>
      <c r="U62" s="7" t="s">
        <v>362</v>
      </c>
      <c r="V62" s="7" t="s">
        <v>54</v>
      </c>
      <c r="W62" s="7" t="s">
        <v>362</v>
      </c>
      <c r="X62" s="11" t="s">
        <v>985</v>
      </c>
      <c r="Y62" s="14" t="s">
        <v>194</v>
      </c>
      <c r="Z62" s="15"/>
      <c r="AA62" s="16"/>
      <c r="AB62" s="13"/>
      <c r="AC62" s="13"/>
      <c r="AD62" s="7" t="s">
        <v>589</v>
      </c>
      <c r="AE62" s="33" t="s">
        <v>982</v>
      </c>
      <c r="AF62" s="7" t="s">
        <v>362</v>
      </c>
      <c r="AG62" s="8">
        <v>9.999999999E9</v>
      </c>
      <c r="AH62" s="9" t="s">
        <v>64</v>
      </c>
      <c r="AI62" s="9">
        <v>2.0</v>
      </c>
      <c r="AJ62" s="7" t="s">
        <v>986</v>
      </c>
      <c r="AK62" s="7" t="s">
        <v>596</v>
      </c>
      <c r="AL62" s="9" t="s">
        <v>987</v>
      </c>
      <c r="AM62" s="7" t="s">
        <v>597</v>
      </c>
      <c r="AN62" s="7" t="s">
        <v>117</v>
      </c>
      <c r="AO62" s="7" t="s">
        <v>362</v>
      </c>
      <c r="AP62" s="7" t="s">
        <v>70</v>
      </c>
      <c r="AQ62" s="13"/>
      <c r="AR62" s="13"/>
      <c r="AS62" s="13"/>
      <c r="AT62" s="13"/>
      <c r="AU62" s="13"/>
      <c r="AV62" s="13"/>
    </row>
    <row r="63">
      <c r="A63" s="6">
        <v>45784.59246954861</v>
      </c>
      <c r="B63" s="7" t="s">
        <v>71</v>
      </c>
      <c r="C63" s="7" t="s">
        <v>72</v>
      </c>
      <c r="D63" s="10" t="s">
        <v>73</v>
      </c>
      <c r="E63" s="7" t="s">
        <v>74</v>
      </c>
      <c r="F63" s="7" t="s">
        <v>75</v>
      </c>
      <c r="G63" s="9" t="s">
        <v>76</v>
      </c>
      <c r="H63" s="7" t="s">
        <v>77</v>
      </c>
      <c r="I63" s="7" t="s">
        <v>78</v>
      </c>
      <c r="J63" s="7"/>
      <c r="K63" s="10" t="s">
        <v>79</v>
      </c>
      <c r="L63" s="32" t="s">
        <v>80</v>
      </c>
      <c r="M63" s="7" t="s">
        <v>81</v>
      </c>
      <c r="N63" s="7" t="s">
        <v>49</v>
      </c>
      <c r="O63" s="7" t="s">
        <v>75</v>
      </c>
      <c r="P63" s="8" t="s">
        <v>82</v>
      </c>
      <c r="Q63" s="8">
        <v>1.7022027E7</v>
      </c>
      <c r="R63" s="11" t="s">
        <v>83</v>
      </c>
      <c r="S63" s="11" t="s">
        <v>84</v>
      </c>
      <c r="T63" s="7" t="s">
        <v>54</v>
      </c>
      <c r="U63" s="7" t="s">
        <v>55</v>
      </c>
      <c r="V63" s="7" t="s">
        <v>54</v>
      </c>
      <c r="W63" s="7" t="s">
        <v>55</v>
      </c>
      <c r="X63" s="11" t="s">
        <v>85</v>
      </c>
      <c r="Y63" s="7" t="s">
        <v>57</v>
      </c>
      <c r="Z63" s="7" t="s">
        <v>75</v>
      </c>
      <c r="AA63" s="9" t="s">
        <v>86</v>
      </c>
      <c r="AB63" s="7" t="s">
        <v>87</v>
      </c>
      <c r="AC63" s="7" t="s">
        <v>88</v>
      </c>
      <c r="AD63" s="7" t="s">
        <v>89</v>
      </c>
      <c r="AE63" s="32" t="s">
        <v>80</v>
      </c>
      <c r="AF63" s="7" t="s">
        <v>90</v>
      </c>
      <c r="AG63" s="32" t="s">
        <v>73</v>
      </c>
      <c r="AH63" s="9" t="s">
        <v>64</v>
      </c>
      <c r="AI63" s="9">
        <v>2.0</v>
      </c>
      <c r="AJ63" s="7" t="s">
        <v>91</v>
      </c>
      <c r="AK63" s="7" t="s">
        <v>92</v>
      </c>
      <c r="AL63" s="9" t="s">
        <v>93</v>
      </c>
      <c r="AM63" s="7" t="s">
        <v>94</v>
      </c>
      <c r="AN63" s="7" t="s">
        <v>95</v>
      </c>
      <c r="AO63" s="7" t="s">
        <v>55</v>
      </c>
      <c r="AP63" s="7" t="s">
        <v>70</v>
      </c>
      <c r="AQ63" s="13"/>
      <c r="AR63" s="13"/>
      <c r="AS63" s="13"/>
      <c r="AT63" s="13"/>
      <c r="AU63" s="13"/>
      <c r="AV63" s="13"/>
    </row>
    <row r="64">
      <c r="A64" s="6">
        <v>45784.87916415509</v>
      </c>
      <c r="B64" s="7" t="s">
        <v>224</v>
      </c>
      <c r="C64" s="7" t="s">
        <v>225</v>
      </c>
      <c r="D64" s="10" t="s">
        <v>226</v>
      </c>
      <c r="E64" s="7" t="s">
        <v>227</v>
      </c>
      <c r="F64" s="7" t="s">
        <v>228</v>
      </c>
      <c r="G64" s="9" t="s">
        <v>44</v>
      </c>
      <c r="H64" s="7" t="s">
        <v>77</v>
      </c>
      <c r="I64" s="7" t="s">
        <v>46</v>
      </c>
      <c r="J64" s="9" t="s">
        <v>2357</v>
      </c>
      <c r="K64" s="8" t="s">
        <v>229</v>
      </c>
      <c r="L64" s="31" t="s">
        <v>230</v>
      </c>
      <c r="M64" s="7" t="s">
        <v>227</v>
      </c>
      <c r="N64" s="7" t="s">
        <v>49</v>
      </c>
      <c r="O64" s="7" t="s">
        <v>231</v>
      </c>
      <c r="P64" s="8" t="s">
        <v>232</v>
      </c>
      <c r="Q64" s="8" t="s">
        <v>233</v>
      </c>
      <c r="R64" s="11" t="s">
        <v>234</v>
      </c>
      <c r="S64" s="11" t="s">
        <v>235</v>
      </c>
      <c r="T64" s="7" t="s">
        <v>54</v>
      </c>
      <c r="U64" s="7" t="s">
        <v>55</v>
      </c>
      <c r="V64" s="7" t="s">
        <v>54</v>
      </c>
      <c r="W64" s="7" t="s">
        <v>55</v>
      </c>
      <c r="X64" s="11" t="s">
        <v>236</v>
      </c>
      <c r="Y64" s="14" t="s">
        <v>194</v>
      </c>
      <c r="Z64" s="15"/>
      <c r="AA64" s="16"/>
      <c r="AB64" s="13"/>
      <c r="AC64" s="13"/>
      <c r="AD64" s="7" t="s">
        <v>228</v>
      </c>
      <c r="AE64" s="32" t="s">
        <v>230</v>
      </c>
      <c r="AF64" s="7" t="s">
        <v>237</v>
      </c>
      <c r="AG64" s="32" t="s">
        <v>226</v>
      </c>
      <c r="AH64" s="9" t="s">
        <v>64</v>
      </c>
      <c r="AI64" s="9">
        <v>2.0</v>
      </c>
      <c r="AJ64" s="7" t="s">
        <v>238</v>
      </c>
      <c r="AK64" s="7" t="s">
        <v>239</v>
      </c>
      <c r="AL64" s="9" t="s">
        <v>239</v>
      </c>
      <c r="AM64" s="7" t="s">
        <v>240</v>
      </c>
      <c r="AN64" s="7" t="s">
        <v>241</v>
      </c>
      <c r="AO64" s="7" t="s">
        <v>55</v>
      </c>
      <c r="AP64" s="7" t="s">
        <v>70</v>
      </c>
      <c r="AQ64" s="13"/>
      <c r="AR64" s="13"/>
      <c r="AS64" s="13"/>
      <c r="AT64" s="13"/>
      <c r="AU64" s="13"/>
      <c r="AV64" s="13"/>
    </row>
    <row r="65">
      <c r="A65" s="6">
        <v>45785.51754572916</v>
      </c>
      <c r="B65" s="7" t="s">
        <v>820</v>
      </c>
      <c r="C65" s="7" t="s">
        <v>821</v>
      </c>
      <c r="D65" s="32" t="s">
        <v>822</v>
      </c>
      <c r="E65" s="7" t="s">
        <v>823</v>
      </c>
      <c r="F65" s="7" t="s">
        <v>820</v>
      </c>
      <c r="G65" s="9" t="s">
        <v>44</v>
      </c>
      <c r="H65" s="7" t="s">
        <v>77</v>
      </c>
      <c r="I65" s="7" t="s">
        <v>46</v>
      </c>
      <c r="J65" s="9" t="s">
        <v>2357</v>
      </c>
      <c r="K65" s="10" t="s">
        <v>824</v>
      </c>
      <c r="L65" s="31" t="s">
        <v>822</v>
      </c>
      <c r="M65" s="7" t="s">
        <v>823</v>
      </c>
      <c r="N65" s="7" t="s">
        <v>49</v>
      </c>
      <c r="O65" s="7" t="s">
        <v>825</v>
      </c>
      <c r="P65" s="8" t="s">
        <v>826</v>
      </c>
      <c r="Q65" s="8" t="s">
        <v>827</v>
      </c>
      <c r="R65" s="11" t="s">
        <v>828</v>
      </c>
      <c r="S65" s="11" t="s">
        <v>829</v>
      </c>
      <c r="T65" s="7" t="s">
        <v>54</v>
      </c>
      <c r="U65" s="7" t="s">
        <v>55</v>
      </c>
      <c r="V65" s="7" t="s">
        <v>54</v>
      </c>
      <c r="W65" s="7" t="s">
        <v>55</v>
      </c>
      <c r="X65" s="11" t="s">
        <v>830</v>
      </c>
      <c r="Y65" s="7" t="s">
        <v>57</v>
      </c>
      <c r="Z65" s="7" t="s">
        <v>820</v>
      </c>
      <c r="AA65" s="9" t="s">
        <v>831</v>
      </c>
      <c r="AB65" s="7" t="s">
        <v>832</v>
      </c>
      <c r="AC65" s="7" t="s">
        <v>833</v>
      </c>
      <c r="AD65" s="7" t="s">
        <v>820</v>
      </c>
      <c r="AE65" s="31" t="s">
        <v>822</v>
      </c>
      <c r="AF65" s="7" t="s">
        <v>821</v>
      </c>
      <c r="AG65" s="32" t="s">
        <v>822</v>
      </c>
      <c r="AH65" s="9" t="s">
        <v>64</v>
      </c>
      <c r="AI65" s="9">
        <v>2.0</v>
      </c>
      <c r="AJ65" s="7" t="s">
        <v>834</v>
      </c>
      <c r="AK65" s="7" t="s">
        <v>727</v>
      </c>
      <c r="AL65" s="9" t="s">
        <v>337</v>
      </c>
      <c r="AM65" s="7" t="s">
        <v>835</v>
      </c>
      <c r="AN65" s="7" t="s">
        <v>157</v>
      </c>
      <c r="AO65" s="7" t="s">
        <v>109</v>
      </c>
      <c r="AP65" s="7" t="s">
        <v>70</v>
      </c>
      <c r="AQ65" s="13"/>
      <c r="AR65" s="13"/>
      <c r="AS65" s="13"/>
      <c r="AT65" s="13"/>
      <c r="AU65" s="13"/>
      <c r="AV65" s="13"/>
    </row>
    <row r="66">
      <c r="A66" s="6">
        <v>45785.34882924768</v>
      </c>
      <c r="B66" s="7" t="s">
        <v>634</v>
      </c>
      <c r="C66" s="7" t="s">
        <v>635</v>
      </c>
      <c r="D66" s="10" t="s">
        <v>636</v>
      </c>
      <c r="E66" s="7" t="s">
        <v>637</v>
      </c>
      <c r="F66" s="7" t="s">
        <v>638</v>
      </c>
      <c r="G66" s="9" t="s">
        <v>76</v>
      </c>
      <c r="H66" s="7" t="s">
        <v>77</v>
      </c>
      <c r="I66" s="7" t="s">
        <v>78</v>
      </c>
      <c r="J66" s="7"/>
      <c r="K66" s="8">
        <v>1.210201E7</v>
      </c>
      <c r="L66" s="31" t="s">
        <v>639</v>
      </c>
      <c r="M66" s="7" t="s">
        <v>640</v>
      </c>
      <c r="N66" s="7" t="s">
        <v>49</v>
      </c>
      <c r="O66" s="7" t="s">
        <v>641</v>
      </c>
      <c r="P66" s="8" t="s">
        <v>642</v>
      </c>
      <c r="Q66" s="8">
        <v>3.006203E7</v>
      </c>
      <c r="R66" s="11" t="s">
        <v>643</v>
      </c>
      <c r="S66" s="11" t="s">
        <v>644</v>
      </c>
      <c r="T66" s="7" t="s">
        <v>54</v>
      </c>
      <c r="U66" s="7" t="s">
        <v>55</v>
      </c>
      <c r="V66" s="7" t="s">
        <v>54</v>
      </c>
      <c r="W66" s="7" t="s">
        <v>55</v>
      </c>
      <c r="X66" s="11" t="s">
        <v>645</v>
      </c>
      <c r="Y66" s="7" t="s">
        <v>57</v>
      </c>
      <c r="Z66" s="7" t="s">
        <v>638</v>
      </c>
      <c r="AA66" s="9" t="s">
        <v>646</v>
      </c>
      <c r="AB66" s="7" t="s">
        <v>647</v>
      </c>
      <c r="AC66" s="7" t="s">
        <v>648</v>
      </c>
      <c r="AD66" s="7" t="s">
        <v>649</v>
      </c>
      <c r="AE66" s="32" t="s">
        <v>639</v>
      </c>
      <c r="AF66" s="7" t="s">
        <v>650</v>
      </c>
      <c r="AG66" s="32" t="s">
        <v>636</v>
      </c>
      <c r="AH66" s="9" t="s">
        <v>64</v>
      </c>
      <c r="AI66" s="9">
        <v>2.0</v>
      </c>
      <c r="AJ66" s="7" t="s">
        <v>651</v>
      </c>
      <c r="AK66" s="7" t="s">
        <v>652</v>
      </c>
      <c r="AL66" s="9" t="s">
        <v>653</v>
      </c>
      <c r="AM66" s="7" t="s">
        <v>654</v>
      </c>
      <c r="AN66" s="7" t="s">
        <v>408</v>
      </c>
      <c r="AO66" s="7" t="s">
        <v>55</v>
      </c>
      <c r="AP66" s="7" t="s">
        <v>70</v>
      </c>
      <c r="AQ66" s="13"/>
      <c r="AR66" s="13"/>
      <c r="AS66" s="13"/>
      <c r="AT66" s="13"/>
      <c r="AU66" s="13"/>
      <c r="AV66" s="13"/>
    </row>
    <row r="67">
      <c r="A67" s="6">
        <v>45787.09792707176</v>
      </c>
      <c r="B67" s="7" t="s">
        <v>2167</v>
      </c>
      <c r="C67" s="7" t="s">
        <v>2168</v>
      </c>
      <c r="D67" s="8" t="s">
        <v>2169</v>
      </c>
      <c r="E67" s="7" t="s">
        <v>2170</v>
      </c>
      <c r="F67" s="7" t="s">
        <v>2171</v>
      </c>
      <c r="G67" s="9" t="s">
        <v>44</v>
      </c>
      <c r="H67" s="7" t="s">
        <v>77</v>
      </c>
      <c r="I67" s="7" t="s">
        <v>141</v>
      </c>
      <c r="J67" s="9" t="s">
        <v>2361</v>
      </c>
      <c r="K67" s="8">
        <v>1.111201E7</v>
      </c>
      <c r="L67" s="10" t="s">
        <v>2172</v>
      </c>
      <c r="M67" s="7" t="s">
        <v>2170</v>
      </c>
      <c r="N67" s="7" t="s">
        <v>49</v>
      </c>
      <c r="O67" s="7" t="s">
        <v>2173</v>
      </c>
      <c r="P67" s="8" t="s">
        <v>2174</v>
      </c>
      <c r="Q67" s="8">
        <v>2.1062028E7</v>
      </c>
      <c r="R67" s="11" t="s">
        <v>2175</v>
      </c>
      <c r="S67" s="11" t="s">
        <v>2176</v>
      </c>
      <c r="T67" s="7" t="s">
        <v>54</v>
      </c>
      <c r="U67" s="7" t="s">
        <v>55</v>
      </c>
      <c r="V67" s="7" t="s">
        <v>54</v>
      </c>
      <c r="W67" s="7" t="s">
        <v>55</v>
      </c>
      <c r="X67" s="11" t="s">
        <v>2177</v>
      </c>
      <c r="Y67" s="14" t="s">
        <v>194</v>
      </c>
      <c r="Z67" s="15"/>
      <c r="AA67" s="16"/>
      <c r="AB67" s="13"/>
      <c r="AC67" s="13"/>
      <c r="AD67" s="7" t="s">
        <v>2171</v>
      </c>
      <c r="AE67" s="33" t="s">
        <v>2178</v>
      </c>
      <c r="AF67" s="7" t="s">
        <v>2179</v>
      </c>
      <c r="AG67" s="33" t="s">
        <v>2169</v>
      </c>
      <c r="AH67" s="9" t="s">
        <v>64</v>
      </c>
      <c r="AI67" s="9">
        <v>2.0</v>
      </c>
      <c r="AJ67" s="7" t="s">
        <v>2180</v>
      </c>
      <c r="AK67" s="7" t="s">
        <v>2181</v>
      </c>
      <c r="AL67" s="7" t="s">
        <v>2182</v>
      </c>
      <c r="AM67" s="42" t="s">
        <v>2183</v>
      </c>
      <c r="AN67" s="7" t="s">
        <v>1525</v>
      </c>
      <c r="AO67" s="7" t="s">
        <v>55</v>
      </c>
      <c r="AP67" s="7" t="s">
        <v>70</v>
      </c>
      <c r="AQ67" s="13"/>
      <c r="AR67" s="13"/>
      <c r="AS67" s="13"/>
      <c r="AT67" s="13"/>
      <c r="AU67" s="13"/>
      <c r="AV67" s="13"/>
    </row>
    <row r="68">
      <c r="A68" s="6">
        <v>45786.36105917824</v>
      </c>
      <c r="B68" s="7" t="s">
        <v>1442</v>
      </c>
      <c r="C68" s="7" t="s">
        <v>1443</v>
      </c>
      <c r="D68" s="8" t="s">
        <v>1444</v>
      </c>
      <c r="E68" s="7" t="s">
        <v>1445</v>
      </c>
      <c r="F68" s="7" t="s">
        <v>1446</v>
      </c>
      <c r="G68" s="9" t="s">
        <v>44</v>
      </c>
      <c r="H68" s="7" t="s">
        <v>77</v>
      </c>
      <c r="I68" s="7" t="s">
        <v>141</v>
      </c>
      <c r="J68" s="9" t="s">
        <v>2358</v>
      </c>
      <c r="K68" s="8">
        <v>2.806201E7</v>
      </c>
      <c r="L68" s="34" t="s">
        <v>1447</v>
      </c>
      <c r="M68" s="7" t="s">
        <v>1445</v>
      </c>
      <c r="N68" s="7" t="s">
        <v>49</v>
      </c>
      <c r="O68" s="7" t="s">
        <v>1448</v>
      </c>
      <c r="P68" s="8" t="s">
        <v>1449</v>
      </c>
      <c r="Q68" s="10" t="s">
        <v>1450</v>
      </c>
      <c r="R68" s="20" t="s">
        <v>1451</v>
      </c>
      <c r="S68" s="11" t="s">
        <v>1452</v>
      </c>
      <c r="T68" s="7" t="s">
        <v>54</v>
      </c>
      <c r="U68" s="7" t="s">
        <v>55</v>
      </c>
      <c r="V68" s="7" t="s">
        <v>54</v>
      </c>
      <c r="W68" s="7" t="s">
        <v>55</v>
      </c>
      <c r="X68" s="11" t="s">
        <v>1453</v>
      </c>
      <c r="Y68" s="7" t="s">
        <v>57</v>
      </c>
      <c r="Z68" s="7" t="s">
        <v>1454</v>
      </c>
      <c r="AA68" s="9">
        <v>1.00628600078E11</v>
      </c>
      <c r="AB68" s="7" t="s">
        <v>1455</v>
      </c>
      <c r="AC68" s="7" t="s">
        <v>1456</v>
      </c>
      <c r="AD68" s="7" t="s">
        <v>1457</v>
      </c>
      <c r="AE68" s="33" t="s">
        <v>1447</v>
      </c>
      <c r="AF68" s="7" t="s">
        <v>1458</v>
      </c>
      <c r="AG68" s="33" t="s">
        <v>1444</v>
      </c>
      <c r="AH68" s="9" t="s">
        <v>64</v>
      </c>
      <c r="AI68" s="9">
        <v>3.0</v>
      </c>
      <c r="AJ68" s="7" t="s">
        <v>1459</v>
      </c>
      <c r="AK68" s="7" t="s">
        <v>1460</v>
      </c>
      <c r="AL68" s="7" t="s">
        <v>1461</v>
      </c>
      <c r="AM68" s="7" t="s">
        <v>1462</v>
      </c>
      <c r="AN68" s="7" t="s">
        <v>69</v>
      </c>
      <c r="AO68" s="7" t="s">
        <v>55</v>
      </c>
      <c r="AP68" s="7" t="s">
        <v>70</v>
      </c>
      <c r="AQ68" s="13"/>
      <c r="AR68" s="13"/>
      <c r="AS68" s="13"/>
      <c r="AT68" s="13"/>
      <c r="AU68" s="13"/>
      <c r="AV68" s="13"/>
    </row>
    <row r="69">
      <c r="A69" s="6">
        <v>45785.44801894676</v>
      </c>
      <c r="B69" s="7" t="s">
        <v>696</v>
      </c>
      <c r="C69" s="7" t="s">
        <v>697</v>
      </c>
      <c r="D69" s="10" t="s">
        <v>698</v>
      </c>
      <c r="E69" s="7" t="s">
        <v>699</v>
      </c>
      <c r="F69" s="7" t="s">
        <v>700</v>
      </c>
      <c r="G69" s="9" t="s">
        <v>76</v>
      </c>
      <c r="H69" s="7" t="s">
        <v>77</v>
      </c>
      <c r="I69" s="7" t="s">
        <v>78</v>
      </c>
      <c r="J69" s="7"/>
      <c r="K69" s="8">
        <v>1.7092011E7</v>
      </c>
      <c r="L69" s="31" t="s">
        <v>701</v>
      </c>
      <c r="M69" s="7" t="s">
        <v>702</v>
      </c>
      <c r="N69" s="7" t="s">
        <v>49</v>
      </c>
      <c r="O69" s="7" t="s">
        <v>700</v>
      </c>
      <c r="P69" s="8" t="s">
        <v>703</v>
      </c>
      <c r="Q69" s="8">
        <v>2.0122027E7</v>
      </c>
      <c r="R69" s="11" t="s">
        <v>704</v>
      </c>
      <c r="S69" s="11" t="s">
        <v>705</v>
      </c>
      <c r="T69" s="7" t="s">
        <v>54</v>
      </c>
      <c r="U69" s="7" t="s">
        <v>55</v>
      </c>
      <c r="V69" s="7" t="s">
        <v>54</v>
      </c>
      <c r="W69" s="7" t="s">
        <v>55</v>
      </c>
      <c r="X69" s="11" t="s">
        <v>706</v>
      </c>
      <c r="Y69" s="7" t="s">
        <v>57</v>
      </c>
      <c r="Z69" s="7" t="s">
        <v>700</v>
      </c>
      <c r="AA69" s="9" t="s">
        <v>707</v>
      </c>
      <c r="AB69" s="7" t="s">
        <v>708</v>
      </c>
      <c r="AC69" s="7" t="s">
        <v>709</v>
      </c>
      <c r="AD69" s="7" t="s">
        <v>700</v>
      </c>
      <c r="AE69" s="32" t="s">
        <v>701</v>
      </c>
      <c r="AF69" s="7" t="s">
        <v>710</v>
      </c>
      <c r="AG69" s="32" t="s">
        <v>698</v>
      </c>
      <c r="AH69" s="17" t="s">
        <v>260</v>
      </c>
      <c r="AI69" s="18"/>
      <c r="AJ69" s="13"/>
      <c r="AK69" s="13"/>
      <c r="AL69" s="16"/>
      <c r="AM69" s="7" t="s">
        <v>711</v>
      </c>
      <c r="AN69" s="7" t="s">
        <v>157</v>
      </c>
      <c r="AO69" s="7" t="s">
        <v>55</v>
      </c>
      <c r="AP69" s="7" t="s">
        <v>70</v>
      </c>
      <c r="AQ69" s="13"/>
      <c r="AR69" s="13"/>
      <c r="AS69" s="13"/>
      <c r="AT69" s="13"/>
      <c r="AU69" s="13"/>
      <c r="AV69" s="13"/>
    </row>
    <row r="70">
      <c r="A70" s="6">
        <v>45785.88120875</v>
      </c>
      <c r="B70" s="7" t="s">
        <v>1091</v>
      </c>
      <c r="C70" s="7" t="s">
        <v>1092</v>
      </c>
      <c r="D70" s="10" t="s">
        <v>1093</v>
      </c>
      <c r="E70" s="7" t="s">
        <v>1094</v>
      </c>
      <c r="F70" s="7" t="s">
        <v>1095</v>
      </c>
      <c r="G70" s="9" t="s">
        <v>76</v>
      </c>
      <c r="H70" s="7" t="s">
        <v>45</v>
      </c>
      <c r="I70" s="7" t="s">
        <v>1096</v>
      </c>
      <c r="J70" s="9" t="s">
        <v>2357</v>
      </c>
      <c r="K70" s="10" t="s">
        <v>1097</v>
      </c>
      <c r="L70" s="32" t="s">
        <v>1098</v>
      </c>
      <c r="M70" s="7" t="s">
        <v>1099</v>
      </c>
      <c r="N70" s="7" t="s">
        <v>49</v>
      </c>
      <c r="O70" s="7" t="s">
        <v>1100</v>
      </c>
      <c r="P70" s="8" t="s">
        <v>1101</v>
      </c>
      <c r="Q70" s="8">
        <v>2.1092029E7</v>
      </c>
      <c r="R70" s="11" t="s">
        <v>1102</v>
      </c>
      <c r="S70" s="11" t="s">
        <v>1103</v>
      </c>
      <c r="T70" s="14" t="s">
        <v>54</v>
      </c>
      <c r="U70" s="14" t="s">
        <v>55</v>
      </c>
      <c r="V70" s="14" t="s">
        <v>846</v>
      </c>
      <c r="W70" s="14" t="s">
        <v>1104</v>
      </c>
      <c r="X70" s="11" t="s">
        <v>1105</v>
      </c>
      <c r="Y70" s="7" t="s">
        <v>57</v>
      </c>
      <c r="Z70" s="7" t="s">
        <v>1100</v>
      </c>
      <c r="AA70" s="9" t="s">
        <v>1106</v>
      </c>
      <c r="AB70" s="7" t="s">
        <v>1107</v>
      </c>
      <c r="AC70" s="7" t="s">
        <v>1108</v>
      </c>
      <c r="AD70" s="7" t="s">
        <v>1109</v>
      </c>
      <c r="AE70" s="32" t="s">
        <v>1098</v>
      </c>
      <c r="AF70" s="7" t="s">
        <v>1091</v>
      </c>
      <c r="AG70" s="32" t="s">
        <v>1093</v>
      </c>
      <c r="AH70" s="9" t="s">
        <v>64</v>
      </c>
      <c r="AI70" s="9">
        <v>3.0</v>
      </c>
      <c r="AJ70" s="7" t="s">
        <v>1110</v>
      </c>
      <c r="AK70" s="7" t="s">
        <v>1111</v>
      </c>
      <c r="AL70" s="12" t="s">
        <v>1112</v>
      </c>
      <c r="AM70" s="7" t="s">
        <v>1113</v>
      </c>
      <c r="AN70" s="7" t="s">
        <v>1114</v>
      </c>
      <c r="AO70" s="7" t="s">
        <v>55</v>
      </c>
      <c r="AP70" s="7" t="s">
        <v>70</v>
      </c>
      <c r="AQ70" s="13"/>
      <c r="AR70" s="13"/>
      <c r="AS70" s="13"/>
      <c r="AT70" s="13"/>
      <c r="AU70" s="13"/>
      <c r="AV70" s="13"/>
    </row>
    <row r="71">
      <c r="A71" s="6">
        <v>45784.96112417824</v>
      </c>
      <c r="B71" s="7" t="s">
        <v>546</v>
      </c>
      <c r="C71" s="7" t="s">
        <v>547</v>
      </c>
      <c r="D71" s="32" t="s">
        <v>548</v>
      </c>
      <c r="E71" s="7" t="s">
        <v>549</v>
      </c>
      <c r="F71" s="7" t="s">
        <v>550</v>
      </c>
      <c r="G71" s="9" t="s">
        <v>44</v>
      </c>
      <c r="H71" s="7" t="s">
        <v>77</v>
      </c>
      <c r="I71" s="7" t="s">
        <v>78</v>
      </c>
      <c r="J71" s="9" t="s">
        <v>2366</v>
      </c>
      <c r="K71" s="8">
        <v>1.702201E7</v>
      </c>
      <c r="L71" s="31" t="s">
        <v>551</v>
      </c>
      <c r="M71" s="7" t="s">
        <v>549</v>
      </c>
      <c r="N71" s="7" t="s">
        <v>49</v>
      </c>
      <c r="O71" s="7" t="s">
        <v>550</v>
      </c>
      <c r="P71" s="8" t="s">
        <v>552</v>
      </c>
      <c r="Q71" s="8">
        <v>1.104203E7</v>
      </c>
      <c r="R71" s="20" t="s">
        <v>553</v>
      </c>
      <c r="S71" s="11" t="s">
        <v>554</v>
      </c>
      <c r="T71" s="7" t="s">
        <v>54</v>
      </c>
      <c r="U71" s="7" t="s">
        <v>55</v>
      </c>
      <c r="V71" s="7" t="s">
        <v>54</v>
      </c>
      <c r="W71" s="7" t="s">
        <v>55</v>
      </c>
      <c r="X71" s="11" t="s">
        <v>555</v>
      </c>
      <c r="Y71" s="7" t="s">
        <v>57</v>
      </c>
      <c r="Z71" s="7" t="s">
        <v>550</v>
      </c>
      <c r="AA71" s="9" t="s">
        <v>556</v>
      </c>
      <c r="AB71" s="7" t="s">
        <v>557</v>
      </c>
      <c r="AC71" s="7" t="s">
        <v>558</v>
      </c>
      <c r="AD71" s="7" t="s">
        <v>550</v>
      </c>
      <c r="AE71" s="32" t="s">
        <v>551</v>
      </c>
      <c r="AF71" s="7" t="s">
        <v>559</v>
      </c>
      <c r="AG71" s="32" t="s">
        <v>548</v>
      </c>
      <c r="AH71" s="9" t="s">
        <v>64</v>
      </c>
      <c r="AI71" s="9">
        <v>1.0</v>
      </c>
      <c r="AJ71" s="7" t="s">
        <v>560</v>
      </c>
      <c r="AK71" s="7" t="s">
        <v>561</v>
      </c>
      <c r="AL71" s="9" t="s">
        <v>562</v>
      </c>
      <c r="AM71" s="19" t="s">
        <v>548</v>
      </c>
      <c r="AN71" s="7" t="s">
        <v>117</v>
      </c>
      <c r="AO71" s="7" t="s">
        <v>55</v>
      </c>
      <c r="AP71" s="7" t="s">
        <v>70</v>
      </c>
      <c r="AQ71" s="13"/>
      <c r="AR71" s="13"/>
      <c r="AS71" s="13"/>
      <c r="AT71" s="13"/>
      <c r="AU71" s="13"/>
      <c r="AV71" s="13"/>
    </row>
    <row r="72">
      <c r="A72" s="6">
        <v>45785.919514189816</v>
      </c>
      <c r="B72" s="7" t="s">
        <v>1172</v>
      </c>
      <c r="C72" s="7" t="s">
        <v>1173</v>
      </c>
      <c r="D72" s="10" t="s">
        <v>1174</v>
      </c>
      <c r="E72" s="7" t="s">
        <v>1175</v>
      </c>
      <c r="F72" s="7" t="s">
        <v>1176</v>
      </c>
      <c r="G72" s="9" t="s">
        <v>44</v>
      </c>
      <c r="H72" s="7" t="s">
        <v>77</v>
      </c>
      <c r="I72" s="7" t="s">
        <v>78</v>
      </c>
      <c r="J72" s="9" t="s">
        <v>2348</v>
      </c>
      <c r="K72" s="8">
        <v>1.711201E7</v>
      </c>
      <c r="L72" s="10" t="s">
        <v>1177</v>
      </c>
      <c r="M72" s="7" t="s">
        <v>1178</v>
      </c>
      <c r="N72" s="7" t="s">
        <v>49</v>
      </c>
      <c r="O72" s="7" t="s">
        <v>1179</v>
      </c>
      <c r="P72" s="8" t="s">
        <v>1180</v>
      </c>
      <c r="Q72" s="8" t="s">
        <v>1181</v>
      </c>
      <c r="R72" s="20" t="s">
        <v>1182</v>
      </c>
      <c r="S72" s="11" t="s">
        <v>1183</v>
      </c>
      <c r="T72" s="7" t="s">
        <v>54</v>
      </c>
      <c r="U72" s="7" t="s">
        <v>55</v>
      </c>
      <c r="V72" s="7" t="s">
        <v>54</v>
      </c>
      <c r="W72" s="7" t="s">
        <v>55</v>
      </c>
      <c r="X72" s="11" t="s">
        <v>1184</v>
      </c>
      <c r="Y72" s="7" t="s">
        <v>57</v>
      </c>
      <c r="Z72" s="7" t="s">
        <v>1176</v>
      </c>
      <c r="AA72" s="9" t="s">
        <v>1185</v>
      </c>
      <c r="AB72" s="7" t="s">
        <v>1186</v>
      </c>
      <c r="AC72" s="7" t="s">
        <v>1187</v>
      </c>
      <c r="AD72" s="7" t="s">
        <v>1188</v>
      </c>
      <c r="AE72" s="32" t="s">
        <v>1177</v>
      </c>
      <c r="AF72" s="7" t="s">
        <v>1189</v>
      </c>
      <c r="AG72" s="32" t="s">
        <v>1174</v>
      </c>
      <c r="AH72" s="9" t="s">
        <v>64</v>
      </c>
      <c r="AI72" s="9">
        <v>2.0</v>
      </c>
      <c r="AJ72" s="7" t="s">
        <v>1190</v>
      </c>
      <c r="AK72" s="7" t="s">
        <v>1191</v>
      </c>
      <c r="AL72" s="12" t="s">
        <v>67</v>
      </c>
      <c r="AM72" s="7" t="s">
        <v>1192</v>
      </c>
      <c r="AN72" s="7" t="s">
        <v>241</v>
      </c>
      <c r="AO72" s="7" t="s">
        <v>55</v>
      </c>
      <c r="AP72" s="7" t="s">
        <v>70</v>
      </c>
      <c r="AQ72" s="13"/>
      <c r="AR72" s="13"/>
      <c r="AS72" s="13"/>
      <c r="AT72" s="13"/>
      <c r="AU72" s="13"/>
      <c r="AV72" s="13"/>
    </row>
    <row r="73">
      <c r="A73" s="6">
        <v>45787.6584571875</v>
      </c>
      <c r="B73" s="7" t="s">
        <v>1938</v>
      </c>
      <c r="C73" s="7" t="s">
        <v>460</v>
      </c>
      <c r="D73" s="8" t="s">
        <v>1939</v>
      </c>
      <c r="E73" s="7" t="s">
        <v>1940</v>
      </c>
      <c r="F73" s="7" t="s">
        <v>2226</v>
      </c>
      <c r="G73" s="9" t="s">
        <v>76</v>
      </c>
      <c r="H73" s="7" t="s">
        <v>45</v>
      </c>
      <c r="I73" s="7" t="s">
        <v>78</v>
      </c>
      <c r="J73" s="9" t="s">
        <v>2374</v>
      </c>
      <c r="K73" s="10" t="s">
        <v>1942</v>
      </c>
      <c r="L73" s="31" t="s">
        <v>2380</v>
      </c>
      <c r="M73" s="7" t="s">
        <v>2228</v>
      </c>
      <c r="N73" s="7" t="s">
        <v>49</v>
      </c>
      <c r="O73" s="7" t="s">
        <v>2226</v>
      </c>
      <c r="P73" s="8" t="s">
        <v>2229</v>
      </c>
      <c r="Q73" s="10" t="s">
        <v>2230</v>
      </c>
      <c r="R73" s="11" t="s">
        <v>2231</v>
      </c>
      <c r="S73" s="11" t="s">
        <v>2232</v>
      </c>
      <c r="T73" s="7" t="s">
        <v>54</v>
      </c>
      <c r="U73" s="7" t="s">
        <v>55</v>
      </c>
      <c r="V73" s="7" t="s">
        <v>54</v>
      </c>
      <c r="W73" s="7" t="s">
        <v>55</v>
      </c>
      <c r="X73" s="11" t="s">
        <v>2233</v>
      </c>
      <c r="Y73" s="7" t="s">
        <v>57</v>
      </c>
      <c r="Z73" s="7" t="s">
        <v>2226</v>
      </c>
      <c r="AA73" s="9" t="s">
        <v>2234</v>
      </c>
      <c r="AB73" s="7" t="s">
        <v>2235</v>
      </c>
      <c r="AC73" s="7" t="s">
        <v>2236</v>
      </c>
      <c r="AD73" s="7" t="s">
        <v>2226</v>
      </c>
      <c r="AE73" s="33" t="s">
        <v>2227</v>
      </c>
      <c r="AF73" s="7" t="s">
        <v>2237</v>
      </c>
      <c r="AG73" s="33" t="s">
        <v>1939</v>
      </c>
      <c r="AH73" s="9" t="s">
        <v>64</v>
      </c>
      <c r="AI73" s="9">
        <v>2.0</v>
      </c>
      <c r="AJ73" s="7" t="s">
        <v>2238</v>
      </c>
      <c r="AK73" s="7" t="s">
        <v>1939</v>
      </c>
      <c r="AL73" s="7" t="s">
        <v>2239</v>
      </c>
      <c r="AM73" s="7" t="s">
        <v>2240</v>
      </c>
      <c r="AN73" s="7" t="s">
        <v>157</v>
      </c>
      <c r="AO73" s="7" t="s">
        <v>55</v>
      </c>
      <c r="AP73" s="7" t="s">
        <v>70</v>
      </c>
      <c r="AQ73" s="13"/>
      <c r="AR73" s="13"/>
      <c r="AS73" s="13"/>
      <c r="AT73" s="13"/>
      <c r="AU73" s="13"/>
      <c r="AV73" s="13"/>
    </row>
    <row r="74">
      <c r="A74" s="6">
        <v>45785.70097752315</v>
      </c>
      <c r="B74" s="7" t="s">
        <v>1005</v>
      </c>
      <c r="C74" s="7" t="s">
        <v>635</v>
      </c>
      <c r="D74" s="10" t="s">
        <v>636</v>
      </c>
      <c r="E74" s="7" t="s">
        <v>637</v>
      </c>
      <c r="F74" s="7" t="s">
        <v>1006</v>
      </c>
      <c r="G74" s="9" t="s">
        <v>76</v>
      </c>
      <c r="H74" s="7" t="s">
        <v>77</v>
      </c>
      <c r="I74" s="7" t="s">
        <v>78</v>
      </c>
      <c r="J74" s="7"/>
      <c r="K74" s="8">
        <v>1.210201E7</v>
      </c>
      <c r="L74" s="31" t="s">
        <v>639</v>
      </c>
      <c r="M74" s="7" t="s">
        <v>640</v>
      </c>
      <c r="N74" s="7" t="s">
        <v>49</v>
      </c>
      <c r="O74" s="7" t="s">
        <v>1007</v>
      </c>
      <c r="P74" s="8" t="s">
        <v>642</v>
      </c>
      <c r="Q74" s="8">
        <v>3.006203E7</v>
      </c>
      <c r="R74" s="11" t="s">
        <v>1008</v>
      </c>
      <c r="S74" s="11" t="s">
        <v>1009</v>
      </c>
      <c r="T74" s="7" t="s">
        <v>54</v>
      </c>
      <c r="U74" s="7" t="s">
        <v>109</v>
      </c>
      <c r="V74" s="7" t="s">
        <v>54</v>
      </c>
      <c r="W74" s="7" t="s">
        <v>109</v>
      </c>
      <c r="X74" s="11" t="s">
        <v>1010</v>
      </c>
      <c r="Y74" s="7" t="s">
        <v>57</v>
      </c>
      <c r="Z74" s="7" t="s">
        <v>1006</v>
      </c>
      <c r="AA74" s="9" t="s">
        <v>646</v>
      </c>
      <c r="AB74" s="7" t="s">
        <v>354</v>
      </c>
      <c r="AC74" s="7" t="s">
        <v>1011</v>
      </c>
      <c r="AD74" s="7" t="s">
        <v>649</v>
      </c>
      <c r="AE74" s="32" t="s">
        <v>639</v>
      </c>
      <c r="AF74" s="7" t="s">
        <v>650</v>
      </c>
      <c r="AG74" s="32" t="s">
        <v>636</v>
      </c>
      <c r="AH74" s="9" t="s">
        <v>64</v>
      </c>
      <c r="AI74" s="9">
        <v>2.0</v>
      </c>
      <c r="AJ74" s="7" t="s">
        <v>1012</v>
      </c>
      <c r="AK74" s="7" t="s">
        <v>1013</v>
      </c>
      <c r="AL74" s="9" t="s">
        <v>180</v>
      </c>
      <c r="AM74" s="7" t="s">
        <v>654</v>
      </c>
      <c r="AN74" s="7" t="s">
        <v>408</v>
      </c>
      <c r="AO74" s="7" t="s">
        <v>109</v>
      </c>
      <c r="AP74" s="7" t="s">
        <v>70</v>
      </c>
      <c r="AQ74" s="13"/>
      <c r="AR74" s="13"/>
      <c r="AS74" s="13"/>
      <c r="AT74" s="13"/>
      <c r="AU74" s="13"/>
      <c r="AV74" s="13"/>
    </row>
    <row r="75">
      <c r="A75" s="6">
        <v>45786.29603201389</v>
      </c>
      <c r="B75" s="7" t="s">
        <v>1411</v>
      </c>
      <c r="C75" s="7" t="s">
        <v>1412</v>
      </c>
      <c r="D75" s="10" t="s">
        <v>1413</v>
      </c>
      <c r="E75" s="7" t="s">
        <v>1414</v>
      </c>
      <c r="F75" s="7" t="s">
        <v>1415</v>
      </c>
      <c r="G75" s="9" t="s">
        <v>76</v>
      </c>
      <c r="H75" s="7" t="s">
        <v>101</v>
      </c>
      <c r="I75" s="7" t="s">
        <v>141</v>
      </c>
      <c r="J75" s="7"/>
      <c r="K75" s="8">
        <v>2.1022012E7</v>
      </c>
      <c r="L75" s="31" t="s">
        <v>1416</v>
      </c>
      <c r="M75" s="7" t="s">
        <v>1414</v>
      </c>
      <c r="N75" s="7" t="s">
        <v>49</v>
      </c>
      <c r="O75" s="7" t="s">
        <v>1415</v>
      </c>
      <c r="P75" s="8" t="s">
        <v>1417</v>
      </c>
      <c r="Q75" s="10" t="s">
        <v>943</v>
      </c>
      <c r="R75" s="11" t="s">
        <v>1418</v>
      </c>
      <c r="S75" s="11" t="s">
        <v>1419</v>
      </c>
      <c r="T75" s="7" t="s">
        <v>54</v>
      </c>
      <c r="U75" s="7" t="s">
        <v>55</v>
      </c>
      <c r="V75" s="7" t="s">
        <v>54</v>
      </c>
      <c r="W75" s="7" t="s">
        <v>55</v>
      </c>
      <c r="X75" s="11" t="s">
        <v>1420</v>
      </c>
      <c r="Y75" s="7" t="s">
        <v>57</v>
      </c>
      <c r="Z75" s="7" t="s">
        <v>1415</v>
      </c>
      <c r="AA75" s="9" t="s">
        <v>1421</v>
      </c>
      <c r="AB75" s="7" t="s">
        <v>1422</v>
      </c>
      <c r="AC75" s="7" t="s">
        <v>1423</v>
      </c>
      <c r="AD75" s="7" t="s">
        <v>1415</v>
      </c>
      <c r="AE75" s="32" t="s">
        <v>1416</v>
      </c>
      <c r="AF75" s="7" t="s">
        <v>1424</v>
      </c>
      <c r="AG75" s="32" t="s">
        <v>1413</v>
      </c>
      <c r="AH75" s="9" t="s">
        <v>64</v>
      </c>
      <c r="AI75" s="9">
        <v>4.0</v>
      </c>
      <c r="AJ75" s="7" t="s">
        <v>69</v>
      </c>
      <c r="AK75" s="7" t="s">
        <v>1425</v>
      </c>
      <c r="AL75" s="7">
        <v>2.4062025E7</v>
      </c>
      <c r="AM75" s="7" t="s">
        <v>1426</v>
      </c>
      <c r="AN75" s="7" t="s">
        <v>69</v>
      </c>
      <c r="AO75" s="7" t="s">
        <v>1427</v>
      </c>
      <c r="AP75" s="7" t="s">
        <v>70</v>
      </c>
      <c r="AQ75" s="13"/>
      <c r="AR75" s="13"/>
      <c r="AS75" s="13"/>
      <c r="AT75" s="13"/>
      <c r="AU75" s="13"/>
      <c r="AV75" s="13"/>
    </row>
    <row r="76">
      <c r="A76" s="6">
        <v>45784.85214447917</v>
      </c>
      <c r="B76" s="7" t="s">
        <v>201</v>
      </c>
      <c r="C76" s="7" t="s">
        <v>202</v>
      </c>
      <c r="D76" s="10" t="s">
        <v>203</v>
      </c>
      <c r="E76" s="7" t="s">
        <v>204</v>
      </c>
      <c r="F76" s="7" t="s">
        <v>205</v>
      </c>
      <c r="G76" s="9" t="s">
        <v>44</v>
      </c>
      <c r="H76" s="7" t="s">
        <v>77</v>
      </c>
      <c r="I76" s="7" t="s">
        <v>78</v>
      </c>
      <c r="J76" s="9" t="s">
        <v>2357</v>
      </c>
      <c r="K76" s="10" t="s">
        <v>206</v>
      </c>
      <c r="L76" s="10" t="s">
        <v>207</v>
      </c>
      <c r="M76" s="7" t="s">
        <v>208</v>
      </c>
      <c r="N76" s="7" t="s">
        <v>49</v>
      </c>
      <c r="O76" s="7" t="s">
        <v>205</v>
      </c>
      <c r="P76" s="8" t="s">
        <v>209</v>
      </c>
      <c r="Q76" s="10" t="s">
        <v>210</v>
      </c>
      <c r="R76" s="11" t="s">
        <v>211</v>
      </c>
      <c r="S76" s="11" t="s">
        <v>212</v>
      </c>
      <c r="T76" s="14" t="s">
        <v>54</v>
      </c>
      <c r="U76" s="14" t="s">
        <v>55</v>
      </c>
      <c r="V76" s="14" t="s">
        <v>213</v>
      </c>
      <c r="W76" s="14" t="s">
        <v>55</v>
      </c>
      <c r="X76" s="11" t="s">
        <v>214</v>
      </c>
      <c r="Y76" s="7" t="s">
        <v>57</v>
      </c>
      <c r="Z76" s="7" t="s">
        <v>205</v>
      </c>
      <c r="AA76" s="9" t="s">
        <v>215</v>
      </c>
      <c r="AB76" s="7" t="s">
        <v>216</v>
      </c>
      <c r="AC76" s="7" t="s">
        <v>217</v>
      </c>
      <c r="AD76" s="7" t="s">
        <v>205</v>
      </c>
      <c r="AE76" s="32" t="s">
        <v>207</v>
      </c>
      <c r="AF76" s="7" t="s">
        <v>218</v>
      </c>
      <c r="AG76" s="32" t="s">
        <v>203</v>
      </c>
      <c r="AH76" s="9" t="s">
        <v>64</v>
      </c>
      <c r="AI76" s="9">
        <v>3.0</v>
      </c>
      <c r="AJ76" s="7" t="s">
        <v>219</v>
      </c>
      <c r="AK76" s="7" t="s">
        <v>220</v>
      </c>
      <c r="AL76" s="9" t="s">
        <v>221</v>
      </c>
      <c r="AM76" s="7" t="s">
        <v>222</v>
      </c>
      <c r="AN76" s="7" t="s">
        <v>223</v>
      </c>
      <c r="AO76" s="7" t="s">
        <v>55</v>
      </c>
      <c r="AP76" s="7" t="s">
        <v>70</v>
      </c>
      <c r="AQ76" s="13"/>
      <c r="AR76" s="13"/>
      <c r="AS76" s="13"/>
      <c r="AT76" s="13"/>
      <c r="AU76" s="13"/>
      <c r="AV76" s="13"/>
    </row>
    <row r="77">
      <c r="A77" s="6">
        <v>45784.88485023148</v>
      </c>
      <c r="B77" s="7" t="s">
        <v>261</v>
      </c>
      <c r="C77" s="7" t="s">
        <v>262</v>
      </c>
      <c r="D77" s="10" t="s">
        <v>263</v>
      </c>
      <c r="E77" s="7" t="s">
        <v>264</v>
      </c>
      <c r="F77" s="7" t="s">
        <v>265</v>
      </c>
      <c r="G77" s="9" t="s">
        <v>44</v>
      </c>
      <c r="H77" s="7" t="s">
        <v>77</v>
      </c>
      <c r="I77" s="7" t="s">
        <v>102</v>
      </c>
      <c r="J77" s="9" t="s">
        <v>2357</v>
      </c>
      <c r="K77" s="10" t="s">
        <v>266</v>
      </c>
      <c r="L77" s="34" t="s">
        <v>2381</v>
      </c>
      <c r="M77" s="7" t="s">
        <v>268</v>
      </c>
      <c r="N77" s="7" t="s">
        <v>49</v>
      </c>
      <c r="O77" s="7" t="s">
        <v>265</v>
      </c>
      <c r="P77" s="8" t="s">
        <v>269</v>
      </c>
      <c r="Q77" s="8" t="s">
        <v>270</v>
      </c>
      <c r="R77" s="11" t="s">
        <v>271</v>
      </c>
      <c r="S77" s="11" t="s">
        <v>272</v>
      </c>
      <c r="T77" s="14" t="s">
        <v>54</v>
      </c>
      <c r="U77" s="14" t="s">
        <v>54</v>
      </c>
      <c r="V77" s="14" t="s">
        <v>273</v>
      </c>
      <c r="W77" s="14" t="s">
        <v>273</v>
      </c>
      <c r="X77" s="11" t="s">
        <v>274</v>
      </c>
      <c r="Y77" s="7" t="s">
        <v>57</v>
      </c>
      <c r="Z77" s="7" t="s">
        <v>265</v>
      </c>
      <c r="AA77" s="9" t="s">
        <v>275</v>
      </c>
      <c r="AB77" s="7" t="s">
        <v>276</v>
      </c>
      <c r="AC77" s="7" t="s">
        <v>277</v>
      </c>
      <c r="AD77" s="7" t="s">
        <v>265</v>
      </c>
      <c r="AE77" s="33">
        <f>60182171151</f>
        <v>60182171151</v>
      </c>
      <c r="AF77" s="7" t="s">
        <v>279</v>
      </c>
      <c r="AG77" s="32" t="s">
        <v>263</v>
      </c>
      <c r="AH77" s="9" t="s">
        <v>64</v>
      </c>
      <c r="AI77" s="9">
        <v>1.0</v>
      </c>
      <c r="AJ77" s="7" t="s">
        <v>280</v>
      </c>
      <c r="AK77" s="7" t="s">
        <v>281</v>
      </c>
      <c r="AL77" s="9" t="s">
        <v>282</v>
      </c>
      <c r="AM77" s="19" t="s">
        <v>263</v>
      </c>
      <c r="AN77" s="7" t="s">
        <v>117</v>
      </c>
      <c r="AO77" s="7" t="s">
        <v>55</v>
      </c>
      <c r="AP77" s="7" t="s">
        <v>70</v>
      </c>
      <c r="AQ77" s="13"/>
      <c r="AR77" s="13"/>
      <c r="AS77" s="13"/>
      <c r="AT77" s="13"/>
      <c r="AU77" s="13"/>
      <c r="AV77" s="13"/>
    </row>
    <row r="78">
      <c r="A78" s="6">
        <v>45785.76816291666</v>
      </c>
      <c r="B78" s="7" t="s">
        <v>1047</v>
      </c>
      <c r="C78" s="7" t="s">
        <v>1048</v>
      </c>
      <c r="D78" s="32" t="s">
        <v>1049</v>
      </c>
      <c r="E78" s="7" t="s">
        <v>1050</v>
      </c>
      <c r="F78" s="7" t="s">
        <v>1051</v>
      </c>
      <c r="G78" s="9" t="s">
        <v>44</v>
      </c>
      <c r="H78" s="7" t="s">
        <v>101</v>
      </c>
      <c r="I78" s="7" t="s">
        <v>141</v>
      </c>
      <c r="J78" s="9" t="s">
        <v>2353</v>
      </c>
      <c r="K78" s="8">
        <v>2.3012012E7</v>
      </c>
      <c r="L78" s="31" t="s">
        <v>1049</v>
      </c>
      <c r="M78" s="7" t="s">
        <v>1050</v>
      </c>
      <c r="N78" s="7" t="s">
        <v>49</v>
      </c>
      <c r="O78" s="7" t="s">
        <v>1052</v>
      </c>
      <c r="P78" s="8" t="s">
        <v>1053</v>
      </c>
      <c r="Q78" s="10" t="s">
        <v>1054</v>
      </c>
      <c r="R78" s="20" t="s">
        <v>1055</v>
      </c>
      <c r="S78" s="11" t="s">
        <v>1056</v>
      </c>
      <c r="T78" s="7" t="s">
        <v>54</v>
      </c>
      <c r="U78" s="7" t="s">
        <v>55</v>
      </c>
      <c r="V78" s="7" t="s">
        <v>54</v>
      </c>
      <c r="W78" s="7" t="s">
        <v>55</v>
      </c>
      <c r="X78" s="11" t="s">
        <v>1057</v>
      </c>
      <c r="Y78" s="7" t="s">
        <v>57</v>
      </c>
      <c r="Z78" s="7" t="s">
        <v>1051</v>
      </c>
      <c r="AA78" s="9" t="s">
        <v>1058</v>
      </c>
      <c r="AB78" s="7" t="s">
        <v>1059</v>
      </c>
      <c r="AC78" s="7" t="s">
        <v>1060</v>
      </c>
      <c r="AD78" s="7" t="s">
        <v>1052</v>
      </c>
      <c r="AE78" s="32" t="s">
        <v>1061</v>
      </c>
      <c r="AF78" s="7" t="s">
        <v>1062</v>
      </c>
      <c r="AG78" s="32" t="s">
        <v>1049</v>
      </c>
      <c r="AH78" s="9" t="s">
        <v>64</v>
      </c>
      <c r="AI78" s="9">
        <v>3.0</v>
      </c>
      <c r="AJ78" s="7" t="s">
        <v>1063</v>
      </c>
      <c r="AK78" s="7" t="s">
        <v>1064</v>
      </c>
      <c r="AL78" s="9" t="s">
        <v>1065</v>
      </c>
      <c r="AM78" s="7" t="s">
        <v>1062</v>
      </c>
      <c r="AN78" s="7" t="s">
        <v>157</v>
      </c>
      <c r="AO78" s="7" t="s">
        <v>55</v>
      </c>
      <c r="AP78" s="7" t="s">
        <v>70</v>
      </c>
      <c r="AQ78" s="13"/>
      <c r="AR78" s="13"/>
      <c r="AS78" s="13"/>
      <c r="AT78" s="13"/>
      <c r="AU78" s="13"/>
      <c r="AV78" s="13"/>
    </row>
    <row r="79">
      <c r="A79" s="6">
        <v>45786.373263229165</v>
      </c>
      <c r="B79" s="7" t="s">
        <v>1484</v>
      </c>
      <c r="C79" s="7" t="s">
        <v>119</v>
      </c>
      <c r="D79" s="8" t="s">
        <v>1485</v>
      </c>
      <c r="E79" s="7" t="s">
        <v>1486</v>
      </c>
      <c r="F79" s="7" t="s">
        <v>1487</v>
      </c>
      <c r="G79" s="9" t="s">
        <v>76</v>
      </c>
      <c r="H79" s="7" t="s">
        <v>101</v>
      </c>
      <c r="I79" s="7" t="s">
        <v>141</v>
      </c>
      <c r="J79" s="7"/>
      <c r="K79" s="8" t="s">
        <v>1488</v>
      </c>
      <c r="L79" s="31" t="s">
        <v>2382</v>
      </c>
      <c r="M79" s="7" t="s">
        <v>1486</v>
      </c>
      <c r="N79" s="7" t="s">
        <v>49</v>
      </c>
      <c r="O79" s="7" t="s">
        <v>1490</v>
      </c>
      <c r="P79" s="8" t="s">
        <v>1491</v>
      </c>
      <c r="Q79" s="10" t="s">
        <v>1492</v>
      </c>
      <c r="R79" s="11" t="s">
        <v>1493</v>
      </c>
      <c r="S79" s="11" t="s">
        <v>1494</v>
      </c>
      <c r="T79" s="7" t="s">
        <v>54</v>
      </c>
      <c r="U79" s="7" t="s">
        <v>1495</v>
      </c>
      <c r="V79" s="7" t="s">
        <v>54</v>
      </c>
      <c r="W79" s="7" t="s">
        <v>55</v>
      </c>
      <c r="X79" s="11" t="s">
        <v>1496</v>
      </c>
      <c r="Y79" s="7" t="s">
        <v>57</v>
      </c>
      <c r="Z79" s="7" t="s">
        <v>1497</v>
      </c>
      <c r="AA79" s="9" t="s">
        <v>1498</v>
      </c>
      <c r="AB79" s="7" t="s">
        <v>1499</v>
      </c>
      <c r="AC79" s="7" t="s">
        <v>1500</v>
      </c>
      <c r="AD79" s="7" t="s">
        <v>1487</v>
      </c>
      <c r="AE79" s="33" t="s">
        <v>1489</v>
      </c>
      <c r="AF79" s="7" t="s">
        <v>1501</v>
      </c>
      <c r="AG79" s="33" t="s">
        <v>1502</v>
      </c>
      <c r="AH79" s="17" t="s">
        <v>260</v>
      </c>
      <c r="AI79" s="18"/>
      <c r="AJ79" s="13"/>
      <c r="AK79" s="13"/>
      <c r="AL79" s="13"/>
      <c r="AM79" s="7" t="s">
        <v>1503</v>
      </c>
      <c r="AN79" s="7" t="s">
        <v>117</v>
      </c>
      <c r="AO79" s="7" t="s">
        <v>55</v>
      </c>
      <c r="AP79" s="7" t="s">
        <v>70</v>
      </c>
      <c r="AQ79" s="13"/>
      <c r="AR79" s="13"/>
      <c r="AS79" s="13"/>
      <c r="AT79" s="13"/>
      <c r="AU79" s="13"/>
      <c r="AV79" s="13"/>
    </row>
    <row r="80">
      <c r="A80" s="6">
        <v>45786.32751758102</v>
      </c>
      <c r="B80" s="7" t="s">
        <v>1428</v>
      </c>
      <c r="C80" s="7" t="s">
        <v>1429</v>
      </c>
      <c r="D80" s="32" t="s">
        <v>1430</v>
      </c>
      <c r="E80" s="7" t="s">
        <v>1431</v>
      </c>
      <c r="F80" s="7" t="s">
        <v>1432</v>
      </c>
      <c r="G80" s="9" t="s">
        <v>44</v>
      </c>
      <c r="H80" s="7" t="s">
        <v>101</v>
      </c>
      <c r="I80" s="7" t="s">
        <v>141</v>
      </c>
      <c r="J80" s="9" t="s">
        <v>2352</v>
      </c>
      <c r="K80" s="8">
        <v>1.9012012E7</v>
      </c>
      <c r="L80" s="31" t="s">
        <v>1433</v>
      </c>
      <c r="M80" s="7" t="s">
        <v>1431</v>
      </c>
      <c r="N80" s="7" t="s">
        <v>49</v>
      </c>
      <c r="O80" s="7" t="s">
        <v>1432</v>
      </c>
      <c r="P80" s="8" t="s">
        <v>1434</v>
      </c>
      <c r="Q80" s="10" t="s">
        <v>1435</v>
      </c>
      <c r="R80" s="11" t="s">
        <v>1436</v>
      </c>
      <c r="S80" s="11" t="s">
        <v>1437</v>
      </c>
      <c r="T80" s="7" t="s">
        <v>54</v>
      </c>
      <c r="U80" s="7" t="s">
        <v>109</v>
      </c>
      <c r="V80" s="7" t="s">
        <v>54</v>
      </c>
      <c r="W80" s="7" t="s">
        <v>109</v>
      </c>
      <c r="X80" s="11" t="s">
        <v>1438</v>
      </c>
      <c r="Y80" s="7" t="s">
        <v>57</v>
      </c>
      <c r="Z80" s="7" t="s">
        <v>1432</v>
      </c>
      <c r="AA80" s="9">
        <v>1.20119120576E11</v>
      </c>
      <c r="AB80" s="7" t="s">
        <v>1439</v>
      </c>
      <c r="AC80" s="7" t="s">
        <v>1440</v>
      </c>
      <c r="AD80" s="7" t="s">
        <v>1432</v>
      </c>
      <c r="AE80" s="32" t="s">
        <v>1433</v>
      </c>
      <c r="AF80" s="7" t="s">
        <v>1441</v>
      </c>
      <c r="AG80" s="32" t="s">
        <v>1430</v>
      </c>
      <c r="AH80" s="9" t="s">
        <v>64</v>
      </c>
      <c r="AI80" s="9">
        <v>1.0</v>
      </c>
      <c r="AJ80" s="7" t="s">
        <v>1441</v>
      </c>
      <c r="AK80" s="7" t="s">
        <v>109</v>
      </c>
      <c r="AL80" s="7" t="s">
        <v>109</v>
      </c>
      <c r="AM80" s="7" t="s">
        <v>1441</v>
      </c>
      <c r="AN80" s="7" t="s">
        <v>117</v>
      </c>
      <c r="AO80" s="7" t="s">
        <v>109</v>
      </c>
      <c r="AP80" s="7" t="s">
        <v>70</v>
      </c>
      <c r="AQ80" s="13"/>
      <c r="AR80" s="13"/>
      <c r="AS80" s="13"/>
      <c r="AT80" s="13"/>
      <c r="AU80" s="13"/>
      <c r="AV80" s="13"/>
    </row>
    <row r="81">
      <c r="A81" s="6">
        <v>45788.92854864583</v>
      </c>
      <c r="B81" s="7" t="s">
        <v>2284</v>
      </c>
      <c r="C81" s="7" t="s">
        <v>1443</v>
      </c>
      <c r="D81" s="10" t="s">
        <v>2285</v>
      </c>
      <c r="E81" s="7" t="s">
        <v>2286</v>
      </c>
      <c r="F81" s="7" t="s">
        <v>2287</v>
      </c>
      <c r="G81" s="9" t="s">
        <v>76</v>
      </c>
      <c r="H81" s="7" t="s">
        <v>45</v>
      </c>
      <c r="I81" s="7" t="s">
        <v>78</v>
      </c>
      <c r="J81" s="9" t="s">
        <v>2361</v>
      </c>
      <c r="K81" s="8">
        <v>2.1032008E7</v>
      </c>
      <c r="L81" s="32" t="s">
        <v>2288</v>
      </c>
      <c r="M81" s="7" t="s">
        <v>2289</v>
      </c>
      <c r="N81" s="7" t="s">
        <v>49</v>
      </c>
      <c r="O81" s="7" t="s">
        <v>2287</v>
      </c>
      <c r="P81" s="8" t="s">
        <v>2290</v>
      </c>
      <c r="Q81" s="8">
        <v>2.9032028E7</v>
      </c>
      <c r="R81" s="11" t="s">
        <v>2291</v>
      </c>
      <c r="S81" s="11" t="s">
        <v>2292</v>
      </c>
      <c r="T81" s="14" t="s">
        <v>170</v>
      </c>
      <c r="U81" s="14" t="s">
        <v>109</v>
      </c>
      <c r="V81" s="14" t="s">
        <v>54</v>
      </c>
      <c r="W81" s="14" t="s">
        <v>109</v>
      </c>
      <c r="X81" s="11" t="s">
        <v>2293</v>
      </c>
      <c r="Y81" s="7" t="s">
        <v>57</v>
      </c>
      <c r="Z81" s="7" t="s">
        <v>2287</v>
      </c>
      <c r="AA81" s="9" t="s">
        <v>2294</v>
      </c>
      <c r="AB81" s="7" t="s">
        <v>2295</v>
      </c>
      <c r="AC81" s="7" t="s">
        <v>2296</v>
      </c>
      <c r="AD81" s="7" t="s">
        <v>2287</v>
      </c>
      <c r="AE81" s="32" t="s">
        <v>2288</v>
      </c>
      <c r="AF81" s="7" t="s">
        <v>2297</v>
      </c>
      <c r="AG81" s="32" t="s">
        <v>2285</v>
      </c>
      <c r="AH81" s="9" t="s">
        <v>64</v>
      </c>
      <c r="AI81" s="9">
        <v>2.0</v>
      </c>
      <c r="AJ81" s="7" t="s">
        <v>2298</v>
      </c>
      <c r="AK81" s="7" t="s">
        <v>109</v>
      </c>
      <c r="AL81" s="7">
        <v>2.2052025E7</v>
      </c>
      <c r="AM81" s="7" t="s">
        <v>2299</v>
      </c>
      <c r="AN81" s="7" t="s">
        <v>95</v>
      </c>
      <c r="AO81" s="7" t="s">
        <v>109</v>
      </c>
      <c r="AP81" s="7" t="s">
        <v>70</v>
      </c>
      <c r="AQ81" s="13"/>
      <c r="AR81" s="13"/>
      <c r="AS81" s="13"/>
      <c r="AT81" s="13"/>
      <c r="AU81" s="13"/>
      <c r="AV81" s="13"/>
    </row>
    <row r="82">
      <c r="A82" s="6">
        <v>45786.42734634259</v>
      </c>
      <c r="B82" s="7" t="s">
        <v>1537</v>
      </c>
      <c r="C82" s="7" t="s">
        <v>1538</v>
      </c>
      <c r="D82" s="10" t="s">
        <v>1539</v>
      </c>
      <c r="E82" s="7" t="s">
        <v>1540</v>
      </c>
      <c r="F82" s="7" t="s">
        <v>1541</v>
      </c>
      <c r="G82" s="9" t="s">
        <v>76</v>
      </c>
      <c r="H82" s="7" t="s">
        <v>101</v>
      </c>
      <c r="I82" s="7" t="s">
        <v>78</v>
      </c>
      <c r="J82" s="7"/>
      <c r="K82" s="10" t="s">
        <v>1542</v>
      </c>
      <c r="L82" s="31" t="s">
        <v>2383</v>
      </c>
      <c r="M82" s="7" t="s">
        <v>1540</v>
      </c>
      <c r="N82" s="7" t="s">
        <v>49</v>
      </c>
      <c r="O82" s="7" t="s">
        <v>1541</v>
      </c>
      <c r="P82" s="8" t="s">
        <v>1544</v>
      </c>
      <c r="Q82" s="8">
        <v>2.9092028E7</v>
      </c>
      <c r="R82" s="11" t="s">
        <v>1545</v>
      </c>
      <c r="S82" s="11" t="s">
        <v>1546</v>
      </c>
      <c r="T82" s="14" t="s">
        <v>170</v>
      </c>
      <c r="U82" s="14" t="s">
        <v>55</v>
      </c>
      <c r="V82" s="14" t="s">
        <v>54</v>
      </c>
      <c r="W82" s="14" t="s">
        <v>55</v>
      </c>
      <c r="X82" s="11" t="s">
        <v>1547</v>
      </c>
      <c r="Y82" s="7" t="s">
        <v>57</v>
      </c>
      <c r="Z82" s="7" t="s">
        <v>1541</v>
      </c>
      <c r="AA82" s="9" t="s">
        <v>1548</v>
      </c>
      <c r="AB82" s="7" t="s">
        <v>331</v>
      </c>
      <c r="AC82" s="7" t="s">
        <v>1549</v>
      </c>
      <c r="AD82" s="7" t="s">
        <v>1541</v>
      </c>
      <c r="AE82" s="33" t="s">
        <v>1550</v>
      </c>
      <c r="AF82" s="7" t="s">
        <v>1551</v>
      </c>
      <c r="AG82" s="33" t="s">
        <v>1543</v>
      </c>
      <c r="AH82" s="9" t="s">
        <v>64</v>
      </c>
      <c r="AI82" s="9">
        <v>1.0</v>
      </c>
      <c r="AJ82" s="7" t="s">
        <v>1551</v>
      </c>
      <c r="AK82" s="7" t="s">
        <v>1552</v>
      </c>
      <c r="AL82" s="19" t="s">
        <v>1482</v>
      </c>
      <c r="AM82" s="7" t="s">
        <v>1553</v>
      </c>
      <c r="AN82" s="7" t="s">
        <v>157</v>
      </c>
      <c r="AO82" s="7" t="s">
        <v>55</v>
      </c>
      <c r="AP82" s="7" t="s">
        <v>70</v>
      </c>
      <c r="AQ82" s="13"/>
      <c r="AR82" s="13"/>
      <c r="AS82" s="13"/>
      <c r="AT82" s="13"/>
      <c r="AU82" s="13"/>
      <c r="AV82" s="13"/>
    </row>
    <row r="83">
      <c r="A83" s="6">
        <v>45785.92676594907</v>
      </c>
      <c r="B83" s="7" t="s">
        <v>1193</v>
      </c>
      <c r="C83" s="7" t="s">
        <v>564</v>
      </c>
      <c r="D83" s="10" t="s">
        <v>1194</v>
      </c>
      <c r="E83" s="7" t="s">
        <v>1195</v>
      </c>
      <c r="F83" s="7" t="s">
        <v>1196</v>
      </c>
      <c r="G83" s="9" t="s">
        <v>76</v>
      </c>
      <c r="H83" s="7" t="s">
        <v>77</v>
      </c>
      <c r="I83" s="7" t="s">
        <v>78</v>
      </c>
      <c r="J83" s="7"/>
      <c r="K83" s="8">
        <v>2.010201E7</v>
      </c>
      <c r="L83" s="31" t="s">
        <v>1194</v>
      </c>
      <c r="M83" s="7" t="s">
        <v>1195</v>
      </c>
      <c r="N83" s="7" t="s">
        <v>49</v>
      </c>
      <c r="O83" s="7" t="s">
        <v>1196</v>
      </c>
      <c r="P83" s="8" t="s">
        <v>1197</v>
      </c>
      <c r="Q83" s="10" t="s">
        <v>1198</v>
      </c>
      <c r="R83" s="11" t="s">
        <v>1199</v>
      </c>
      <c r="S83" s="11" t="s">
        <v>1200</v>
      </c>
      <c r="T83" s="7" t="s">
        <v>54</v>
      </c>
      <c r="U83" s="7" t="s">
        <v>55</v>
      </c>
      <c r="V83" s="7" t="s">
        <v>54</v>
      </c>
      <c r="W83" s="7" t="s">
        <v>55</v>
      </c>
      <c r="X83" s="11" t="s">
        <v>1201</v>
      </c>
      <c r="Y83" s="7" t="s">
        <v>57</v>
      </c>
      <c r="Z83" s="7" t="s">
        <v>1196</v>
      </c>
      <c r="AA83" s="9" t="s">
        <v>1202</v>
      </c>
      <c r="AB83" s="7" t="s">
        <v>1203</v>
      </c>
      <c r="AC83" s="7" t="s">
        <v>1204</v>
      </c>
      <c r="AD83" s="7" t="s">
        <v>1196</v>
      </c>
      <c r="AE83" s="32" t="s">
        <v>1205</v>
      </c>
      <c r="AF83" s="7" t="s">
        <v>1206</v>
      </c>
      <c r="AG83" s="32" t="s">
        <v>1194</v>
      </c>
      <c r="AH83" s="9" t="s">
        <v>64</v>
      </c>
      <c r="AI83" s="9">
        <v>2.0</v>
      </c>
      <c r="AJ83" s="7" t="s">
        <v>1207</v>
      </c>
      <c r="AK83" s="7" t="s">
        <v>1208</v>
      </c>
      <c r="AL83" s="9" t="s">
        <v>749</v>
      </c>
      <c r="AM83" s="7" t="s">
        <v>1209</v>
      </c>
      <c r="AN83" s="7" t="s">
        <v>408</v>
      </c>
      <c r="AO83" s="7" t="s">
        <v>55</v>
      </c>
      <c r="AP83" s="7" t="s">
        <v>70</v>
      </c>
      <c r="AQ83" s="13"/>
      <c r="AR83" s="13"/>
      <c r="AS83" s="13"/>
      <c r="AT83" s="13"/>
      <c r="AU83" s="13"/>
      <c r="AV83" s="13"/>
    </row>
    <row r="84">
      <c r="A84" s="6">
        <v>45787.30651875</v>
      </c>
      <c r="B84" s="7" t="s">
        <v>2184</v>
      </c>
      <c r="C84" s="7" t="s">
        <v>97</v>
      </c>
      <c r="D84" s="10" t="s">
        <v>2185</v>
      </c>
      <c r="E84" s="7" t="s">
        <v>2186</v>
      </c>
      <c r="F84" s="7" t="s">
        <v>2187</v>
      </c>
      <c r="G84" s="9" t="s">
        <v>44</v>
      </c>
      <c r="H84" s="7" t="s">
        <v>101</v>
      </c>
      <c r="I84" s="7" t="s">
        <v>141</v>
      </c>
      <c r="J84" s="9" t="s">
        <v>2348</v>
      </c>
      <c r="K84" s="10" t="s">
        <v>2188</v>
      </c>
      <c r="L84" s="31" t="s">
        <v>2189</v>
      </c>
      <c r="M84" s="7" t="s">
        <v>2190</v>
      </c>
      <c r="N84" s="7" t="s">
        <v>49</v>
      </c>
      <c r="O84" s="7" t="s">
        <v>2191</v>
      </c>
      <c r="P84" s="8" t="s">
        <v>2192</v>
      </c>
      <c r="Q84" s="10" t="s">
        <v>2193</v>
      </c>
      <c r="R84" s="20" t="s">
        <v>2194</v>
      </c>
      <c r="S84" s="11" t="s">
        <v>2195</v>
      </c>
      <c r="T84" s="7" t="s">
        <v>54</v>
      </c>
      <c r="U84" s="7" t="s">
        <v>55</v>
      </c>
      <c r="V84" s="7" t="s">
        <v>54</v>
      </c>
      <c r="W84" s="7" t="s">
        <v>55</v>
      </c>
      <c r="X84" s="11" t="s">
        <v>2196</v>
      </c>
      <c r="Y84" s="7" t="s">
        <v>57</v>
      </c>
      <c r="Z84" s="7" t="s">
        <v>2191</v>
      </c>
      <c r="AA84" s="9">
        <v>1.20301102964E11</v>
      </c>
      <c r="AB84" s="7" t="s">
        <v>2197</v>
      </c>
      <c r="AC84" s="7" t="s">
        <v>2198</v>
      </c>
      <c r="AD84" s="7" t="s">
        <v>2191</v>
      </c>
      <c r="AE84" s="32" t="s">
        <v>2189</v>
      </c>
      <c r="AF84" s="7" t="s">
        <v>2199</v>
      </c>
      <c r="AG84" s="32" t="s">
        <v>2185</v>
      </c>
      <c r="AH84" s="9" t="s">
        <v>64</v>
      </c>
      <c r="AI84" s="9">
        <v>3.0</v>
      </c>
      <c r="AJ84" s="7" t="s">
        <v>2200</v>
      </c>
      <c r="AK84" s="7" t="s">
        <v>2201</v>
      </c>
      <c r="AL84" s="7" t="s">
        <v>199</v>
      </c>
      <c r="AM84" s="7" t="s">
        <v>2202</v>
      </c>
      <c r="AN84" s="19" t="s">
        <v>2203</v>
      </c>
      <c r="AO84" s="7" t="s">
        <v>55</v>
      </c>
      <c r="AP84" s="7" t="s">
        <v>70</v>
      </c>
      <c r="AQ84" s="13"/>
      <c r="AR84" s="13"/>
      <c r="AS84" s="13"/>
      <c r="AT84" s="13"/>
      <c r="AU84" s="13"/>
      <c r="AV84" s="13"/>
    </row>
    <row r="85">
      <c r="A85" s="6">
        <v>45786.48722210648</v>
      </c>
      <c r="B85" s="7" t="s">
        <v>1583</v>
      </c>
      <c r="C85" s="7" t="s">
        <v>1584</v>
      </c>
      <c r="D85" s="10" t="s">
        <v>1585</v>
      </c>
      <c r="E85" s="7" t="s">
        <v>1586</v>
      </c>
      <c r="F85" s="7" t="s">
        <v>1587</v>
      </c>
      <c r="G85" s="9" t="s">
        <v>76</v>
      </c>
      <c r="H85" s="7" t="s">
        <v>101</v>
      </c>
      <c r="I85" s="7" t="s">
        <v>78</v>
      </c>
      <c r="J85" s="7"/>
      <c r="K85" s="8">
        <v>1.8042012E7</v>
      </c>
      <c r="L85" s="32" t="s">
        <v>1588</v>
      </c>
      <c r="M85" s="7" t="s">
        <v>1586</v>
      </c>
      <c r="N85" s="7" t="s">
        <v>49</v>
      </c>
      <c r="O85" s="7" t="s">
        <v>1587</v>
      </c>
      <c r="P85" s="8" t="s">
        <v>1589</v>
      </c>
      <c r="Q85" s="10" t="s">
        <v>1572</v>
      </c>
      <c r="R85" s="11" t="s">
        <v>1590</v>
      </c>
      <c r="S85" s="11" t="s">
        <v>1591</v>
      </c>
      <c r="T85" s="7" t="s">
        <v>54</v>
      </c>
      <c r="U85" s="7" t="s">
        <v>55</v>
      </c>
      <c r="V85" s="7" t="s">
        <v>54</v>
      </c>
      <c r="W85" s="7" t="s">
        <v>55</v>
      </c>
      <c r="X85" s="11" t="s">
        <v>1592</v>
      </c>
      <c r="Y85" s="7" t="s">
        <v>57</v>
      </c>
      <c r="Z85" s="7" t="s">
        <v>1587</v>
      </c>
      <c r="AA85" s="9" t="s">
        <v>1593</v>
      </c>
      <c r="AB85" s="7" t="s">
        <v>1594</v>
      </c>
      <c r="AC85" s="7" t="s">
        <v>1595</v>
      </c>
      <c r="AD85" s="7" t="s">
        <v>1587</v>
      </c>
      <c r="AE85" s="32" t="s">
        <v>1588</v>
      </c>
      <c r="AF85" s="7" t="s">
        <v>1596</v>
      </c>
      <c r="AG85" s="32" t="s">
        <v>1585</v>
      </c>
      <c r="AH85" s="9" t="s">
        <v>64</v>
      </c>
      <c r="AI85" s="9">
        <v>2.0</v>
      </c>
      <c r="AJ85" s="7" t="s">
        <v>1597</v>
      </c>
      <c r="AK85" s="7" t="s">
        <v>1598</v>
      </c>
      <c r="AL85" s="7">
        <v>2.4062025E7</v>
      </c>
      <c r="AM85" s="7" t="s">
        <v>1599</v>
      </c>
      <c r="AN85" s="7" t="s">
        <v>157</v>
      </c>
      <c r="AO85" s="7" t="s">
        <v>55</v>
      </c>
      <c r="AP85" s="7" t="s">
        <v>70</v>
      </c>
      <c r="AQ85" s="13"/>
      <c r="AR85" s="13"/>
      <c r="AS85" s="13"/>
      <c r="AT85" s="13"/>
      <c r="AU85" s="13"/>
      <c r="AV85" s="13"/>
    </row>
    <row r="86">
      <c r="A86" s="6">
        <v>45786.49419702546</v>
      </c>
      <c r="B86" s="7" t="s">
        <v>1600</v>
      </c>
      <c r="C86" s="7" t="s">
        <v>388</v>
      </c>
      <c r="D86" s="33" t="s">
        <v>1601</v>
      </c>
      <c r="E86" s="7" t="s">
        <v>1602</v>
      </c>
      <c r="F86" s="7" t="s">
        <v>1603</v>
      </c>
      <c r="G86" s="9" t="s">
        <v>44</v>
      </c>
      <c r="H86" s="7" t="s">
        <v>101</v>
      </c>
      <c r="I86" s="7" t="s">
        <v>78</v>
      </c>
      <c r="J86" s="9" t="s">
        <v>2374</v>
      </c>
      <c r="K86" s="8">
        <v>2.4012014E7</v>
      </c>
      <c r="L86" s="34" t="s">
        <v>1604</v>
      </c>
      <c r="M86" s="7" t="s">
        <v>1605</v>
      </c>
      <c r="N86" s="7" t="s">
        <v>49</v>
      </c>
      <c r="O86" s="7" t="s">
        <v>1603</v>
      </c>
      <c r="P86" s="8" t="s">
        <v>1606</v>
      </c>
      <c r="Q86" s="8">
        <v>1.5042029E7</v>
      </c>
      <c r="R86" s="11" t="s">
        <v>1607</v>
      </c>
      <c r="S86" s="11" t="s">
        <v>1608</v>
      </c>
      <c r="T86" s="7" t="s">
        <v>54</v>
      </c>
      <c r="U86" s="7" t="s">
        <v>55</v>
      </c>
      <c r="V86" s="7" t="s">
        <v>54</v>
      </c>
      <c r="W86" s="7" t="s">
        <v>55</v>
      </c>
      <c r="X86" s="11" t="s">
        <v>1609</v>
      </c>
      <c r="Y86" s="7" t="s">
        <v>57</v>
      </c>
      <c r="Z86" s="7" t="s">
        <v>1603</v>
      </c>
      <c r="AA86" s="9" t="s">
        <v>1610</v>
      </c>
      <c r="AB86" s="7" t="s">
        <v>1611</v>
      </c>
      <c r="AC86" s="7" t="s">
        <v>1612</v>
      </c>
      <c r="AD86" s="7" t="s">
        <v>1603</v>
      </c>
      <c r="AE86" s="33" t="s">
        <v>1604</v>
      </c>
      <c r="AF86" s="7" t="s">
        <v>1613</v>
      </c>
      <c r="AG86" s="33" t="s">
        <v>1601</v>
      </c>
      <c r="AH86" s="9" t="s">
        <v>64</v>
      </c>
      <c r="AI86" s="9">
        <v>3.0</v>
      </c>
      <c r="AJ86" s="7" t="s">
        <v>1614</v>
      </c>
      <c r="AK86" s="7" t="s">
        <v>1615</v>
      </c>
      <c r="AL86" s="7" t="s">
        <v>1616</v>
      </c>
      <c r="AM86" s="7" t="s">
        <v>1617</v>
      </c>
      <c r="AN86" s="7" t="s">
        <v>157</v>
      </c>
      <c r="AO86" s="7" t="s">
        <v>55</v>
      </c>
      <c r="AP86" s="7" t="s">
        <v>70</v>
      </c>
      <c r="AQ86" s="13"/>
      <c r="AR86" s="13"/>
      <c r="AS86" s="13"/>
      <c r="AT86" s="13"/>
      <c r="AU86" s="13"/>
      <c r="AV86" s="13"/>
    </row>
    <row r="87">
      <c r="A87" s="6">
        <v>45786.09306247685</v>
      </c>
      <c r="B87" s="7" t="s">
        <v>1393</v>
      </c>
      <c r="C87" s="7" t="s">
        <v>1394</v>
      </c>
      <c r="D87" s="8" t="s">
        <v>1395</v>
      </c>
      <c r="E87" s="7" t="s">
        <v>1396</v>
      </c>
      <c r="F87" s="7" t="s">
        <v>1397</v>
      </c>
      <c r="G87" s="9" t="s">
        <v>76</v>
      </c>
      <c r="H87" s="7" t="s">
        <v>77</v>
      </c>
      <c r="I87" s="7" t="s">
        <v>78</v>
      </c>
      <c r="J87" s="7"/>
      <c r="K87" s="8" t="s">
        <v>1398</v>
      </c>
      <c r="L87" s="34" t="s">
        <v>1399</v>
      </c>
      <c r="M87" s="7" t="s">
        <v>1400</v>
      </c>
      <c r="N87" s="7" t="s">
        <v>49</v>
      </c>
      <c r="O87" s="7" t="s">
        <v>1397</v>
      </c>
      <c r="P87" s="8" t="s">
        <v>1401</v>
      </c>
      <c r="Q87" s="10" t="s">
        <v>1402</v>
      </c>
      <c r="R87" s="11" t="s">
        <v>1403</v>
      </c>
      <c r="S87" s="11" t="s">
        <v>1404</v>
      </c>
      <c r="T87" s="7" t="s">
        <v>54</v>
      </c>
      <c r="U87" s="7" t="s">
        <v>55</v>
      </c>
      <c r="V87" s="7" t="s">
        <v>54</v>
      </c>
      <c r="W87" s="7" t="s">
        <v>55</v>
      </c>
      <c r="X87" s="11" t="s">
        <v>1405</v>
      </c>
      <c r="Y87" s="7" t="s">
        <v>57</v>
      </c>
      <c r="Z87" s="7" t="s">
        <v>1397</v>
      </c>
      <c r="AA87" s="9" t="s">
        <v>1406</v>
      </c>
      <c r="AB87" s="7" t="s">
        <v>1407</v>
      </c>
      <c r="AC87" s="7" t="s">
        <v>1408</v>
      </c>
      <c r="AD87" s="7" t="s">
        <v>1397</v>
      </c>
      <c r="AE87" s="32" t="s">
        <v>2384</v>
      </c>
      <c r="AF87" s="7" t="s">
        <v>1409</v>
      </c>
      <c r="AG87" s="32" t="s">
        <v>2385</v>
      </c>
      <c r="AH87" s="9" t="s">
        <v>64</v>
      </c>
      <c r="AI87" s="9">
        <v>3.0</v>
      </c>
      <c r="AJ87" s="7" t="s">
        <v>1410</v>
      </c>
      <c r="AK87" s="7" t="s">
        <v>299</v>
      </c>
      <c r="AL87" s="7" t="s">
        <v>299</v>
      </c>
      <c r="AM87" s="7" t="s">
        <v>1409</v>
      </c>
      <c r="AN87" s="7" t="s">
        <v>69</v>
      </c>
      <c r="AO87" s="7" t="s">
        <v>55</v>
      </c>
      <c r="AP87" s="7" t="s">
        <v>70</v>
      </c>
      <c r="AQ87" s="13"/>
      <c r="AR87" s="13"/>
      <c r="AS87" s="13"/>
      <c r="AT87" s="13"/>
      <c r="AU87" s="13"/>
      <c r="AV87" s="13"/>
    </row>
    <row r="88">
      <c r="A88" s="6">
        <v>45785.470591226855</v>
      </c>
      <c r="B88" s="7" t="s">
        <v>729</v>
      </c>
      <c r="C88" s="7" t="s">
        <v>730</v>
      </c>
      <c r="D88" s="34" t="s">
        <v>731</v>
      </c>
      <c r="E88" s="7" t="s">
        <v>732</v>
      </c>
      <c r="F88" s="7" t="s">
        <v>733</v>
      </c>
      <c r="G88" s="9" t="s">
        <v>44</v>
      </c>
      <c r="H88" s="7" t="s">
        <v>101</v>
      </c>
      <c r="I88" s="7" t="s">
        <v>78</v>
      </c>
      <c r="J88" s="9" t="s">
        <v>2353</v>
      </c>
      <c r="K88" s="8" t="s">
        <v>734</v>
      </c>
      <c r="L88" s="34" t="s">
        <v>731</v>
      </c>
      <c r="M88" s="7" t="s">
        <v>732</v>
      </c>
      <c r="N88" s="7" t="s">
        <v>49</v>
      </c>
      <c r="O88" s="7" t="s">
        <v>733</v>
      </c>
      <c r="P88" s="8" t="s">
        <v>735</v>
      </c>
      <c r="Q88" s="8" t="s">
        <v>736</v>
      </c>
      <c r="R88" s="11" t="s">
        <v>737</v>
      </c>
      <c r="S88" s="11" t="s">
        <v>738</v>
      </c>
      <c r="T88" s="14" t="s">
        <v>308</v>
      </c>
      <c r="U88" s="14" t="s">
        <v>739</v>
      </c>
      <c r="V88" s="14" t="s">
        <v>740</v>
      </c>
      <c r="W88" s="14" t="s">
        <v>741</v>
      </c>
      <c r="X88" s="11" t="s">
        <v>742</v>
      </c>
      <c r="Y88" s="7" t="s">
        <v>57</v>
      </c>
      <c r="Z88" s="7" t="s">
        <v>733</v>
      </c>
      <c r="AA88" s="9">
        <v>1.4042668001E11</v>
      </c>
      <c r="AB88" s="7" t="s">
        <v>743</v>
      </c>
      <c r="AC88" s="7" t="s">
        <v>744</v>
      </c>
      <c r="AD88" s="7" t="s">
        <v>733</v>
      </c>
      <c r="AE88" s="33" t="s">
        <v>745</v>
      </c>
      <c r="AF88" s="7" t="s">
        <v>746</v>
      </c>
      <c r="AG88" s="33" t="s">
        <v>731</v>
      </c>
      <c r="AH88" s="9" t="s">
        <v>64</v>
      </c>
      <c r="AI88" s="9">
        <v>2.0</v>
      </c>
      <c r="AJ88" s="7" t="s">
        <v>747</v>
      </c>
      <c r="AK88" s="7" t="s">
        <v>748</v>
      </c>
      <c r="AL88" s="9" t="s">
        <v>749</v>
      </c>
      <c r="AM88" s="7" t="s">
        <v>750</v>
      </c>
      <c r="AN88" s="7" t="s">
        <v>157</v>
      </c>
      <c r="AO88" s="7" t="s">
        <v>55</v>
      </c>
      <c r="AP88" s="7" t="s">
        <v>70</v>
      </c>
      <c r="AQ88" s="13"/>
      <c r="AR88" s="13"/>
      <c r="AS88" s="13"/>
      <c r="AT88" s="13"/>
      <c r="AU88" s="13"/>
      <c r="AV88" s="13"/>
    </row>
    <row r="89">
      <c r="A89" s="6">
        <v>45786.53297425926</v>
      </c>
      <c r="B89" s="7" t="s">
        <v>1653</v>
      </c>
      <c r="C89" s="7" t="s">
        <v>1654</v>
      </c>
      <c r="D89" s="10" t="s">
        <v>1655</v>
      </c>
      <c r="E89" s="7" t="s">
        <v>1656</v>
      </c>
      <c r="F89" s="7" t="s">
        <v>1657</v>
      </c>
      <c r="G89" s="9" t="s">
        <v>76</v>
      </c>
      <c r="H89" s="7" t="s">
        <v>101</v>
      </c>
      <c r="I89" s="7" t="s">
        <v>78</v>
      </c>
      <c r="J89" s="7"/>
      <c r="K89" s="8" t="s">
        <v>1658</v>
      </c>
      <c r="L89" s="32" t="s">
        <v>1655</v>
      </c>
      <c r="M89" s="7" t="s">
        <v>1656</v>
      </c>
      <c r="N89" s="7" t="s">
        <v>49</v>
      </c>
      <c r="O89" s="7" t="s">
        <v>1657</v>
      </c>
      <c r="P89" s="8" t="s">
        <v>1659</v>
      </c>
      <c r="Q89" s="10" t="s">
        <v>1660</v>
      </c>
      <c r="R89" s="11" t="s">
        <v>1661</v>
      </c>
      <c r="S89" s="11" t="s">
        <v>1662</v>
      </c>
      <c r="T89" s="7" t="s">
        <v>54</v>
      </c>
      <c r="U89" s="7" t="s">
        <v>55</v>
      </c>
      <c r="V89" s="7" t="s">
        <v>54</v>
      </c>
      <c r="W89" s="7" t="s">
        <v>55</v>
      </c>
      <c r="X89" s="11" t="s">
        <v>1663</v>
      </c>
      <c r="Y89" s="7" t="s">
        <v>57</v>
      </c>
      <c r="Z89" s="7" t="s">
        <v>1657</v>
      </c>
      <c r="AA89" s="9" t="s">
        <v>1664</v>
      </c>
      <c r="AB89" s="7" t="s">
        <v>1665</v>
      </c>
      <c r="AC89" s="7" t="s">
        <v>1666</v>
      </c>
      <c r="AD89" s="7" t="s">
        <v>1657</v>
      </c>
      <c r="AE89" s="33" t="s">
        <v>1667</v>
      </c>
      <c r="AF89" s="7" t="s">
        <v>1653</v>
      </c>
      <c r="AG89" s="33" t="s">
        <v>1668</v>
      </c>
      <c r="AH89" s="17" t="s">
        <v>260</v>
      </c>
      <c r="AI89" s="18"/>
      <c r="AJ89" s="13"/>
      <c r="AK89" s="13"/>
      <c r="AL89" s="13"/>
      <c r="AM89" s="7" t="s">
        <v>1669</v>
      </c>
      <c r="AN89" s="7" t="s">
        <v>1670</v>
      </c>
      <c r="AO89" s="7" t="s">
        <v>55</v>
      </c>
      <c r="AP89" s="7" t="s">
        <v>70</v>
      </c>
      <c r="AQ89" s="13"/>
      <c r="AR89" s="13"/>
      <c r="AS89" s="13"/>
      <c r="AT89" s="13"/>
      <c r="AU89" s="13"/>
      <c r="AV89" s="13"/>
    </row>
    <row r="90">
      <c r="A90" s="6">
        <v>45786.47990145833</v>
      </c>
      <c r="B90" s="7" t="s">
        <v>1566</v>
      </c>
      <c r="C90" s="7" t="s">
        <v>388</v>
      </c>
      <c r="D90" s="33" t="s">
        <v>1567</v>
      </c>
      <c r="E90" s="7" t="s">
        <v>1568</v>
      </c>
      <c r="F90" s="7" t="s">
        <v>1569</v>
      </c>
      <c r="G90" s="9" t="s">
        <v>44</v>
      </c>
      <c r="H90" s="7" t="s">
        <v>101</v>
      </c>
      <c r="I90" s="7" t="s">
        <v>78</v>
      </c>
      <c r="J90" s="9" t="s">
        <v>2353</v>
      </c>
      <c r="K90" s="8">
        <v>1.4092012E7</v>
      </c>
      <c r="L90" s="34" t="s">
        <v>1570</v>
      </c>
      <c r="M90" s="7" t="s">
        <v>1568</v>
      </c>
      <c r="N90" s="7" t="s">
        <v>49</v>
      </c>
      <c r="O90" s="7" t="s">
        <v>1569</v>
      </c>
      <c r="P90" s="8" t="s">
        <v>1571</v>
      </c>
      <c r="Q90" s="10" t="s">
        <v>1572</v>
      </c>
      <c r="R90" s="11" t="s">
        <v>1573</v>
      </c>
      <c r="S90" s="11" t="s">
        <v>1574</v>
      </c>
      <c r="T90" s="7" t="s">
        <v>54</v>
      </c>
      <c r="U90" s="7" t="s">
        <v>55</v>
      </c>
      <c r="V90" s="7" t="s">
        <v>54</v>
      </c>
      <c r="W90" s="7" t="s">
        <v>55</v>
      </c>
      <c r="X90" s="11" t="s">
        <v>1575</v>
      </c>
      <c r="Y90" s="7" t="s">
        <v>57</v>
      </c>
      <c r="Z90" s="7" t="s">
        <v>1569</v>
      </c>
      <c r="AA90" s="9" t="s">
        <v>1576</v>
      </c>
      <c r="AB90" s="7" t="s">
        <v>1577</v>
      </c>
      <c r="AC90" s="7" t="s">
        <v>1578</v>
      </c>
      <c r="AD90" s="7" t="s">
        <v>1569</v>
      </c>
      <c r="AE90" s="33" t="s">
        <v>1579</v>
      </c>
      <c r="AF90" s="7" t="s">
        <v>1580</v>
      </c>
      <c r="AG90" s="33" t="s">
        <v>1581</v>
      </c>
      <c r="AH90" s="9" t="s">
        <v>64</v>
      </c>
      <c r="AI90" s="9">
        <v>3.0</v>
      </c>
      <c r="AJ90" s="7" t="s">
        <v>1582</v>
      </c>
      <c r="AK90" s="7" t="s">
        <v>55</v>
      </c>
      <c r="AL90" s="7" t="s">
        <v>55</v>
      </c>
      <c r="AM90" s="7" t="s">
        <v>1580</v>
      </c>
      <c r="AN90" s="7" t="s">
        <v>95</v>
      </c>
      <c r="AO90" s="7" t="s">
        <v>55</v>
      </c>
      <c r="AP90" s="7" t="s">
        <v>70</v>
      </c>
      <c r="AQ90" s="13"/>
      <c r="AR90" s="13"/>
      <c r="AS90" s="13"/>
      <c r="AT90" s="13"/>
      <c r="AU90" s="13"/>
      <c r="AV90" s="13"/>
    </row>
    <row r="91">
      <c r="A91" s="6">
        <v>45786.5506581713</v>
      </c>
      <c r="B91" s="7" t="s">
        <v>729</v>
      </c>
      <c r="C91" s="7" t="s">
        <v>730</v>
      </c>
      <c r="D91" s="31" t="s">
        <v>1685</v>
      </c>
      <c r="E91" s="7" t="s">
        <v>732</v>
      </c>
      <c r="F91" s="7" t="s">
        <v>733</v>
      </c>
      <c r="G91" s="9" t="s">
        <v>44</v>
      </c>
      <c r="H91" s="7" t="s">
        <v>101</v>
      </c>
      <c r="I91" s="7" t="s">
        <v>78</v>
      </c>
      <c r="J91" s="9" t="s">
        <v>2353</v>
      </c>
      <c r="K91" s="8">
        <v>2.6042014E7</v>
      </c>
      <c r="L91" s="31" t="s">
        <v>1685</v>
      </c>
      <c r="M91" s="7" t="s">
        <v>732</v>
      </c>
      <c r="N91" s="7" t="s">
        <v>49</v>
      </c>
      <c r="O91" s="7" t="s">
        <v>733</v>
      </c>
      <c r="P91" s="8" t="s">
        <v>735</v>
      </c>
      <c r="Q91" s="8">
        <v>2.101203E7</v>
      </c>
      <c r="R91" s="11" t="s">
        <v>1686</v>
      </c>
      <c r="S91" s="11" t="s">
        <v>1687</v>
      </c>
      <c r="T91" s="14" t="s">
        <v>573</v>
      </c>
      <c r="U91" s="14" t="s">
        <v>1688</v>
      </c>
      <c r="V91" s="14" t="s">
        <v>1689</v>
      </c>
      <c r="W91" s="14" t="s">
        <v>1690</v>
      </c>
      <c r="X91" s="11" t="s">
        <v>1691</v>
      </c>
      <c r="Y91" s="7" t="s">
        <v>57</v>
      </c>
      <c r="Z91" s="7" t="s">
        <v>733</v>
      </c>
      <c r="AA91" s="9" t="s">
        <v>1692</v>
      </c>
      <c r="AB91" s="7" t="s">
        <v>743</v>
      </c>
      <c r="AC91" s="7" t="s">
        <v>744</v>
      </c>
      <c r="AD91" s="7" t="s">
        <v>733</v>
      </c>
      <c r="AE91" s="32" t="s">
        <v>1693</v>
      </c>
      <c r="AF91" s="7" t="s">
        <v>746</v>
      </c>
      <c r="AG91" s="32" t="s">
        <v>1685</v>
      </c>
      <c r="AH91" s="9" t="s">
        <v>64</v>
      </c>
      <c r="AI91" s="9">
        <v>2.0</v>
      </c>
      <c r="AJ91" s="7" t="s">
        <v>1694</v>
      </c>
      <c r="AK91" s="7" t="s">
        <v>1695</v>
      </c>
      <c r="AL91" s="19" t="s">
        <v>1482</v>
      </c>
      <c r="AM91" s="7" t="s">
        <v>1696</v>
      </c>
      <c r="AN91" s="7" t="s">
        <v>1697</v>
      </c>
      <c r="AO91" s="7" t="s">
        <v>55</v>
      </c>
      <c r="AP91" s="7" t="s">
        <v>70</v>
      </c>
      <c r="AQ91" s="13"/>
      <c r="AR91" s="13"/>
      <c r="AS91" s="13"/>
      <c r="AT91" s="13"/>
      <c r="AU91" s="13"/>
      <c r="AV91" s="13"/>
    </row>
    <row r="92">
      <c r="A92" s="6">
        <v>45785.62112585648</v>
      </c>
      <c r="B92" s="7" t="s">
        <v>871</v>
      </c>
      <c r="C92" s="7" t="s">
        <v>872</v>
      </c>
      <c r="D92" s="10" t="s">
        <v>873</v>
      </c>
      <c r="E92" s="7" t="s">
        <v>874</v>
      </c>
      <c r="F92" s="7" t="s">
        <v>875</v>
      </c>
      <c r="G92" s="9" t="s">
        <v>76</v>
      </c>
      <c r="H92" s="7" t="s">
        <v>45</v>
      </c>
      <c r="I92" s="7" t="s">
        <v>78</v>
      </c>
      <c r="J92" s="9" t="s">
        <v>2352</v>
      </c>
      <c r="K92" s="10" t="s">
        <v>876</v>
      </c>
      <c r="L92" s="32" t="s">
        <v>2386</v>
      </c>
      <c r="M92" s="7" t="s">
        <v>878</v>
      </c>
      <c r="N92" s="7" t="s">
        <v>49</v>
      </c>
      <c r="O92" s="7" t="s">
        <v>875</v>
      </c>
      <c r="P92" s="8" t="s">
        <v>879</v>
      </c>
      <c r="Q92" s="8">
        <v>2.1092028E7</v>
      </c>
      <c r="R92" s="11" t="s">
        <v>880</v>
      </c>
      <c r="S92" s="11" t="s">
        <v>881</v>
      </c>
      <c r="T92" s="7" t="s">
        <v>54</v>
      </c>
      <c r="U92" s="7" t="s">
        <v>55</v>
      </c>
      <c r="V92" s="7" t="s">
        <v>54</v>
      </c>
      <c r="W92" s="7" t="s">
        <v>55</v>
      </c>
      <c r="X92" s="11" t="s">
        <v>882</v>
      </c>
      <c r="Y92" s="7" t="s">
        <v>57</v>
      </c>
      <c r="Z92" s="7" t="s">
        <v>875</v>
      </c>
      <c r="AA92" s="9" t="s">
        <v>883</v>
      </c>
      <c r="AB92" s="7" t="s">
        <v>629</v>
      </c>
      <c r="AC92" s="7" t="s">
        <v>884</v>
      </c>
      <c r="AD92" s="7" t="s">
        <v>885</v>
      </c>
      <c r="AE92" s="33" t="s">
        <v>877</v>
      </c>
      <c r="AF92" s="7" t="s">
        <v>886</v>
      </c>
      <c r="AG92" s="33" t="s">
        <v>887</v>
      </c>
      <c r="AH92" s="9" t="s">
        <v>64</v>
      </c>
      <c r="AI92" s="9">
        <v>1.0</v>
      </c>
      <c r="AJ92" s="7" t="s">
        <v>888</v>
      </c>
      <c r="AK92" s="7" t="s">
        <v>889</v>
      </c>
      <c r="AL92" s="12" t="s">
        <v>890</v>
      </c>
      <c r="AM92" s="7" t="s">
        <v>891</v>
      </c>
      <c r="AN92" s="7" t="s">
        <v>117</v>
      </c>
      <c r="AO92" s="7" t="s">
        <v>55</v>
      </c>
      <c r="AP92" s="7" t="s">
        <v>70</v>
      </c>
      <c r="AQ92" s="13"/>
      <c r="AR92" s="13"/>
      <c r="AS92" s="13"/>
      <c r="AT92" s="13"/>
      <c r="AU92" s="13"/>
      <c r="AV92" s="13"/>
    </row>
    <row r="93">
      <c r="A93" s="35">
        <v>45786.574428611115</v>
      </c>
      <c r="B93" s="36" t="s">
        <v>1705</v>
      </c>
      <c r="C93" s="36" t="s">
        <v>893</v>
      </c>
      <c r="D93" s="39" t="s">
        <v>1706</v>
      </c>
      <c r="E93" s="36" t="s">
        <v>895</v>
      </c>
      <c r="F93" s="36" t="s">
        <v>896</v>
      </c>
      <c r="G93" s="38" t="s">
        <v>76</v>
      </c>
      <c r="H93" s="36" t="s">
        <v>101</v>
      </c>
      <c r="I93" s="36" t="s">
        <v>102</v>
      </c>
      <c r="J93" s="36"/>
      <c r="K93" s="39" t="s">
        <v>1707</v>
      </c>
      <c r="L93" s="37" t="s">
        <v>898</v>
      </c>
      <c r="M93" s="36" t="s">
        <v>899</v>
      </c>
      <c r="N93" s="36" t="s">
        <v>49</v>
      </c>
      <c r="O93" s="36" t="s">
        <v>896</v>
      </c>
      <c r="P93" s="39" t="s">
        <v>900</v>
      </c>
      <c r="Q93" s="39">
        <v>1.1122027E7</v>
      </c>
      <c r="R93" s="40" t="s">
        <v>1708</v>
      </c>
      <c r="S93" s="40" t="s">
        <v>1709</v>
      </c>
      <c r="T93" s="36" t="s">
        <v>54</v>
      </c>
      <c r="U93" s="36" t="s">
        <v>55</v>
      </c>
      <c r="V93" s="36" t="s">
        <v>54</v>
      </c>
      <c r="W93" s="36" t="s">
        <v>55</v>
      </c>
      <c r="X93" s="40" t="s">
        <v>1710</v>
      </c>
      <c r="Y93" s="36" t="s">
        <v>57</v>
      </c>
      <c r="Z93" s="36" t="s">
        <v>1711</v>
      </c>
      <c r="AA93" s="38" t="s">
        <v>905</v>
      </c>
      <c r="AB93" s="36" t="s">
        <v>354</v>
      </c>
      <c r="AC93" s="36" t="s">
        <v>1712</v>
      </c>
      <c r="AD93" s="36" t="s">
        <v>896</v>
      </c>
      <c r="AE93" s="39" t="s">
        <v>1713</v>
      </c>
      <c r="AF93" s="36" t="s">
        <v>1705</v>
      </c>
      <c r="AG93" s="39" t="s">
        <v>1706</v>
      </c>
      <c r="AH93" s="38" t="s">
        <v>64</v>
      </c>
      <c r="AI93" s="38">
        <v>2.0</v>
      </c>
      <c r="AJ93" s="36" t="s">
        <v>1714</v>
      </c>
      <c r="AK93" s="36" t="s">
        <v>1715</v>
      </c>
      <c r="AL93" s="36" t="s">
        <v>1716</v>
      </c>
      <c r="AM93" s="36" t="s">
        <v>1706</v>
      </c>
      <c r="AN93" s="36" t="s">
        <v>117</v>
      </c>
      <c r="AO93" s="36" t="s">
        <v>55</v>
      </c>
      <c r="AP93" s="36" t="s">
        <v>70</v>
      </c>
      <c r="AQ93" s="25"/>
      <c r="AR93" s="25"/>
      <c r="AS93" s="25"/>
      <c r="AT93" s="25"/>
      <c r="AU93" s="25"/>
      <c r="AV93" s="25"/>
    </row>
    <row r="94">
      <c r="A94" s="6">
        <v>45784.91979506944</v>
      </c>
      <c r="B94" s="7" t="s">
        <v>387</v>
      </c>
      <c r="C94" s="7" t="s">
        <v>388</v>
      </c>
      <c r="D94" s="8" t="s">
        <v>389</v>
      </c>
      <c r="E94" s="7" t="s">
        <v>390</v>
      </c>
      <c r="F94" s="7" t="s">
        <v>391</v>
      </c>
      <c r="G94" s="9" t="s">
        <v>44</v>
      </c>
      <c r="H94" s="7" t="s">
        <v>101</v>
      </c>
      <c r="I94" s="7" t="s">
        <v>78</v>
      </c>
      <c r="J94" s="9" t="s">
        <v>2387</v>
      </c>
      <c r="K94" s="8">
        <v>1.3062012E7</v>
      </c>
      <c r="L94" s="34" t="s">
        <v>392</v>
      </c>
      <c r="M94" s="7" t="s">
        <v>393</v>
      </c>
      <c r="N94" s="7" t="s">
        <v>49</v>
      </c>
      <c r="O94" s="7" t="s">
        <v>391</v>
      </c>
      <c r="P94" s="8" t="s">
        <v>394</v>
      </c>
      <c r="Q94" s="10" t="s">
        <v>395</v>
      </c>
      <c r="R94" s="11" t="s">
        <v>396</v>
      </c>
      <c r="S94" s="11" t="s">
        <v>397</v>
      </c>
      <c r="T94" s="14" t="s">
        <v>54</v>
      </c>
      <c r="U94" s="14" t="s">
        <v>55</v>
      </c>
      <c r="V94" s="14" t="s">
        <v>398</v>
      </c>
      <c r="W94" s="14" t="s">
        <v>55</v>
      </c>
      <c r="X94" s="11" t="s">
        <v>399</v>
      </c>
      <c r="Y94" s="7" t="s">
        <v>57</v>
      </c>
      <c r="Z94" s="7" t="s">
        <v>391</v>
      </c>
      <c r="AA94" s="9" t="s">
        <v>400</v>
      </c>
      <c r="AB94" s="7" t="s">
        <v>401</v>
      </c>
      <c r="AC94" s="7" t="s">
        <v>402</v>
      </c>
      <c r="AD94" s="7" t="s">
        <v>391</v>
      </c>
      <c r="AE94" s="33" t="s">
        <v>392</v>
      </c>
      <c r="AF94" s="7" t="s">
        <v>403</v>
      </c>
      <c r="AG94" s="33" t="s">
        <v>389</v>
      </c>
      <c r="AH94" s="9" t="s">
        <v>64</v>
      </c>
      <c r="AI94" s="9">
        <v>3.0</v>
      </c>
      <c r="AJ94" s="7" t="s">
        <v>404</v>
      </c>
      <c r="AK94" s="7" t="s">
        <v>405</v>
      </c>
      <c r="AL94" s="12" t="s">
        <v>406</v>
      </c>
      <c r="AM94" s="7" t="s">
        <v>407</v>
      </c>
      <c r="AN94" s="7" t="s">
        <v>408</v>
      </c>
      <c r="AO94" s="7" t="s">
        <v>55</v>
      </c>
      <c r="AP94" s="7" t="s">
        <v>70</v>
      </c>
      <c r="AQ94" s="13"/>
      <c r="AR94" s="13"/>
      <c r="AS94" s="13"/>
      <c r="AT94" s="13"/>
      <c r="AU94" s="13"/>
      <c r="AV94" s="13"/>
    </row>
    <row r="95">
      <c r="A95" s="6">
        <v>45786.73102957176</v>
      </c>
      <c r="B95" s="7" t="s">
        <v>1878</v>
      </c>
      <c r="C95" s="7" t="s">
        <v>1879</v>
      </c>
      <c r="D95" s="10" t="s">
        <v>1880</v>
      </c>
      <c r="E95" s="7" t="s">
        <v>1881</v>
      </c>
      <c r="F95" s="7" t="s">
        <v>1882</v>
      </c>
      <c r="G95" s="9" t="s">
        <v>44</v>
      </c>
      <c r="H95" s="7" t="s">
        <v>101</v>
      </c>
      <c r="I95" s="7" t="s">
        <v>78</v>
      </c>
      <c r="J95" s="9" t="s">
        <v>2387</v>
      </c>
      <c r="K95" s="8">
        <v>1.8012012E7</v>
      </c>
      <c r="L95" s="31" t="s">
        <v>1880</v>
      </c>
      <c r="M95" s="7" t="s">
        <v>1881</v>
      </c>
      <c r="N95" s="7" t="s">
        <v>49</v>
      </c>
      <c r="O95" s="7" t="s">
        <v>1882</v>
      </c>
      <c r="P95" s="8" t="s">
        <v>1883</v>
      </c>
      <c r="Q95" s="10" t="s">
        <v>1884</v>
      </c>
      <c r="R95" s="20" t="s">
        <v>1885</v>
      </c>
      <c r="S95" s="11" t="s">
        <v>1886</v>
      </c>
      <c r="T95" s="7" t="s">
        <v>54</v>
      </c>
      <c r="U95" s="7" t="s">
        <v>55</v>
      </c>
      <c r="V95" s="7" t="s">
        <v>54</v>
      </c>
      <c r="W95" s="7" t="s">
        <v>55</v>
      </c>
      <c r="X95" s="11" t="s">
        <v>1887</v>
      </c>
      <c r="Y95" s="7" t="s">
        <v>57</v>
      </c>
      <c r="Z95" s="7" t="s">
        <v>1882</v>
      </c>
      <c r="AA95" s="9" t="s">
        <v>1888</v>
      </c>
      <c r="AB95" s="7" t="s">
        <v>949</v>
      </c>
      <c r="AC95" s="7" t="s">
        <v>1889</v>
      </c>
      <c r="AD95" s="7" t="s">
        <v>1882</v>
      </c>
      <c r="AE95" s="32" t="s">
        <v>1890</v>
      </c>
      <c r="AF95" s="7" t="s">
        <v>1891</v>
      </c>
      <c r="AG95" s="32" t="s">
        <v>1880</v>
      </c>
      <c r="AH95" s="17" t="s">
        <v>260</v>
      </c>
      <c r="AI95" s="18"/>
      <c r="AJ95" s="13"/>
      <c r="AK95" s="13"/>
      <c r="AL95" s="13"/>
      <c r="AM95" s="7" t="s">
        <v>1892</v>
      </c>
      <c r="AN95" s="7" t="s">
        <v>1893</v>
      </c>
      <c r="AO95" s="7" t="s">
        <v>55</v>
      </c>
      <c r="AP95" s="7" t="s">
        <v>70</v>
      </c>
      <c r="AQ95" s="13"/>
      <c r="AR95" s="13"/>
      <c r="AS95" s="13"/>
      <c r="AT95" s="13"/>
      <c r="AU95" s="13"/>
      <c r="AV95" s="13"/>
    </row>
    <row r="96">
      <c r="A96" s="6">
        <v>45785.88165296296</v>
      </c>
      <c r="B96" s="7" t="s">
        <v>751</v>
      </c>
      <c r="C96" s="7" t="s">
        <v>1115</v>
      </c>
      <c r="D96" s="10" t="s">
        <v>1116</v>
      </c>
      <c r="E96" s="7" t="s">
        <v>1117</v>
      </c>
      <c r="F96" s="7" t="s">
        <v>1118</v>
      </c>
      <c r="G96" s="9" t="s">
        <v>76</v>
      </c>
      <c r="H96" s="7" t="s">
        <v>45</v>
      </c>
      <c r="I96" s="7" t="s">
        <v>78</v>
      </c>
      <c r="J96" s="9" t="s">
        <v>2358</v>
      </c>
      <c r="K96" s="8">
        <v>1.9012009E7</v>
      </c>
      <c r="L96" s="31" t="s">
        <v>1119</v>
      </c>
      <c r="M96" s="7" t="s">
        <v>1120</v>
      </c>
      <c r="N96" s="7" t="s">
        <v>49</v>
      </c>
      <c r="O96" s="7" t="s">
        <v>1118</v>
      </c>
      <c r="P96" s="8" t="s">
        <v>1121</v>
      </c>
      <c r="Q96" s="8">
        <v>3.0052029E7</v>
      </c>
      <c r="R96" s="11" t="s">
        <v>1122</v>
      </c>
      <c r="S96" s="11" t="s">
        <v>1123</v>
      </c>
      <c r="T96" s="7" t="s">
        <v>54</v>
      </c>
      <c r="U96" s="7" t="s">
        <v>55</v>
      </c>
      <c r="V96" s="7" t="s">
        <v>54</v>
      </c>
      <c r="W96" s="7" t="s">
        <v>55</v>
      </c>
      <c r="X96" s="11" t="s">
        <v>1124</v>
      </c>
      <c r="Y96" s="7" t="s">
        <v>57</v>
      </c>
      <c r="Z96" s="7" t="s">
        <v>1118</v>
      </c>
      <c r="AA96" s="9" t="s">
        <v>1125</v>
      </c>
      <c r="AB96" s="7" t="s">
        <v>1126</v>
      </c>
      <c r="AC96" s="7" t="s">
        <v>1127</v>
      </c>
      <c r="AD96" s="7" t="s">
        <v>1118</v>
      </c>
      <c r="AE96" s="32" t="s">
        <v>1119</v>
      </c>
      <c r="AF96" s="7" t="s">
        <v>1128</v>
      </c>
      <c r="AG96" s="32" t="s">
        <v>1116</v>
      </c>
      <c r="AH96" s="17" t="s">
        <v>260</v>
      </c>
      <c r="AI96" s="18"/>
      <c r="AJ96" s="13"/>
      <c r="AK96" s="13"/>
      <c r="AL96" s="16"/>
      <c r="AM96" s="7" t="s">
        <v>1129</v>
      </c>
      <c r="AN96" s="7" t="s">
        <v>95</v>
      </c>
      <c r="AO96" s="7" t="s">
        <v>55</v>
      </c>
      <c r="AP96" s="7" t="s">
        <v>70</v>
      </c>
      <c r="AQ96" s="13"/>
      <c r="AR96" s="13"/>
      <c r="AS96" s="13"/>
      <c r="AT96" s="13"/>
      <c r="AU96" s="13"/>
      <c r="AV96" s="13"/>
    </row>
    <row r="97">
      <c r="A97" s="6">
        <v>45785.68422738426</v>
      </c>
      <c r="B97" s="7" t="s">
        <v>967</v>
      </c>
      <c r="C97" s="7" t="s">
        <v>968</v>
      </c>
      <c r="D97" s="8" t="s">
        <v>969</v>
      </c>
      <c r="E97" s="7" t="s">
        <v>970</v>
      </c>
      <c r="F97" s="7" t="s">
        <v>971</v>
      </c>
      <c r="G97" s="9" t="s">
        <v>44</v>
      </c>
      <c r="H97" s="7" t="s">
        <v>101</v>
      </c>
      <c r="I97" s="7" t="s">
        <v>78</v>
      </c>
      <c r="J97" s="9" t="s">
        <v>2366</v>
      </c>
      <c r="K97" s="10" t="s">
        <v>972</v>
      </c>
      <c r="L97" s="8" t="s">
        <v>969</v>
      </c>
      <c r="M97" s="7" t="s">
        <v>970</v>
      </c>
      <c r="N97" s="7" t="s">
        <v>49</v>
      </c>
      <c r="O97" s="7" t="s">
        <v>971</v>
      </c>
      <c r="P97" s="8" t="s">
        <v>973</v>
      </c>
      <c r="Q97" s="8" t="s">
        <v>974</v>
      </c>
      <c r="R97" s="20" t="s">
        <v>975</v>
      </c>
      <c r="S97" s="11" t="s">
        <v>976</v>
      </c>
      <c r="T97" s="7" t="s">
        <v>54</v>
      </c>
      <c r="U97" s="7" t="s">
        <v>55</v>
      </c>
      <c r="V97" s="7" t="s">
        <v>54</v>
      </c>
      <c r="W97" s="7" t="s">
        <v>55</v>
      </c>
      <c r="X97" s="11" t="s">
        <v>977</v>
      </c>
      <c r="Y97" s="14" t="s">
        <v>194</v>
      </c>
      <c r="Z97" s="15"/>
      <c r="AA97" s="16"/>
      <c r="AB97" s="13"/>
      <c r="AC97" s="13"/>
      <c r="AD97" s="7" t="s">
        <v>971</v>
      </c>
      <c r="AE97" s="32" t="s">
        <v>978</v>
      </c>
      <c r="AF97" s="7" t="s">
        <v>979</v>
      </c>
      <c r="AG97" s="32" t="s">
        <v>978</v>
      </c>
      <c r="AH97" s="9" t="s">
        <v>64</v>
      </c>
      <c r="AI97" s="9">
        <v>2.0</v>
      </c>
      <c r="AJ97" s="7" t="s">
        <v>980</v>
      </c>
      <c r="AK97" s="7" t="s">
        <v>299</v>
      </c>
      <c r="AL97" s="9" t="s">
        <v>299</v>
      </c>
      <c r="AM97" s="7" t="s">
        <v>981</v>
      </c>
      <c r="AN97" s="7" t="s">
        <v>117</v>
      </c>
      <c r="AO97" s="7" t="s">
        <v>55</v>
      </c>
      <c r="AP97" s="7" t="s">
        <v>70</v>
      </c>
      <c r="AQ97" s="13"/>
      <c r="AR97" s="13"/>
      <c r="AS97" s="13"/>
      <c r="AT97" s="13"/>
      <c r="AU97" s="13"/>
      <c r="AV97" s="13"/>
    </row>
    <row r="98">
      <c r="A98" s="6">
        <v>45786.40817190972</v>
      </c>
      <c r="B98" s="7" t="s">
        <v>751</v>
      </c>
      <c r="C98" s="7" t="s">
        <v>752</v>
      </c>
      <c r="D98" s="8" t="s">
        <v>753</v>
      </c>
      <c r="E98" s="7" t="s">
        <v>754</v>
      </c>
      <c r="F98" s="7" t="s">
        <v>1526</v>
      </c>
      <c r="G98" s="9" t="s">
        <v>76</v>
      </c>
      <c r="H98" s="7" t="s">
        <v>45</v>
      </c>
      <c r="I98" s="7" t="s">
        <v>78</v>
      </c>
      <c r="J98" s="9" t="s">
        <v>2358</v>
      </c>
      <c r="K98" s="10" t="s">
        <v>1527</v>
      </c>
      <c r="L98" s="31" t="s">
        <v>2388</v>
      </c>
      <c r="M98" s="7" t="s">
        <v>1529</v>
      </c>
      <c r="N98" s="7" t="s">
        <v>49</v>
      </c>
      <c r="O98" s="7" t="s">
        <v>1526</v>
      </c>
      <c r="P98" s="8" t="s">
        <v>1530</v>
      </c>
      <c r="Q98" s="8">
        <v>2.3072028E7</v>
      </c>
      <c r="R98" s="11" t="s">
        <v>1531</v>
      </c>
      <c r="S98" s="11" t="s">
        <v>1532</v>
      </c>
      <c r="T98" s="7" t="s">
        <v>54</v>
      </c>
      <c r="U98" s="7" t="s">
        <v>55</v>
      </c>
      <c r="V98" s="7" t="s">
        <v>54</v>
      </c>
      <c r="W98" s="7" t="s">
        <v>55</v>
      </c>
      <c r="X98" s="11" t="s">
        <v>1533</v>
      </c>
      <c r="Y98" s="14" t="s">
        <v>194</v>
      </c>
      <c r="Z98" s="15"/>
      <c r="AA98" s="16"/>
      <c r="AB98" s="13"/>
      <c r="AC98" s="13"/>
      <c r="AD98" s="7" t="s">
        <v>1526</v>
      </c>
      <c r="AE98" s="32" t="s">
        <v>2388</v>
      </c>
      <c r="AF98" s="7" t="s">
        <v>1534</v>
      </c>
      <c r="AG98" s="33" t="s">
        <v>753</v>
      </c>
      <c r="AH98" s="17" t="s">
        <v>260</v>
      </c>
      <c r="AI98" s="18"/>
      <c r="AJ98" s="13"/>
      <c r="AK98" s="13"/>
      <c r="AL98" s="13"/>
      <c r="AM98" s="7" t="s">
        <v>1535</v>
      </c>
      <c r="AN98" s="7" t="s">
        <v>95</v>
      </c>
      <c r="AO98" s="7" t="s">
        <v>1536</v>
      </c>
      <c r="AP98" s="7" t="s">
        <v>70</v>
      </c>
      <c r="AQ98" s="13"/>
      <c r="AR98" s="13"/>
      <c r="AS98" s="13"/>
      <c r="AT98" s="13"/>
      <c r="AU98" s="13"/>
      <c r="AV98" s="13"/>
    </row>
    <row r="99">
      <c r="A99" s="6">
        <v>45786.005645173616</v>
      </c>
      <c r="B99" s="7" t="s">
        <v>1375</v>
      </c>
      <c r="C99" s="7" t="s">
        <v>1376</v>
      </c>
      <c r="D99" s="33" t="s">
        <v>1377</v>
      </c>
      <c r="E99" s="7" t="s">
        <v>1378</v>
      </c>
      <c r="F99" s="7" t="s">
        <v>1376</v>
      </c>
      <c r="G99" s="9" t="s">
        <v>76</v>
      </c>
      <c r="H99" s="7" t="s">
        <v>45</v>
      </c>
      <c r="I99" s="7" t="s">
        <v>78</v>
      </c>
      <c r="J99" s="9" t="s">
        <v>2348</v>
      </c>
      <c r="K99" s="10" t="s">
        <v>1379</v>
      </c>
      <c r="L99" s="32" t="s">
        <v>2389</v>
      </c>
      <c r="M99" s="7" t="s">
        <v>1378</v>
      </c>
      <c r="N99" s="7" t="s">
        <v>49</v>
      </c>
      <c r="O99" s="7" t="s">
        <v>1375</v>
      </c>
      <c r="P99" s="8" t="s">
        <v>1380</v>
      </c>
      <c r="Q99" s="10" t="s">
        <v>1381</v>
      </c>
      <c r="R99" s="11" t="s">
        <v>1382</v>
      </c>
      <c r="S99" s="11" t="s">
        <v>1383</v>
      </c>
      <c r="T99" s="14" t="s">
        <v>308</v>
      </c>
      <c r="U99" s="14" t="s">
        <v>1384</v>
      </c>
      <c r="V99" s="14" t="s">
        <v>54</v>
      </c>
      <c r="W99" s="14" t="s">
        <v>55</v>
      </c>
      <c r="X99" s="11" t="s">
        <v>1385</v>
      </c>
      <c r="Y99" s="7" t="s">
        <v>57</v>
      </c>
      <c r="Z99" s="7" t="s">
        <v>1375</v>
      </c>
      <c r="AA99" s="9" t="s">
        <v>1386</v>
      </c>
      <c r="AB99" s="7" t="s">
        <v>1387</v>
      </c>
      <c r="AC99" s="7" t="s">
        <v>1388</v>
      </c>
      <c r="AD99" s="7" t="s">
        <v>1375</v>
      </c>
      <c r="AE99" s="32" t="s">
        <v>2389</v>
      </c>
      <c r="AF99" s="7" t="s">
        <v>422</v>
      </c>
      <c r="AG99" s="8">
        <v>9.999999999E9</v>
      </c>
      <c r="AH99" s="9" t="s">
        <v>64</v>
      </c>
      <c r="AI99" s="9">
        <v>2.0</v>
      </c>
      <c r="AJ99" s="7" t="s">
        <v>1389</v>
      </c>
      <c r="AK99" s="7" t="s">
        <v>1390</v>
      </c>
      <c r="AL99" s="7" t="s">
        <v>1391</v>
      </c>
      <c r="AM99" s="7" t="s">
        <v>1392</v>
      </c>
      <c r="AN99" s="7" t="s">
        <v>117</v>
      </c>
      <c r="AO99" s="7" t="s">
        <v>55</v>
      </c>
      <c r="AP99" s="7" t="s">
        <v>70</v>
      </c>
      <c r="AQ99" s="13"/>
      <c r="AR99" s="13"/>
      <c r="AS99" s="13"/>
      <c r="AT99" s="13"/>
      <c r="AU99" s="13"/>
      <c r="AV99" s="13"/>
    </row>
    <row r="100">
      <c r="A100" s="6">
        <v>45786.646414710645</v>
      </c>
      <c r="B100" s="7" t="s">
        <v>1789</v>
      </c>
      <c r="C100" s="7" t="s">
        <v>1790</v>
      </c>
      <c r="D100" s="32" t="s">
        <v>1791</v>
      </c>
      <c r="E100" s="7" t="s">
        <v>1792</v>
      </c>
      <c r="F100" s="7" t="s">
        <v>1793</v>
      </c>
      <c r="G100" s="9" t="s">
        <v>76</v>
      </c>
      <c r="H100" s="7" t="s">
        <v>45</v>
      </c>
      <c r="I100" s="7" t="s">
        <v>78</v>
      </c>
      <c r="J100" s="9" t="s">
        <v>2348</v>
      </c>
      <c r="K100" s="10" t="s">
        <v>1794</v>
      </c>
      <c r="L100" s="32" t="s">
        <v>2390</v>
      </c>
      <c r="M100" s="7" t="s">
        <v>1796</v>
      </c>
      <c r="N100" s="7" t="s">
        <v>49</v>
      </c>
      <c r="O100" s="7" t="s">
        <v>1797</v>
      </c>
      <c r="P100" s="8" t="s">
        <v>1798</v>
      </c>
      <c r="Q100" s="8" t="s">
        <v>1799</v>
      </c>
      <c r="R100" s="11" t="s">
        <v>1800</v>
      </c>
      <c r="S100" s="11" t="s">
        <v>1801</v>
      </c>
      <c r="T100" s="7" t="s">
        <v>54</v>
      </c>
      <c r="U100" s="7" t="s">
        <v>55</v>
      </c>
      <c r="V100" s="7" t="s">
        <v>54</v>
      </c>
      <c r="W100" s="7" t="s">
        <v>55</v>
      </c>
      <c r="X100" s="11" t="s">
        <v>1802</v>
      </c>
      <c r="Y100" s="14" t="s">
        <v>194</v>
      </c>
      <c r="Z100" s="15"/>
      <c r="AA100" s="16"/>
      <c r="AB100" s="13"/>
      <c r="AC100" s="13"/>
      <c r="AD100" s="7" t="s">
        <v>1793</v>
      </c>
      <c r="AE100" s="32" t="s">
        <v>2390</v>
      </c>
      <c r="AF100" s="7" t="s">
        <v>1337</v>
      </c>
      <c r="AG100" s="8">
        <v>9.999999999E9</v>
      </c>
      <c r="AH100" s="9" t="s">
        <v>64</v>
      </c>
      <c r="AI100" s="9">
        <v>2.0</v>
      </c>
      <c r="AJ100" s="7" t="s">
        <v>1803</v>
      </c>
      <c r="AK100" s="7" t="s">
        <v>299</v>
      </c>
      <c r="AL100" s="7" t="s">
        <v>1804</v>
      </c>
      <c r="AM100" s="7" t="s">
        <v>1805</v>
      </c>
      <c r="AN100" s="7" t="s">
        <v>117</v>
      </c>
      <c r="AO100" s="7" t="s">
        <v>55</v>
      </c>
      <c r="AP100" s="7" t="s">
        <v>70</v>
      </c>
      <c r="AQ100" s="13"/>
      <c r="AR100" s="13"/>
      <c r="AS100" s="13"/>
      <c r="AT100" s="13"/>
      <c r="AU100" s="13"/>
      <c r="AV100" s="13"/>
    </row>
    <row r="101" hidden="1">
      <c r="A101" s="21">
        <v>45786.62055648148</v>
      </c>
      <c r="B101" s="22" t="s">
        <v>317</v>
      </c>
      <c r="C101" s="22" t="s">
        <v>318</v>
      </c>
      <c r="D101" s="23" t="s">
        <v>1767</v>
      </c>
      <c r="E101" s="22" t="s">
        <v>320</v>
      </c>
      <c r="F101" s="22" t="s">
        <v>1768</v>
      </c>
      <c r="G101" s="24" t="s">
        <v>44</v>
      </c>
      <c r="H101" s="22" t="s">
        <v>101</v>
      </c>
      <c r="I101" s="22" t="s">
        <v>78</v>
      </c>
      <c r="J101" s="24"/>
      <c r="K101" s="23" t="s">
        <v>1769</v>
      </c>
      <c r="L101" s="23" t="s">
        <v>1770</v>
      </c>
      <c r="M101" s="22" t="s">
        <v>320</v>
      </c>
      <c r="N101" s="22" t="s">
        <v>1072</v>
      </c>
      <c r="O101" s="25"/>
      <c r="P101" s="26"/>
      <c r="Q101" s="26"/>
      <c r="R101" s="25"/>
      <c r="S101" s="25"/>
      <c r="T101" s="25"/>
      <c r="U101" s="25"/>
      <c r="V101" s="25"/>
      <c r="W101" s="25"/>
      <c r="X101" s="25"/>
      <c r="Y101" s="25"/>
      <c r="Z101" s="25"/>
      <c r="AA101" s="27"/>
      <c r="AB101" s="25"/>
      <c r="AC101" s="25"/>
      <c r="AD101" s="25"/>
      <c r="AE101" s="26"/>
      <c r="AF101" s="25"/>
      <c r="AG101" s="26"/>
      <c r="AH101" s="27"/>
      <c r="AI101" s="27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>
      <c r="A102" s="6">
        <v>45785.95013254629</v>
      </c>
      <c r="B102" s="7" t="s">
        <v>1287</v>
      </c>
      <c r="C102" s="7" t="s">
        <v>97</v>
      </c>
      <c r="D102" s="10" t="s">
        <v>1211</v>
      </c>
      <c r="E102" s="7" t="s">
        <v>1212</v>
      </c>
      <c r="F102" s="7" t="s">
        <v>1288</v>
      </c>
      <c r="G102" s="9" t="s">
        <v>44</v>
      </c>
      <c r="H102" s="7" t="s">
        <v>101</v>
      </c>
      <c r="I102" s="7" t="s">
        <v>78</v>
      </c>
      <c r="J102" s="9" t="s">
        <v>2361</v>
      </c>
      <c r="K102" s="8">
        <v>2.9082012E7</v>
      </c>
      <c r="L102" s="31" t="s">
        <v>1289</v>
      </c>
      <c r="M102" s="7" t="s">
        <v>1212</v>
      </c>
      <c r="N102" s="7" t="s">
        <v>49</v>
      </c>
      <c r="O102" s="7" t="s">
        <v>1288</v>
      </c>
      <c r="P102" s="8" t="s">
        <v>1290</v>
      </c>
      <c r="Q102" s="8">
        <v>2.6052029E7</v>
      </c>
      <c r="R102" s="11" t="s">
        <v>1291</v>
      </c>
      <c r="S102" s="11" t="s">
        <v>1292</v>
      </c>
      <c r="T102" s="7" t="s">
        <v>54</v>
      </c>
      <c r="U102" s="7" t="s">
        <v>55</v>
      </c>
      <c r="V102" s="7" t="s">
        <v>54</v>
      </c>
      <c r="W102" s="7" t="s">
        <v>55</v>
      </c>
      <c r="X102" s="11" t="s">
        <v>1293</v>
      </c>
      <c r="Y102" s="7" t="s">
        <v>57</v>
      </c>
      <c r="Z102" s="7" t="s">
        <v>1294</v>
      </c>
      <c r="AA102" s="9" t="s">
        <v>1295</v>
      </c>
      <c r="AB102" s="7" t="s">
        <v>1222</v>
      </c>
      <c r="AC102" s="7" t="s">
        <v>1296</v>
      </c>
      <c r="AD102" s="7" t="s">
        <v>1288</v>
      </c>
      <c r="AE102" s="32" t="s">
        <v>1289</v>
      </c>
      <c r="AF102" s="7" t="s">
        <v>1224</v>
      </c>
      <c r="AG102" s="32" t="s">
        <v>1211</v>
      </c>
      <c r="AH102" s="9" t="s">
        <v>64</v>
      </c>
      <c r="AI102" s="9">
        <v>3.0</v>
      </c>
      <c r="AJ102" s="7" t="s">
        <v>1225</v>
      </c>
      <c r="AK102" s="7" t="s">
        <v>1297</v>
      </c>
      <c r="AL102" s="9" t="s">
        <v>749</v>
      </c>
      <c r="AM102" s="7" t="s">
        <v>1298</v>
      </c>
      <c r="AN102" s="7" t="s">
        <v>117</v>
      </c>
      <c r="AO102" s="7" t="s">
        <v>55</v>
      </c>
      <c r="AP102" s="7" t="s">
        <v>70</v>
      </c>
      <c r="AQ102" s="13"/>
      <c r="AR102" s="13"/>
      <c r="AS102" s="13"/>
      <c r="AT102" s="13"/>
      <c r="AU102" s="13"/>
      <c r="AV102" s="13"/>
    </row>
    <row r="103" hidden="1">
      <c r="A103" s="21">
        <v>45786.80262966435</v>
      </c>
      <c r="B103" s="22" t="s">
        <v>1938</v>
      </c>
      <c r="C103" s="22" t="s">
        <v>460</v>
      </c>
      <c r="D103" s="28" t="s">
        <v>1939</v>
      </c>
      <c r="E103" s="22" t="s">
        <v>1940</v>
      </c>
      <c r="F103" s="22" t="s">
        <v>1941</v>
      </c>
      <c r="G103" s="24" t="s">
        <v>76</v>
      </c>
      <c r="H103" s="22" t="s">
        <v>45</v>
      </c>
      <c r="I103" s="22" t="s">
        <v>78</v>
      </c>
      <c r="J103" s="24"/>
      <c r="K103" s="23" t="s">
        <v>1942</v>
      </c>
      <c r="L103" s="48" t="s">
        <v>1943</v>
      </c>
      <c r="M103" s="22" t="s">
        <v>1940</v>
      </c>
      <c r="N103" s="22" t="s">
        <v>1072</v>
      </c>
      <c r="O103" s="25"/>
      <c r="P103" s="26"/>
      <c r="Q103" s="26"/>
      <c r="R103" s="25"/>
      <c r="S103" s="25"/>
      <c r="T103" s="25"/>
      <c r="U103" s="25"/>
      <c r="V103" s="25"/>
      <c r="W103" s="25"/>
      <c r="X103" s="25"/>
      <c r="Y103" s="25"/>
      <c r="Z103" s="25"/>
      <c r="AA103" s="27"/>
      <c r="AB103" s="25"/>
      <c r="AC103" s="25"/>
      <c r="AD103" s="25"/>
      <c r="AE103" s="26"/>
      <c r="AF103" s="25"/>
      <c r="AG103" s="26"/>
      <c r="AH103" s="27"/>
      <c r="AI103" s="27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>
      <c r="A104" s="6">
        <v>45786.70642221065</v>
      </c>
      <c r="B104" s="7" t="s">
        <v>1837</v>
      </c>
      <c r="C104" s="7" t="s">
        <v>1838</v>
      </c>
      <c r="D104" s="10" t="s">
        <v>1839</v>
      </c>
      <c r="E104" s="7" t="s">
        <v>1840</v>
      </c>
      <c r="F104" s="7" t="s">
        <v>1841</v>
      </c>
      <c r="G104" s="9" t="s">
        <v>44</v>
      </c>
      <c r="H104" s="7" t="s">
        <v>101</v>
      </c>
      <c r="I104" s="7" t="s">
        <v>78</v>
      </c>
      <c r="J104" s="9" t="s">
        <v>2352</v>
      </c>
      <c r="K104" s="10" t="s">
        <v>1842</v>
      </c>
      <c r="L104" s="10" t="s">
        <v>1843</v>
      </c>
      <c r="M104" s="7" t="s">
        <v>1840</v>
      </c>
      <c r="N104" s="7" t="s">
        <v>49</v>
      </c>
      <c r="O104" s="7" t="s">
        <v>1841</v>
      </c>
      <c r="P104" s="8" t="s">
        <v>1844</v>
      </c>
      <c r="Q104" s="10" t="s">
        <v>1845</v>
      </c>
      <c r="R104" s="20" t="s">
        <v>1846</v>
      </c>
      <c r="S104" s="11" t="s">
        <v>1847</v>
      </c>
      <c r="T104" s="7" t="s">
        <v>54</v>
      </c>
      <c r="U104" s="7" t="s">
        <v>55</v>
      </c>
      <c r="V104" s="7" t="s">
        <v>54</v>
      </c>
      <c r="W104" s="7" t="s">
        <v>55</v>
      </c>
      <c r="X104" s="11" t="s">
        <v>1848</v>
      </c>
      <c r="Y104" s="7" t="s">
        <v>57</v>
      </c>
      <c r="Z104" s="7" t="s">
        <v>1841</v>
      </c>
      <c r="AA104" s="9" t="s">
        <v>1849</v>
      </c>
      <c r="AB104" s="7" t="s">
        <v>1850</v>
      </c>
      <c r="AC104" s="7" t="s">
        <v>1851</v>
      </c>
      <c r="AD104" s="7" t="s">
        <v>1841</v>
      </c>
      <c r="AE104" s="32" t="s">
        <v>1843</v>
      </c>
      <c r="AF104" s="7" t="s">
        <v>1852</v>
      </c>
      <c r="AG104" s="32" t="s">
        <v>1839</v>
      </c>
      <c r="AH104" s="9" t="s">
        <v>64</v>
      </c>
      <c r="AI104" s="9">
        <v>4.0</v>
      </c>
      <c r="AJ104" s="7" t="s">
        <v>1853</v>
      </c>
      <c r="AK104" s="7" t="s">
        <v>179</v>
      </c>
      <c r="AL104" s="7">
        <v>2.4062025E7</v>
      </c>
      <c r="AM104" s="7" t="s">
        <v>1854</v>
      </c>
      <c r="AN104" s="7" t="s">
        <v>95</v>
      </c>
      <c r="AO104" s="7" t="s">
        <v>1855</v>
      </c>
      <c r="AP104" s="7" t="s">
        <v>70</v>
      </c>
      <c r="AQ104" s="13"/>
      <c r="AR104" s="13"/>
      <c r="AS104" s="13"/>
      <c r="AT104" s="13"/>
      <c r="AU104" s="13"/>
      <c r="AV104" s="13"/>
    </row>
    <row r="105">
      <c r="A105" s="6">
        <v>45786.75168422454</v>
      </c>
      <c r="B105" s="7" t="s">
        <v>1894</v>
      </c>
      <c r="C105" s="7" t="s">
        <v>1895</v>
      </c>
      <c r="D105" s="8" t="s">
        <v>1896</v>
      </c>
      <c r="E105" s="7" t="s">
        <v>1897</v>
      </c>
      <c r="F105" s="7" t="s">
        <v>1898</v>
      </c>
      <c r="G105" s="9" t="s">
        <v>76</v>
      </c>
      <c r="H105" s="7" t="s">
        <v>101</v>
      </c>
      <c r="I105" s="7" t="s">
        <v>78</v>
      </c>
      <c r="J105" s="7"/>
      <c r="K105" s="8">
        <v>2.5092012E7</v>
      </c>
      <c r="L105" s="31" t="s">
        <v>2391</v>
      </c>
      <c r="M105" s="7" t="s">
        <v>1897</v>
      </c>
      <c r="N105" s="7" t="s">
        <v>49</v>
      </c>
      <c r="O105" s="7" t="s">
        <v>1900</v>
      </c>
      <c r="P105" s="8" t="s">
        <v>1901</v>
      </c>
      <c r="Q105" s="8" t="s">
        <v>1902</v>
      </c>
      <c r="R105" s="11" t="s">
        <v>1903</v>
      </c>
      <c r="S105" s="11" t="s">
        <v>1904</v>
      </c>
      <c r="T105" s="14" t="s">
        <v>573</v>
      </c>
      <c r="U105" s="14" t="s">
        <v>1905</v>
      </c>
      <c r="V105" s="14" t="s">
        <v>54</v>
      </c>
      <c r="W105" s="14" t="s">
        <v>55</v>
      </c>
      <c r="X105" s="11" t="s">
        <v>1906</v>
      </c>
      <c r="Y105" s="7" t="s">
        <v>57</v>
      </c>
      <c r="Z105" s="7" t="s">
        <v>1907</v>
      </c>
      <c r="AA105" s="9" t="s">
        <v>1908</v>
      </c>
      <c r="AB105" s="7" t="s">
        <v>1909</v>
      </c>
      <c r="AC105" s="7" t="s">
        <v>1910</v>
      </c>
      <c r="AD105" s="7" t="s">
        <v>1900</v>
      </c>
      <c r="AE105" s="33" t="s">
        <v>1899</v>
      </c>
      <c r="AF105" s="7" t="s">
        <v>1911</v>
      </c>
      <c r="AG105" s="33" t="s">
        <v>1896</v>
      </c>
      <c r="AH105" s="9" t="s">
        <v>64</v>
      </c>
      <c r="AI105" s="9">
        <v>5.0</v>
      </c>
      <c r="AJ105" s="7" t="s">
        <v>1912</v>
      </c>
      <c r="AK105" s="7" t="s">
        <v>1913</v>
      </c>
      <c r="AL105" s="7" t="s">
        <v>1914</v>
      </c>
      <c r="AM105" s="7" t="s">
        <v>1915</v>
      </c>
      <c r="AN105" s="7" t="s">
        <v>408</v>
      </c>
      <c r="AO105" s="7" t="s">
        <v>1916</v>
      </c>
      <c r="AP105" s="7" t="s">
        <v>70</v>
      </c>
      <c r="AQ105" s="13"/>
      <c r="AR105" s="13"/>
      <c r="AS105" s="13"/>
      <c r="AT105" s="13"/>
      <c r="AU105" s="13"/>
      <c r="AV105" s="13"/>
    </row>
    <row r="106">
      <c r="A106" s="6">
        <v>45786.46991190972</v>
      </c>
      <c r="B106" s="7" t="s">
        <v>1554</v>
      </c>
      <c r="C106" s="7" t="s">
        <v>72</v>
      </c>
      <c r="D106" s="10" t="s">
        <v>73</v>
      </c>
      <c r="E106" s="7" t="s">
        <v>74</v>
      </c>
      <c r="F106" s="7" t="s">
        <v>1555</v>
      </c>
      <c r="G106" s="9" t="s">
        <v>76</v>
      </c>
      <c r="H106" s="7" t="s">
        <v>77</v>
      </c>
      <c r="I106" s="7" t="s">
        <v>78</v>
      </c>
      <c r="J106" s="7"/>
      <c r="K106" s="10" t="s">
        <v>79</v>
      </c>
      <c r="L106" s="31" t="s">
        <v>80</v>
      </c>
      <c r="M106" s="7" t="s">
        <v>81</v>
      </c>
      <c r="N106" s="7" t="s">
        <v>49</v>
      </c>
      <c r="O106" s="7" t="s">
        <v>1555</v>
      </c>
      <c r="P106" s="8" t="s">
        <v>82</v>
      </c>
      <c r="Q106" s="8">
        <v>1.7022027E7</v>
      </c>
      <c r="R106" s="11" t="s">
        <v>1556</v>
      </c>
      <c r="S106" s="11" t="s">
        <v>1557</v>
      </c>
      <c r="T106" s="7" t="s">
        <v>54</v>
      </c>
      <c r="U106" s="7" t="s">
        <v>55</v>
      </c>
      <c r="V106" s="7" t="s">
        <v>54</v>
      </c>
      <c r="W106" s="7" t="s">
        <v>55</v>
      </c>
      <c r="X106" s="11" t="s">
        <v>1558</v>
      </c>
      <c r="Y106" s="7" t="s">
        <v>57</v>
      </c>
      <c r="Z106" s="7" t="s">
        <v>75</v>
      </c>
      <c r="AA106" s="9" t="s">
        <v>86</v>
      </c>
      <c r="AB106" s="7" t="s">
        <v>87</v>
      </c>
      <c r="AC106" s="7" t="s">
        <v>88</v>
      </c>
      <c r="AD106" s="7" t="s">
        <v>1559</v>
      </c>
      <c r="AE106" s="32" t="s">
        <v>80</v>
      </c>
      <c r="AF106" s="7" t="s">
        <v>1560</v>
      </c>
      <c r="AG106" s="32" t="s">
        <v>73</v>
      </c>
      <c r="AH106" s="9" t="s">
        <v>64</v>
      </c>
      <c r="AI106" s="9">
        <v>2.0</v>
      </c>
      <c r="AJ106" s="7" t="s">
        <v>1561</v>
      </c>
      <c r="AK106" s="7" t="s">
        <v>1562</v>
      </c>
      <c r="AL106" s="7" t="s">
        <v>1563</v>
      </c>
      <c r="AM106" s="7" t="s">
        <v>1564</v>
      </c>
      <c r="AN106" s="7" t="s">
        <v>69</v>
      </c>
      <c r="AO106" s="7" t="s">
        <v>1565</v>
      </c>
      <c r="AP106" s="7" t="s">
        <v>70</v>
      </c>
      <c r="AQ106" s="13"/>
      <c r="AR106" s="13"/>
      <c r="AS106" s="13"/>
      <c r="AT106" s="13"/>
      <c r="AU106" s="13"/>
      <c r="AV106" s="13"/>
    </row>
    <row r="107" hidden="1">
      <c r="A107" s="6">
        <v>45786.83055730324</v>
      </c>
      <c r="B107" s="7" t="s">
        <v>1966</v>
      </c>
      <c r="C107" s="7" t="s">
        <v>1967</v>
      </c>
      <c r="D107" s="10" t="s">
        <v>1968</v>
      </c>
      <c r="E107" s="7" t="s">
        <v>1969</v>
      </c>
      <c r="F107" s="7" t="s">
        <v>1970</v>
      </c>
      <c r="G107" s="9" t="s">
        <v>44</v>
      </c>
      <c r="H107" s="7" t="s">
        <v>101</v>
      </c>
      <c r="I107" s="7" t="s">
        <v>78</v>
      </c>
      <c r="J107" s="9"/>
      <c r="K107" s="8" t="s">
        <v>1971</v>
      </c>
      <c r="L107" s="10" t="s">
        <v>1972</v>
      </c>
      <c r="M107" s="7" t="s">
        <v>1969</v>
      </c>
      <c r="N107" s="7" t="s">
        <v>49</v>
      </c>
      <c r="O107" s="7" t="s">
        <v>1970</v>
      </c>
      <c r="P107" s="8" t="s">
        <v>1973</v>
      </c>
      <c r="Q107" s="10" t="s">
        <v>1974</v>
      </c>
      <c r="R107" s="11" t="s">
        <v>1975</v>
      </c>
      <c r="S107" s="11" t="s">
        <v>1976</v>
      </c>
      <c r="T107" s="7" t="s">
        <v>54</v>
      </c>
      <c r="U107" s="7" t="s">
        <v>55</v>
      </c>
      <c r="V107" s="7" t="s">
        <v>54</v>
      </c>
      <c r="W107" s="7" t="s">
        <v>55</v>
      </c>
      <c r="X107" s="11" t="s">
        <v>1977</v>
      </c>
      <c r="Y107" s="7" t="s">
        <v>57</v>
      </c>
      <c r="Z107" s="7" t="s">
        <v>1970</v>
      </c>
      <c r="AA107" s="9" t="s">
        <v>1978</v>
      </c>
      <c r="AB107" s="7" t="s">
        <v>1979</v>
      </c>
      <c r="AC107" s="7" t="s">
        <v>1980</v>
      </c>
      <c r="AD107" s="7" t="s">
        <v>1970</v>
      </c>
      <c r="AE107" s="10" t="s">
        <v>1972</v>
      </c>
      <c r="AF107" s="7" t="s">
        <v>1981</v>
      </c>
      <c r="AG107" s="10" t="s">
        <v>1968</v>
      </c>
      <c r="AH107" s="17" t="s">
        <v>260</v>
      </c>
      <c r="AI107" s="18"/>
      <c r="AJ107" s="13"/>
      <c r="AK107" s="13"/>
      <c r="AL107" s="13"/>
      <c r="AM107" s="7" t="s">
        <v>1981</v>
      </c>
      <c r="AN107" s="7" t="s">
        <v>117</v>
      </c>
      <c r="AO107" s="7" t="s">
        <v>55</v>
      </c>
      <c r="AP107" s="7" t="s">
        <v>70</v>
      </c>
      <c r="AQ107" s="13"/>
      <c r="AR107" s="13"/>
      <c r="AS107" s="13"/>
      <c r="AT107" s="13"/>
      <c r="AU107" s="13"/>
      <c r="AV107" s="13"/>
    </row>
    <row r="108">
      <c r="A108" s="6">
        <v>45786.7303330787</v>
      </c>
      <c r="B108" s="7" t="s">
        <v>1856</v>
      </c>
      <c r="C108" s="7" t="s">
        <v>364</v>
      </c>
      <c r="D108" s="8" t="s">
        <v>1857</v>
      </c>
      <c r="E108" s="7" t="s">
        <v>1858</v>
      </c>
      <c r="F108" s="7" t="s">
        <v>1859</v>
      </c>
      <c r="G108" s="9" t="s">
        <v>76</v>
      </c>
      <c r="H108" s="7" t="s">
        <v>45</v>
      </c>
      <c r="I108" s="7" t="s">
        <v>78</v>
      </c>
      <c r="J108" s="9" t="s">
        <v>2348</v>
      </c>
      <c r="K108" s="10" t="s">
        <v>1860</v>
      </c>
      <c r="L108" s="31" t="s">
        <v>2392</v>
      </c>
      <c r="M108" s="7" t="s">
        <v>1862</v>
      </c>
      <c r="N108" s="7" t="s">
        <v>49</v>
      </c>
      <c r="O108" s="7" t="s">
        <v>1859</v>
      </c>
      <c r="P108" s="8" t="s">
        <v>1863</v>
      </c>
      <c r="Q108" s="8" t="s">
        <v>1864</v>
      </c>
      <c r="R108" s="11" t="s">
        <v>1865</v>
      </c>
      <c r="S108" s="11" t="s">
        <v>1866</v>
      </c>
      <c r="T108" s="7" t="s">
        <v>54</v>
      </c>
      <c r="U108" s="7" t="s">
        <v>55</v>
      </c>
      <c r="V108" s="7" t="s">
        <v>54</v>
      </c>
      <c r="W108" s="7" t="s">
        <v>55</v>
      </c>
      <c r="X108" s="11" t="s">
        <v>1867</v>
      </c>
      <c r="Y108" s="7" t="s">
        <v>57</v>
      </c>
      <c r="Z108" s="7" t="s">
        <v>1859</v>
      </c>
      <c r="AA108" s="9" t="s">
        <v>1868</v>
      </c>
      <c r="AB108" s="7" t="s">
        <v>1869</v>
      </c>
      <c r="AC108" s="7" t="s">
        <v>1870</v>
      </c>
      <c r="AD108" s="7" t="s">
        <v>1871</v>
      </c>
      <c r="AE108" s="33" t="s">
        <v>1872</v>
      </c>
      <c r="AF108" s="7" t="s">
        <v>1873</v>
      </c>
      <c r="AG108" s="33" t="s">
        <v>1857</v>
      </c>
      <c r="AH108" s="9" t="s">
        <v>64</v>
      </c>
      <c r="AI108" s="9">
        <v>2.0</v>
      </c>
      <c r="AJ108" s="7" t="s">
        <v>1874</v>
      </c>
      <c r="AK108" s="7" t="s">
        <v>1875</v>
      </c>
      <c r="AL108" s="7" t="s">
        <v>1876</v>
      </c>
      <c r="AM108" s="7" t="s">
        <v>1877</v>
      </c>
      <c r="AN108" s="7" t="s">
        <v>1525</v>
      </c>
      <c r="AO108" s="7" t="s">
        <v>55</v>
      </c>
      <c r="AP108" s="7" t="s">
        <v>70</v>
      </c>
      <c r="AQ108" s="13"/>
      <c r="AR108" s="13"/>
      <c r="AS108" s="13"/>
      <c r="AT108" s="13"/>
      <c r="AU108" s="13"/>
      <c r="AV108" s="13"/>
    </row>
    <row r="109">
      <c r="A109" s="6">
        <v>45786.84072504629</v>
      </c>
      <c r="B109" s="7" t="s">
        <v>892</v>
      </c>
      <c r="C109" s="7" t="s">
        <v>2022</v>
      </c>
      <c r="D109" s="10" t="s">
        <v>2023</v>
      </c>
      <c r="E109" s="7" t="s">
        <v>2024</v>
      </c>
      <c r="F109" s="7" t="s">
        <v>2025</v>
      </c>
      <c r="G109" s="9" t="s">
        <v>44</v>
      </c>
      <c r="H109" s="7" t="s">
        <v>101</v>
      </c>
      <c r="I109" s="7" t="s">
        <v>78</v>
      </c>
      <c r="J109" s="9" t="s">
        <v>2352</v>
      </c>
      <c r="K109" s="8">
        <v>1.6072012E7</v>
      </c>
      <c r="L109" s="10" t="s">
        <v>2026</v>
      </c>
      <c r="M109" s="7" t="s">
        <v>2024</v>
      </c>
      <c r="N109" s="7" t="s">
        <v>49</v>
      </c>
      <c r="O109" s="7" t="s">
        <v>2025</v>
      </c>
      <c r="P109" s="8" t="s">
        <v>2027</v>
      </c>
      <c r="Q109" s="10" t="s">
        <v>1572</v>
      </c>
      <c r="R109" s="11" t="s">
        <v>2028</v>
      </c>
      <c r="S109" s="11" t="s">
        <v>2029</v>
      </c>
      <c r="T109" s="7" t="s">
        <v>54</v>
      </c>
      <c r="U109" s="7" t="s">
        <v>55</v>
      </c>
      <c r="V109" s="7" t="s">
        <v>54</v>
      </c>
      <c r="W109" s="7" t="s">
        <v>55</v>
      </c>
      <c r="X109" s="11" t="s">
        <v>2030</v>
      </c>
      <c r="Y109" s="7" t="s">
        <v>57</v>
      </c>
      <c r="Z109" s="7" t="s">
        <v>2025</v>
      </c>
      <c r="AA109" s="9" t="s">
        <v>2031</v>
      </c>
      <c r="AB109" s="7" t="s">
        <v>2032</v>
      </c>
      <c r="AC109" s="7" t="s">
        <v>2033</v>
      </c>
      <c r="AD109" s="7" t="s">
        <v>2025</v>
      </c>
      <c r="AE109" s="32" t="s">
        <v>2026</v>
      </c>
      <c r="AF109" s="7" t="s">
        <v>2034</v>
      </c>
      <c r="AG109" s="32" t="s">
        <v>2023</v>
      </c>
      <c r="AH109" s="9" t="s">
        <v>64</v>
      </c>
      <c r="AI109" s="9">
        <v>1.0</v>
      </c>
      <c r="AJ109" s="7" t="s">
        <v>2035</v>
      </c>
      <c r="AK109" s="7" t="s">
        <v>2036</v>
      </c>
      <c r="AL109" s="7" t="s">
        <v>2037</v>
      </c>
      <c r="AM109" s="7" t="s">
        <v>2038</v>
      </c>
      <c r="AN109" s="7" t="s">
        <v>2039</v>
      </c>
      <c r="AO109" s="7" t="s">
        <v>55</v>
      </c>
      <c r="AP109" s="7" t="s">
        <v>70</v>
      </c>
      <c r="AQ109" s="13"/>
      <c r="AR109" s="13"/>
      <c r="AS109" s="13"/>
      <c r="AT109" s="13"/>
      <c r="AU109" s="13"/>
      <c r="AV109" s="13"/>
    </row>
    <row r="110">
      <c r="A110" s="35">
        <v>45785.95701704861</v>
      </c>
      <c r="B110" s="36" t="s">
        <v>1324</v>
      </c>
      <c r="C110" s="36" t="s">
        <v>1048</v>
      </c>
      <c r="D110" s="37" t="s">
        <v>1325</v>
      </c>
      <c r="E110" s="36" t="s">
        <v>1326</v>
      </c>
      <c r="F110" s="36" t="s">
        <v>1327</v>
      </c>
      <c r="G110" s="38" t="s">
        <v>76</v>
      </c>
      <c r="H110" s="36" t="s">
        <v>45</v>
      </c>
      <c r="I110" s="36" t="s">
        <v>78</v>
      </c>
      <c r="J110" s="38"/>
      <c r="K110" s="39">
        <v>2.1032007E7</v>
      </c>
      <c r="L110" s="37" t="s">
        <v>1328</v>
      </c>
      <c r="M110" s="36" t="s">
        <v>1329</v>
      </c>
      <c r="N110" s="36" t="s">
        <v>49</v>
      </c>
      <c r="O110" s="36" t="s">
        <v>1330</v>
      </c>
      <c r="P110" s="39" t="s">
        <v>1331</v>
      </c>
      <c r="Q110" s="37" t="s">
        <v>1332</v>
      </c>
      <c r="R110" s="40" t="s">
        <v>1333</v>
      </c>
      <c r="S110" s="40" t="s">
        <v>1334</v>
      </c>
      <c r="T110" s="36" t="s">
        <v>54</v>
      </c>
      <c r="U110" s="36" t="s">
        <v>55</v>
      </c>
      <c r="V110" s="36" t="s">
        <v>54</v>
      </c>
      <c r="W110" s="36" t="s">
        <v>55</v>
      </c>
      <c r="X110" s="40" t="s">
        <v>1335</v>
      </c>
      <c r="Y110" s="22" t="s">
        <v>194</v>
      </c>
      <c r="Z110" s="43"/>
      <c r="AA110" s="27"/>
      <c r="AB110" s="25"/>
      <c r="AC110" s="25"/>
      <c r="AD110" s="36" t="s">
        <v>1336</v>
      </c>
      <c r="AE110" s="37" t="s">
        <v>1328</v>
      </c>
      <c r="AF110" s="36" t="s">
        <v>1337</v>
      </c>
      <c r="AG110" s="39">
        <v>9.999999999E9</v>
      </c>
      <c r="AH110" s="24" t="s">
        <v>260</v>
      </c>
      <c r="AI110" s="49"/>
      <c r="AJ110" s="25"/>
      <c r="AK110" s="25"/>
      <c r="AL110" s="27"/>
      <c r="AM110" s="36" t="s">
        <v>1338</v>
      </c>
      <c r="AN110" s="36" t="s">
        <v>117</v>
      </c>
      <c r="AO110" s="36" t="s">
        <v>55</v>
      </c>
      <c r="AP110" s="36" t="s">
        <v>70</v>
      </c>
      <c r="AQ110" s="25"/>
      <c r="AR110" s="25"/>
      <c r="AS110" s="25"/>
      <c r="AT110" s="25"/>
      <c r="AU110" s="25"/>
      <c r="AV110" s="25"/>
    </row>
    <row r="111" hidden="1">
      <c r="A111" s="21">
        <v>45787.64029141204</v>
      </c>
      <c r="B111" s="22" t="s">
        <v>2208</v>
      </c>
      <c r="C111" s="22" t="s">
        <v>586</v>
      </c>
      <c r="D111" s="28" t="s">
        <v>2209</v>
      </c>
      <c r="E111" s="22" t="s">
        <v>2210</v>
      </c>
      <c r="F111" s="22" t="s">
        <v>2211</v>
      </c>
      <c r="G111" s="24" t="s">
        <v>44</v>
      </c>
      <c r="H111" s="22" t="s">
        <v>101</v>
      </c>
      <c r="I111" s="22" t="s">
        <v>78</v>
      </c>
      <c r="J111" s="24"/>
      <c r="K111" s="28">
        <v>2.0102013E7</v>
      </c>
      <c r="L111" s="28" t="s">
        <v>2212</v>
      </c>
      <c r="M111" s="22" t="s">
        <v>2213</v>
      </c>
      <c r="N111" s="22" t="s">
        <v>1072</v>
      </c>
      <c r="O111" s="25"/>
      <c r="P111" s="26"/>
      <c r="Q111" s="26"/>
      <c r="R111" s="25"/>
      <c r="S111" s="25"/>
      <c r="T111" s="25"/>
      <c r="U111" s="25"/>
      <c r="V111" s="25"/>
      <c r="W111" s="25"/>
      <c r="X111" s="25"/>
      <c r="Y111" s="25"/>
      <c r="Z111" s="25"/>
      <c r="AA111" s="27"/>
      <c r="AB111" s="25"/>
      <c r="AC111" s="25"/>
      <c r="AD111" s="25"/>
      <c r="AE111" s="26"/>
      <c r="AF111" s="25"/>
      <c r="AG111" s="26"/>
      <c r="AH111" s="27"/>
      <c r="AI111" s="27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>
      <c r="A112" s="35">
        <v>45786.834402650464</v>
      </c>
      <c r="B112" s="36" t="s">
        <v>1982</v>
      </c>
      <c r="C112" s="36" t="s">
        <v>1983</v>
      </c>
      <c r="D112" s="37" t="s">
        <v>1984</v>
      </c>
      <c r="E112" s="36" t="s">
        <v>1985</v>
      </c>
      <c r="F112" s="36" t="s">
        <v>1986</v>
      </c>
      <c r="G112" s="38" t="s">
        <v>76</v>
      </c>
      <c r="H112" s="36" t="s">
        <v>101</v>
      </c>
      <c r="I112" s="36" t="s">
        <v>102</v>
      </c>
      <c r="J112" s="36"/>
      <c r="K112" s="39">
        <v>1.6052012E7</v>
      </c>
      <c r="L112" s="37" t="s">
        <v>1984</v>
      </c>
      <c r="M112" s="36" t="s">
        <v>1987</v>
      </c>
      <c r="N112" s="36" t="s">
        <v>49</v>
      </c>
      <c r="O112" s="36" t="s">
        <v>1988</v>
      </c>
      <c r="P112" s="39" t="s">
        <v>1989</v>
      </c>
      <c r="Q112" s="39">
        <v>2.0122027E7</v>
      </c>
      <c r="R112" s="40" t="s">
        <v>1990</v>
      </c>
      <c r="S112" s="40" t="s">
        <v>1991</v>
      </c>
      <c r="T112" s="36" t="s">
        <v>54</v>
      </c>
      <c r="U112" s="36" t="s">
        <v>55</v>
      </c>
      <c r="V112" s="36" t="s">
        <v>54</v>
      </c>
      <c r="W112" s="36" t="s">
        <v>55</v>
      </c>
      <c r="X112" s="40" t="s">
        <v>1992</v>
      </c>
      <c r="Y112" s="36" t="s">
        <v>57</v>
      </c>
      <c r="Z112" s="36" t="s">
        <v>1988</v>
      </c>
      <c r="AA112" s="38">
        <v>1.20516012333E11</v>
      </c>
      <c r="AB112" s="36" t="s">
        <v>1993</v>
      </c>
      <c r="AC112" s="36" t="s">
        <v>1994</v>
      </c>
      <c r="AD112" s="36" t="s">
        <v>1986</v>
      </c>
      <c r="AE112" s="37" t="s">
        <v>1984</v>
      </c>
      <c r="AF112" s="36" t="s">
        <v>1995</v>
      </c>
      <c r="AG112" s="37" t="s">
        <v>1984</v>
      </c>
      <c r="AH112" s="38" t="s">
        <v>64</v>
      </c>
      <c r="AI112" s="38">
        <v>2.0</v>
      </c>
      <c r="AJ112" s="36" t="s">
        <v>1996</v>
      </c>
      <c r="AK112" s="36" t="s">
        <v>1997</v>
      </c>
      <c r="AL112" s="36" t="s">
        <v>1998</v>
      </c>
      <c r="AM112" s="36" t="s">
        <v>1999</v>
      </c>
      <c r="AN112" s="36" t="s">
        <v>2000</v>
      </c>
      <c r="AO112" s="36" t="s">
        <v>55</v>
      </c>
      <c r="AP112" s="36" t="s">
        <v>70</v>
      </c>
      <c r="AQ112" s="25"/>
      <c r="AR112" s="25"/>
      <c r="AS112" s="25"/>
      <c r="AT112" s="25"/>
      <c r="AU112" s="25"/>
      <c r="AV112" s="25"/>
    </row>
    <row r="113">
      <c r="A113" s="6">
        <v>45786.83723391204</v>
      </c>
      <c r="B113" s="7" t="s">
        <v>2001</v>
      </c>
      <c r="C113" s="7" t="s">
        <v>2002</v>
      </c>
      <c r="D113" s="10" t="s">
        <v>2003</v>
      </c>
      <c r="E113" s="7" t="s">
        <v>2004</v>
      </c>
      <c r="F113" s="7" t="s">
        <v>2005</v>
      </c>
      <c r="G113" s="9" t="s">
        <v>76</v>
      </c>
      <c r="H113" s="7" t="s">
        <v>101</v>
      </c>
      <c r="I113" s="7" t="s">
        <v>141</v>
      </c>
      <c r="J113" s="7"/>
      <c r="K113" s="8" t="s">
        <v>2006</v>
      </c>
      <c r="L113" s="31" t="s">
        <v>2007</v>
      </c>
      <c r="M113" s="7" t="s">
        <v>2004</v>
      </c>
      <c r="N113" s="7" t="s">
        <v>49</v>
      </c>
      <c r="O113" s="7" t="s">
        <v>2008</v>
      </c>
      <c r="P113" s="8" t="s">
        <v>2009</v>
      </c>
      <c r="Q113" s="10" t="s">
        <v>2010</v>
      </c>
      <c r="R113" s="11" t="s">
        <v>2011</v>
      </c>
      <c r="S113" s="11" t="s">
        <v>2012</v>
      </c>
      <c r="T113" s="7" t="s">
        <v>54</v>
      </c>
      <c r="U113" s="7" t="s">
        <v>55</v>
      </c>
      <c r="V113" s="7" t="s">
        <v>54</v>
      </c>
      <c r="W113" s="7" t="s">
        <v>55</v>
      </c>
      <c r="X113" s="11" t="s">
        <v>2013</v>
      </c>
      <c r="Y113" s="7" t="s">
        <v>57</v>
      </c>
      <c r="Z113" s="7" t="s">
        <v>2014</v>
      </c>
      <c r="AA113" s="9" t="s">
        <v>2015</v>
      </c>
      <c r="AB113" s="7" t="s">
        <v>2016</v>
      </c>
      <c r="AC113" s="7" t="s">
        <v>2017</v>
      </c>
      <c r="AD113" s="7" t="s">
        <v>2018</v>
      </c>
      <c r="AE113" s="32" t="s">
        <v>2007</v>
      </c>
      <c r="AF113" s="7" t="s">
        <v>2019</v>
      </c>
      <c r="AG113" s="32" t="s">
        <v>2003</v>
      </c>
      <c r="AH113" s="9" t="s">
        <v>64</v>
      </c>
      <c r="AI113" s="9">
        <v>4.0</v>
      </c>
      <c r="AJ113" s="7" t="s">
        <v>2020</v>
      </c>
      <c r="AK113" s="7" t="s">
        <v>55</v>
      </c>
      <c r="AL113" s="7" t="s">
        <v>2021</v>
      </c>
      <c r="AM113" s="19" t="s">
        <v>2003</v>
      </c>
      <c r="AN113" s="7" t="s">
        <v>408</v>
      </c>
      <c r="AO113" s="7" t="s">
        <v>55</v>
      </c>
      <c r="AP113" s="7" t="s">
        <v>70</v>
      </c>
      <c r="AQ113" s="13"/>
      <c r="AR113" s="13"/>
      <c r="AS113" s="13"/>
      <c r="AT113" s="13"/>
      <c r="AU113" s="13"/>
      <c r="AV113" s="13"/>
    </row>
    <row r="114" hidden="1">
      <c r="A114" s="21">
        <v>45787.66611892361</v>
      </c>
      <c r="B114" s="22" t="s">
        <v>2241</v>
      </c>
      <c r="C114" s="22" t="s">
        <v>2242</v>
      </c>
      <c r="D114" s="23" t="s">
        <v>2243</v>
      </c>
      <c r="E114" s="22" t="s">
        <v>2244</v>
      </c>
      <c r="F114" s="22" t="s">
        <v>2245</v>
      </c>
      <c r="G114" s="24" t="s">
        <v>44</v>
      </c>
      <c r="H114" s="22" t="s">
        <v>101</v>
      </c>
      <c r="I114" s="22" t="s">
        <v>78</v>
      </c>
      <c r="J114" s="24"/>
      <c r="K114" s="28">
        <v>1.8022011E7</v>
      </c>
      <c r="L114" s="23" t="s">
        <v>2243</v>
      </c>
      <c r="M114" s="22" t="s">
        <v>2244</v>
      </c>
      <c r="N114" s="22" t="s">
        <v>1072</v>
      </c>
      <c r="O114" s="25"/>
      <c r="P114" s="26"/>
      <c r="Q114" s="26"/>
      <c r="R114" s="25"/>
      <c r="S114" s="25"/>
      <c r="T114" s="25"/>
      <c r="U114" s="25"/>
      <c r="V114" s="25"/>
      <c r="W114" s="25"/>
      <c r="X114" s="25"/>
      <c r="Y114" s="25"/>
      <c r="Z114" s="25"/>
      <c r="AA114" s="27"/>
      <c r="AB114" s="25"/>
      <c r="AC114" s="25"/>
      <c r="AD114" s="25"/>
      <c r="AE114" s="26"/>
      <c r="AF114" s="25"/>
      <c r="AG114" s="26"/>
      <c r="AH114" s="27"/>
      <c r="AI114" s="27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>
      <c r="A115" s="6">
        <v>45784.915533761574</v>
      </c>
      <c r="B115" s="7" t="s">
        <v>363</v>
      </c>
      <c r="C115" s="7" t="s">
        <v>364</v>
      </c>
      <c r="D115" s="10" t="s">
        <v>365</v>
      </c>
      <c r="E115" s="7" t="s">
        <v>366</v>
      </c>
      <c r="F115" s="7" t="s">
        <v>367</v>
      </c>
      <c r="G115" s="9" t="s">
        <v>44</v>
      </c>
      <c r="H115" s="7" t="s">
        <v>101</v>
      </c>
      <c r="I115" s="7" t="s">
        <v>78</v>
      </c>
      <c r="J115" s="9" t="s">
        <v>2358</v>
      </c>
      <c r="K115" s="8">
        <v>1.5022012E7</v>
      </c>
      <c r="L115" s="31" t="s">
        <v>2393</v>
      </c>
      <c r="M115" s="7" t="s">
        <v>369</v>
      </c>
      <c r="N115" s="7" t="s">
        <v>49</v>
      </c>
      <c r="O115" s="7" t="s">
        <v>367</v>
      </c>
      <c r="P115" s="8" t="s">
        <v>370</v>
      </c>
      <c r="Q115" s="10" t="s">
        <v>371</v>
      </c>
      <c r="R115" s="20" t="s">
        <v>372</v>
      </c>
      <c r="S115" s="20" t="s">
        <v>373</v>
      </c>
      <c r="T115" s="14" t="s">
        <v>54</v>
      </c>
      <c r="U115" s="14" t="s">
        <v>55</v>
      </c>
      <c r="V115" s="14" t="s">
        <v>374</v>
      </c>
      <c r="W115" s="14" t="s">
        <v>55</v>
      </c>
      <c r="X115" s="11" t="s">
        <v>375</v>
      </c>
      <c r="Y115" s="7" t="s">
        <v>57</v>
      </c>
      <c r="Z115" s="7" t="s">
        <v>367</v>
      </c>
      <c r="AA115" s="9" t="s">
        <v>376</v>
      </c>
      <c r="AB115" s="7" t="s">
        <v>377</v>
      </c>
      <c r="AC115" s="7" t="s">
        <v>378</v>
      </c>
      <c r="AD115" s="7" t="s">
        <v>379</v>
      </c>
      <c r="AE115" s="32" t="s">
        <v>2394</v>
      </c>
      <c r="AF115" s="7" t="s">
        <v>380</v>
      </c>
      <c r="AG115" s="33" t="s">
        <v>381</v>
      </c>
      <c r="AH115" s="9" t="s">
        <v>64</v>
      </c>
      <c r="AI115" s="9">
        <v>2.0</v>
      </c>
      <c r="AJ115" s="7" t="s">
        <v>382</v>
      </c>
      <c r="AK115" s="7" t="s">
        <v>383</v>
      </c>
      <c r="AL115" s="12" t="s">
        <v>384</v>
      </c>
      <c r="AM115" s="7" t="s">
        <v>385</v>
      </c>
      <c r="AN115" s="7" t="s">
        <v>386</v>
      </c>
      <c r="AO115" s="7" t="s">
        <v>55</v>
      </c>
      <c r="AP115" s="7" t="s">
        <v>70</v>
      </c>
      <c r="AQ115" s="13"/>
      <c r="AR115" s="13"/>
      <c r="AS115" s="13"/>
      <c r="AT115" s="13"/>
      <c r="AU115" s="13"/>
      <c r="AV115" s="13"/>
    </row>
    <row r="116" hidden="1">
      <c r="A116" s="6">
        <v>45784.896748217594</v>
      </c>
      <c r="B116" s="7" t="s">
        <v>339</v>
      </c>
      <c r="C116" s="7" t="s">
        <v>340</v>
      </c>
      <c r="D116" s="10" t="s">
        <v>341</v>
      </c>
      <c r="E116" s="7" t="s">
        <v>342</v>
      </c>
      <c r="F116" s="7" t="s">
        <v>343</v>
      </c>
      <c r="G116" s="9" t="s">
        <v>44</v>
      </c>
      <c r="H116" s="7" t="s">
        <v>77</v>
      </c>
      <c r="I116" s="7" t="s">
        <v>102</v>
      </c>
      <c r="J116" s="9"/>
      <c r="K116" s="8" t="s">
        <v>344</v>
      </c>
      <c r="L116" s="10" t="s">
        <v>345</v>
      </c>
      <c r="M116" s="7" t="s">
        <v>346</v>
      </c>
      <c r="N116" s="7" t="s">
        <v>49</v>
      </c>
      <c r="O116" s="7" t="s">
        <v>347</v>
      </c>
      <c r="P116" s="8" t="s">
        <v>348</v>
      </c>
      <c r="Q116" s="10" t="s">
        <v>349</v>
      </c>
      <c r="R116" s="11" t="s">
        <v>350</v>
      </c>
      <c r="S116" s="11" t="s">
        <v>351</v>
      </c>
      <c r="T116" s="7" t="s">
        <v>54</v>
      </c>
      <c r="U116" s="7" t="s">
        <v>55</v>
      </c>
      <c r="V116" s="7" t="s">
        <v>54</v>
      </c>
      <c r="W116" s="7" t="s">
        <v>55</v>
      </c>
      <c r="X116" s="11" t="s">
        <v>352</v>
      </c>
      <c r="Y116" s="7" t="s">
        <v>57</v>
      </c>
      <c r="Z116" s="7" t="s">
        <v>347</v>
      </c>
      <c r="AA116" s="9" t="s">
        <v>353</v>
      </c>
      <c r="AB116" s="7" t="s">
        <v>354</v>
      </c>
      <c r="AC116" s="7" t="s">
        <v>355</v>
      </c>
      <c r="AD116" s="7" t="s">
        <v>347</v>
      </c>
      <c r="AE116" s="10" t="s">
        <v>345</v>
      </c>
      <c r="AF116" s="7" t="s">
        <v>356</v>
      </c>
      <c r="AG116" s="10" t="s">
        <v>357</v>
      </c>
      <c r="AH116" s="9" t="s">
        <v>64</v>
      </c>
      <c r="AI116" s="9">
        <v>3.0</v>
      </c>
      <c r="AJ116" s="7" t="s">
        <v>358</v>
      </c>
      <c r="AK116" s="7" t="s">
        <v>359</v>
      </c>
      <c r="AL116" s="9" t="s">
        <v>360</v>
      </c>
      <c r="AM116" s="7" t="s">
        <v>361</v>
      </c>
      <c r="AN116" s="7" t="s">
        <v>69</v>
      </c>
      <c r="AO116" s="7" t="s">
        <v>362</v>
      </c>
      <c r="AP116" s="7" t="s">
        <v>70</v>
      </c>
      <c r="AQ116" s="13"/>
      <c r="AR116" s="13"/>
      <c r="AS116" s="13"/>
      <c r="AT116" s="13"/>
      <c r="AU116" s="13"/>
      <c r="AV116" s="13"/>
    </row>
    <row r="117" hidden="1">
      <c r="A117" s="35">
        <v>45785.07808827546</v>
      </c>
      <c r="B117" s="36" t="s">
        <v>618</v>
      </c>
      <c r="C117" s="36" t="s">
        <v>619</v>
      </c>
      <c r="D117" s="39">
        <v>1.66934507E8</v>
      </c>
      <c r="E117" s="36" t="s">
        <v>620</v>
      </c>
      <c r="F117" s="36" t="s">
        <v>621</v>
      </c>
      <c r="G117" s="38" t="s">
        <v>76</v>
      </c>
      <c r="H117" s="36" t="s">
        <v>45</v>
      </c>
      <c r="I117" s="36" t="s">
        <v>102</v>
      </c>
      <c r="J117" s="38"/>
      <c r="K117" s="39">
        <v>2.3092007E7</v>
      </c>
      <c r="L117" s="37" t="s">
        <v>622</v>
      </c>
      <c r="M117" s="36" t="s">
        <v>623</v>
      </c>
      <c r="N117" s="36" t="s">
        <v>49</v>
      </c>
      <c r="O117" s="36" t="s">
        <v>621</v>
      </c>
      <c r="P117" s="39" t="s">
        <v>624</v>
      </c>
      <c r="Q117" s="39">
        <v>2.7112027E7</v>
      </c>
      <c r="R117" s="40" t="s">
        <v>625</v>
      </c>
      <c r="S117" s="40" t="s">
        <v>626</v>
      </c>
      <c r="T117" s="36" t="s">
        <v>54</v>
      </c>
      <c r="U117" s="36" t="s">
        <v>55</v>
      </c>
      <c r="V117" s="36" t="s">
        <v>54</v>
      </c>
      <c r="W117" s="36" t="s">
        <v>55</v>
      </c>
      <c r="X117" s="40" t="s">
        <v>627</v>
      </c>
      <c r="Y117" s="36" t="s">
        <v>57</v>
      </c>
      <c r="Z117" s="36" t="s">
        <v>621</v>
      </c>
      <c r="AA117" s="41" t="s">
        <v>628</v>
      </c>
      <c r="AB117" s="36" t="s">
        <v>629</v>
      </c>
      <c r="AC117" s="36" t="s">
        <v>630</v>
      </c>
      <c r="AD117" s="36" t="s">
        <v>621</v>
      </c>
      <c r="AE117" s="37" t="s">
        <v>622</v>
      </c>
      <c r="AF117" s="36" t="s">
        <v>631</v>
      </c>
      <c r="AG117" s="37" t="s">
        <v>632</v>
      </c>
      <c r="AH117" s="24" t="s">
        <v>260</v>
      </c>
      <c r="AI117" s="49"/>
      <c r="AJ117" s="25"/>
      <c r="AK117" s="25"/>
      <c r="AL117" s="27"/>
      <c r="AM117" s="36" t="s">
        <v>633</v>
      </c>
      <c r="AN117" s="36" t="s">
        <v>117</v>
      </c>
      <c r="AO117" s="36" t="s">
        <v>55</v>
      </c>
      <c r="AP117" s="36" t="s">
        <v>70</v>
      </c>
      <c r="AQ117" s="25"/>
      <c r="AR117" s="25"/>
      <c r="AS117" s="25"/>
      <c r="AT117" s="25"/>
      <c r="AU117" s="25"/>
      <c r="AV117" s="25"/>
    </row>
    <row r="118" hidden="1">
      <c r="A118" s="6">
        <v>45785.949901921296</v>
      </c>
      <c r="B118" s="7" t="s">
        <v>1269</v>
      </c>
      <c r="C118" s="7" t="s">
        <v>1270</v>
      </c>
      <c r="D118" s="8" t="s">
        <v>1271</v>
      </c>
      <c r="E118" s="7" t="s">
        <v>1272</v>
      </c>
      <c r="F118" s="7" t="s">
        <v>1273</v>
      </c>
      <c r="G118" s="9" t="s">
        <v>44</v>
      </c>
      <c r="H118" s="7" t="s">
        <v>77</v>
      </c>
      <c r="I118" s="7" t="s">
        <v>102</v>
      </c>
      <c r="J118" s="9"/>
      <c r="K118" s="10" t="s">
        <v>1274</v>
      </c>
      <c r="L118" s="8" t="s">
        <v>1275</v>
      </c>
      <c r="M118" s="7" t="s">
        <v>1276</v>
      </c>
      <c r="N118" s="7" t="s">
        <v>49</v>
      </c>
      <c r="O118" s="7" t="s">
        <v>1273</v>
      </c>
      <c r="P118" s="8" t="s">
        <v>1277</v>
      </c>
      <c r="Q118" s="8">
        <v>2.001203E7</v>
      </c>
      <c r="R118" s="11" t="s">
        <v>1278</v>
      </c>
      <c r="S118" s="11" t="s">
        <v>1279</v>
      </c>
      <c r="T118" s="7" t="s">
        <v>54</v>
      </c>
      <c r="U118" s="7" t="s">
        <v>55</v>
      </c>
      <c r="V118" s="7" t="s">
        <v>54</v>
      </c>
      <c r="W118" s="7" t="s">
        <v>55</v>
      </c>
      <c r="X118" s="11" t="s">
        <v>1280</v>
      </c>
      <c r="Y118" s="7" t="s">
        <v>57</v>
      </c>
      <c r="Z118" s="7" t="s">
        <v>1273</v>
      </c>
      <c r="AA118" s="9" t="s">
        <v>1281</v>
      </c>
      <c r="AB118" s="7" t="s">
        <v>1282</v>
      </c>
      <c r="AC118" s="7" t="s">
        <v>1283</v>
      </c>
      <c r="AD118" s="7" t="s">
        <v>1273</v>
      </c>
      <c r="AE118" s="10" t="s">
        <v>1284</v>
      </c>
      <c r="AF118" s="7" t="s">
        <v>1285</v>
      </c>
      <c r="AG118" s="8">
        <v>1.24314539E8</v>
      </c>
      <c r="AH118" s="17" t="s">
        <v>260</v>
      </c>
      <c r="AI118" s="18"/>
      <c r="AJ118" s="13"/>
      <c r="AK118" s="13"/>
      <c r="AL118" s="16"/>
      <c r="AM118" s="7" t="s">
        <v>1286</v>
      </c>
      <c r="AN118" s="7" t="s">
        <v>69</v>
      </c>
      <c r="AO118" s="7" t="s">
        <v>55</v>
      </c>
      <c r="AP118" s="7" t="s">
        <v>70</v>
      </c>
      <c r="AQ118" s="13"/>
      <c r="AR118" s="13"/>
      <c r="AS118" s="13"/>
      <c r="AT118" s="13"/>
      <c r="AU118" s="13"/>
      <c r="AV118" s="13"/>
    </row>
    <row r="119" hidden="1">
      <c r="A119" s="6">
        <v>45784.94088216435</v>
      </c>
      <c r="B119" s="7" t="s">
        <v>459</v>
      </c>
      <c r="C119" s="7" t="s">
        <v>460</v>
      </c>
      <c r="D119" s="8" t="s">
        <v>461</v>
      </c>
      <c r="E119" s="7" t="s">
        <v>462</v>
      </c>
      <c r="F119" s="7" t="s">
        <v>463</v>
      </c>
      <c r="G119" s="9" t="s">
        <v>44</v>
      </c>
      <c r="H119" s="7" t="s">
        <v>101</v>
      </c>
      <c r="I119" s="7" t="s">
        <v>102</v>
      </c>
      <c r="J119" s="9"/>
      <c r="K119" s="10" t="s">
        <v>464</v>
      </c>
      <c r="L119" s="8" t="s">
        <v>465</v>
      </c>
      <c r="M119" s="7" t="s">
        <v>466</v>
      </c>
      <c r="N119" s="7" t="s">
        <v>49</v>
      </c>
      <c r="O119" s="7" t="s">
        <v>463</v>
      </c>
      <c r="P119" s="8" t="s">
        <v>467</v>
      </c>
      <c r="Q119" s="8">
        <v>2.8082027E7</v>
      </c>
      <c r="R119" s="11" t="s">
        <v>468</v>
      </c>
      <c r="S119" s="11" t="s">
        <v>469</v>
      </c>
      <c r="T119" s="7" t="s">
        <v>54</v>
      </c>
      <c r="U119" s="7" t="s">
        <v>55</v>
      </c>
      <c r="V119" s="7" t="s">
        <v>54</v>
      </c>
      <c r="W119" s="7" t="s">
        <v>55</v>
      </c>
      <c r="X119" s="11" t="s">
        <v>470</v>
      </c>
      <c r="Y119" s="7" t="s">
        <v>57</v>
      </c>
      <c r="Z119" s="7" t="s">
        <v>463</v>
      </c>
      <c r="AA119" s="9" t="s">
        <v>471</v>
      </c>
      <c r="AB119" s="7" t="s">
        <v>472</v>
      </c>
      <c r="AC119" s="7" t="s">
        <v>473</v>
      </c>
      <c r="AD119" s="7" t="s">
        <v>463</v>
      </c>
      <c r="AE119" s="8">
        <v>6.01110189113E11</v>
      </c>
      <c r="AF119" s="7" t="s">
        <v>474</v>
      </c>
      <c r="AG119" s="8">
        <v>6.0127009113E10</v>
      </c>
      <c r="AH119" s="9" t="s">
        <v>64</v>
      </c>
      <c r="AI119" s="9">
        <v>2.0</v>
      </c>
      <c r="AJ119" s="7" t="s">
        <v>475</v>
      </c>
      <c r="AK119" s="7" t="s">
        <v>476</v>
      </c>
      <c r="AL119" s="9" t="s">
        <v>477</v>
      </c>
      <c r="AM119" s="7">
        <v>6.0127009113E10</v>
      </c>
      <c r="AN119" s="7" t="s">
        <v>157</v>
      </c>
      <c r="AO119" s="7" t="s">
        <v>55</v>
      </c>
      <c r="AP119" s="7" t="s">
        <v>70</v>
      </c>
      <c r="AQ119" s="13"/>
      <c r="AR119" s="13"/>
      <c r="AS119" s="13"/>
      <c r="AT119" s="13"/>
      <c r="AU119" s="13"/>
      <c r="AV119" s="13"/>
    </row>
    <row r="120">
      <c r="A120" s="6">
        <v>45785.382009884255</v>
      </c>
      <c r="B120" s="7" t="s">
        <v>655</v>
      </c>
      <c r="C120" s="7" t="s">
        <v>656</v>
      </c>
      <c r="D120" s="10" t="s">
        <v>657</v>
      </c>
      <c r="E120" s="7" t="s">
        <v>658</v>
      </c>
      <c r="F120" s="7" t="s">
        <v>659</v>
      </c>
      <c r="G120" s="9" t="s">
        <v>44</v>
      </c>
      <c r="H120" s="7" t="s">
        <v>101</v>
      </c>
      <c r="I120" s="7" t="s">
        <v>102</v>
      </c>
      <c r="J120" s="9" t="s">
        <v>2374</v>
      </c>
      <c r="K120" s="8">
        <v>2.2112012E7</v>
      </c>
      <c r="L120" s="10" t="s">
        <v>660</v>
      </c>
      <c r="M120" s="7" t="s">
        <v>658</v>
      </c>
      <c r="N120" s="7" t="s">
        <v>49</v>
      </c>
      <c r="O120" s="7" t="s">
        <v>661</v>
      </c>
      <c r="P120" s="8" t="s">
        <v>662</v>
      </c>
      <c r="Q120" s="10" t="s">
        <v>663</v>
      </c>
      <c r="R120" s="11" t="s">
        <v>664</v>
      </c>
      <c r="S120" s="11" t="s">
        <v>665</v>
      </c>
      <c r="T120" s="7" t="s">
        <v>54</v>
      </c>
      <c r="U120" s="7" t="s">
        <v>55</v>
      </c>
      <c r="V120" s="7" t="s">
        <v>54</v>
      </c>
      <c r="W120" s="7" t="s">
        <v>55</v>
      </c>
      <c r="X120" s="11" t="s">
        <v>666</v>
      </c>
      <c r="Y120" s="7" t="s">
        <v>57</v>
      </c>
      <c r="Z120" s="7" t="s">
        <v>659</v>
      </c>
      <c r="AA120" s="9" t="s">
        <v>667</v>
      </c>
      <c r="AB120" s="7" t="s">
        <v>668</v>
      </c>
      <c r="AC120" s="7" t="s">
        <v>669</v>
      </c>
      <c r="AD120" s="7" t="s">
        <v>659</v>
      </c>
      <c r="AE120" s="32" t="s">
        <v>660</v>
      </c>
      <c r="AF120" s="7" t="s">
        <v>670</v>
      </c>
      <c r="AG120" s="32" t="s">
        <v>657</v>
      </c>
      <c r="AH120" s="9" t="s">
        <v>64</v>
      </c>
      <c r="AI120" s="9">
        <v>1.0</v>
      </c>
      <c r="AJ120" s="7" t="s">
        <v>671</v>
      </c>
      <c r="AK120" s="7" t="s">
        <v>672</v>
      </c>
      <c r="AL120" s="9">
        <v>2.7062025E7</v>
      </c>
      <c r="AM120" s="7" t="s">
        <v>673</v>
      </c>
      <c r="AN120" s="7" t="s">
        <v>501</v>
      </c>
      <c r="AO120" s="7" t="s">
        <v>55</v>
      </c>
      <c r="AP120" s="7" t="s">
        <v>70</v>
      </c>
      <c r="AQ120" s="13"/>
      <c r="AR120" s="13"/>
      <c r="AS120" s="13"/>
      <c r="AT120" s="13"/>
      <c r="AU120" s="13"/>
      <c r="AV120" s="13"/>
    </row>
    <row r="121">
      <c r="A121" s="35">
        <v>45785.65854472222</v>
      </c>
      <c r="B121" s="36" t="s">
        <v>911</v>
      </c>
      <c r="C121" s="36" t="s">
        <v>912</v>
      </c>
      <c r="D121" s="37" t="s">
        <v>913</v>
      </c>
      <c r="E121" s="36" t="s">
        <v>914</v>
      </c>
      <c r="F121" s="36" t="s">
        <v>915</v>
      </c>
      <c r="G121" s="38" t="s">
        <v>76</v>
      </c>
      <c r="H121" s="36" t="s">
        <v>45</v>
      </c>
      <c r="I121" s="36" t="s">
        <v>102</v>
      </c>
      <c r="J121" s="38"/>
      <c r="K121" s="37" t="s">
        <v>916</v>
      </c>
      <c r="L121" s="37" t="s">
        <v>917</v>
      </c>
      <c r="M121" s="36" t="s">
        <v>918</v>
      </c>
      <c r="N121" s="36" t="s">
        <v>49</v>
      </c>
      <c r="O121" s="36" t="s">
        <v>919</v>
      </c>
      <c r="P121" s="39" t="s">
        <v>920</v>
      </c>
      <c r="Q121" s="39" t="s">
        <v>921</v>
      </c>
      <c r="R121" s="40" t="s">
        <v>922</v>
      </c>
      <c r="S121" s="40" t="s">
        <v>923</v>
      </c>
      <c r="T121" s="36" t="s">
        <v>54</v>
      </c>
      <c r="U121" s="36" t="s">
        <v>55</v>
      </c>
      <c r="V121" s="36" t="s">
        <v>54</v>
      </c>
      <c r="W121" s="36" t="s">
        <v>55</v>
      </c>
      <c r="X121" s="40" t="s">
        <v>924</v>
      </c>
      <c r="Y121" s="36" t="s">
        <v>57</v>
      </c>
      <c r="Z121" s="36" t="s">
        <v>925</v>
      </c>
      <c r="AA121" s="41" t="s">
        <v>926</v>
      </c>
      <c r="AB121" s="36" t="s">
        <v>927</v>
      </c>
      <c r="AC121" s="36" t="s">
        <v>928</v>
      </c>
      <c r="AD121" s="36" t="s">
        <v>929</v>
      </c>
      <c r="AE121" s="37" t="s">
        <v>917</v>
      </c>
      <c r="AF121" s="36" t="s">
        <v>930</v>
      </c>
      <c r="AG121" s="37" t="s">
        <v>913</v>
      </c>
      <c r="AH121" s="38" t="s">
        <v>64</v>
      </c>
      <c r="AI121" s="38">
        <v>1.0</v>
      </c>
      <c r="AJ121" s="36" t="s">
        <v>931</v>
      </c>
      <c r="AK121" s="36" t="s">
        <v>932</v>
      </c>
      <c r="AL121" s="38" t="s">
        <v>933</v>
      </c>
      <c r="AM121" s="36" t="s">
        <v>934</v>
      </c>
      <c r="AN121" s="36" t="s">
        <v>157</v>
      </c>
      <c r="AO121" s="36" t="s">
        <v>55</v>
      </c>
      <c r="AP121" s="36" t="s">
        <v>70</v>
      </c>
      <c r="AQ121" s="25"/>
      <c r="AR121" s="25"/>
      <c r="AS121" s="25"/>
      <c r="AT121" s="25"/>
      <c r="AU121" s="25"/>
      <c r="AV121" s="25"/>
    </row>
    <row r="122" hidden="1">
      <c r="A122" s="6">
        <v>45785.45993210648</v>
      </c>
      <c r="B122" s="7" t="s">
        <v>712</v>
      </c>
      <c r="C122" s="7" t="s">
        <v>713</v>
      </c>
      <c r="D122" s="10" t="s">
        <v>714</v>
      </c>
      <c r="E122" s="7" t="s">
        <v>715</v>
      </c>
      <c r="F122" s="7" t="s">
        <v>716</v>
      </c>
      <c r="G122" s="9" t="s">
        <v>44</v>
      </c>
      <c r="H122" s="7" t="s">
        <v>101</v>
      </c>
      <c r="I122" s="7" t="s">
        <v>102</v>
      </c>
      <c r="J122" s="9" t="s">
        <v>2357</v>
      </c>
      <c r="K122" s="8">
        <v>1.4062012E7</v>
      </c>
      <c r="L122" s="10" t="s">
        <v>714</v>
      </c>
      <c r="M122" s="7" t="s">
        <v>715</v>
      </c>
      <c r="N122" s="7" t="s">
        <v>49</v>
      </c>
      <c r="O122" s="7" t="s">
        <v>716</v>
      </c>
      <c r="P122" s="8" t="s">
        <v>717</v>
      </c>
      <c r="Q122" s="8">
        <v>2.3052029E7</v>
      </c>
      <c r="R122" s="11" t="s">
        <v>718</v>
      </c>
      <c r="S122" s="11" t="s">
        <v>719</v>
      </c>
      <c r="T122" s="7" t="s">
        <v>54</v>
      </c>
      <c r="U122" s="7" t="s">
        <v>55</v>
      </c>
      <c r="V122" s="7" t="s">
        <v>54</v>
      </c>
      <c r="W122" s="7" t="s">
        <v>55</v>
      </c>
      <c r="X122" s="11" t="s">
        <v>720</v>
      </c>
      <c r="Y122" s="7" t="s">
        <v>57</v>
      </c>
      <c r="Z122" s="7" t="s">
        <v>716</v>
      </c>
      <c r="AA122" s="9" t="s">
        <v>721</v>
      </c>
      <c r="AB122" s="7" t="s">
        <v>722</v>
      </c>
      <c r="AC122" s="7" t="s">
        <v>723</v>
      </c>
      <c r="AD122" s="7" t="s">
        <v>716</v>
      </c>
      <c r="AE122" s="10" t="s">
        <v>724</v>
      </c>
      <c r="AF122" s="7" t="s">
        <v>725</v>
      </c>
      <c r="AG122" s="10" t="s">
        <v>714</v>
      </c>
      <c r="AH122" s="9" t="s">
        <v>64</v>
      </c>
      <c r="AI122" s="9">
        <v>2.0</v>
      </c>
      <c r="AJ122" s="7" t="s">
        <v>726</v>
      </c>
      <c r="AK122" s="7" t="s">
        <v>727</v>
      </c>
      <c r="AL122" s="9" t="s">
        <v>727</v>
      </c>
      <c r="AM122" s="7" t="s">
        <v>728</v>
      </c>
      <c r="AN122" s="7" t="s">
        <v>95</v>
      </c>
      <c r="AO122" s="7" t="s">
        <v>55</v>
      </c>
      <c r="AP122" s="7" t="s">
        <v>70</v>
      </c>
      <c r="AQ122" s="13"/>
      <c r="AR122" s="13"/>
      <c r="AS122" s="13"/>
      <c r="AT122" s="13"/>
      <c r="AU122" s="13"/>
      <c r="AV122" s="13"/>
    </row>
    <row r="123" hidden="1">
      <c r="A123" s="21">
        <v>45785.85632177083</v>
      </c>
      <c r="B123" s="22" t="s">
        <v>1066</v>
      </c>
      <c r="C123" s="22" t="s">
        <v>1067</v>
      </c>
      <c r="D123" s="23" t="s">
        <v>1068</v>
      </c>
      <c r="E123" s="22" t="s">
        <v>1069</v>
      </c>
      <c r="F123" s="22" t="s">
        <v>1070</v>
      </c>
      <c r="G123" s="24" t="s">
        <v>44</v>
      </c>
      <c r="H123" s="22" t="s">
        <v>101</v>
      </c>
      <c r="I123" s="22" t="s">
        <v>102</v>
      </c>
      <c r="J123" s="24"/>
      <c r="K123" s="23" t="s">
        <v>1071</v>
      </c>
      <c r="L123" s="23" t="s">
        <v>1068</v>
      </c>
      <c r="M123" s="22" t="s">
        <v>1069</v>
      </c>
      <c r="N123" s="22" t="s">
        <v>1072</v>
      </c>
      <c r="O123" s="25"/>
      <c r="P123" s="26"/>
      <c r="Q123" s="26"/>
      <c r="R123" s="25"/>
      <c r="S123" s="25"/>
      <c r="T123" s="25"/>
      <c r="U123" s="25"/>
      <c r="V123" s="25"/>
      <c r="W123" s="25"/>
      <c r="X123" s="25"/>
      <c r="Y123" s="25"/>
      <c r="Z123" s="25"/>
      <c r="AA123" s="27"/>
      <c r="AB123" s="25"/>
      <c r="AC123" s="25"/>
      <c r="AD123" s="25"/>
      <c r="AE123" s="26"/>
      <c r="AF123" s="25"/>
      <c r="AG123" s="26"/>
      <c r="AH123" s="27"/>
      <c r="AI123" s="27"/>
      <c r="AJ123" s="25"/>
      <c r="AK123" s="25"/>
      <c r="AL123" s="27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hidden="1">
      <c r="A124" s="21">
        <v>45787.63861016204</v>
      </c>
      <c r="B124" s="22" t="s">
        <v>2204</v>
      </c>
      <c r="C124" s="22" t="s">
        <v>503</v>
      </c>
      <c r="D124" s="23" t="s">
        <v>2205</v>
      </c>
      <c r="E124" s="22" t="s">
        <v>2206</v>
      </c>
      <c r="F124" s="22" t="s">
        <v>2207</v>
      </c>
      <c r="G124" s="24" t="s">
        <v>76</v>
      </c>
      <c r="H124" s="22" t="s">
        <v>101</v>
      </c>
      <c r="I124" s="22" t="s">
        <v>102</v>
      </c>
      <c r="J124" s="22"/>
      <c r="K124" s="28">
        <v>2.3112012E7</v>
      </c>
      <c r="L124" s="23" t="s">
        <v>2205</v>
      </c>
      <c r="M124" s="22" t="s">
        <v>2206</v>
      </c>
      <c r="N124" s="22" t="s">
        <v>1072</v>
      </c>
      <c r="O124" s="25"/>
      <c r="P124" s="26"/>
      <c r="Q124" s="26"/>
      <c r="R124" s="25"/>
      <c r="S124" s="25"/>
      <c r="T124" s="25"/>
      <c r="U124" s="25"/>
      <c r="V124" s="25"/>
      <c r="W124" s="25"/>
      <c r="X124" s="25"/>
      <c r="Y124" s="25"/>
      <c r="Z124" s="25"/>
      <c r="AA124" s="27"/>
      <c r="AB124" s="25"/>
      <c r="AC124" s="25"/>
      <c r="AD124" s="25"/>
      <c r="AE124" s="26"/>
      <c r="AF124" s="25"/>
      <c r="AG124" s="26"/>
      <c r="AH124" s="27"/>
      <c r="AI124" s="27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>
      <c r="A125" s="6">
        <v>45786.79270016204</v>
      </c>
      <c r="B125" s="7" t="s">
        <v>1921</v>
      </c>
      <c r="C125" s="7" t="s">
        <v>1922</v>
      </c>
      <c r="D125" s="10" t="s">
        <v>1923</v>
      </c>
      <c r="E125" s="7" t="s">
        <v>1924</v>
      </c>
      <c r="F125" s="7" t="s">
        <v>1925</v>
      </c>
      <c r="G125" s="9" t="s">
        <v>44</v>
      </c>
      <c r="H125" s="7" t="s">
        <v>101</v>
      </c>
      <c r="I125" s="7" t="s">
        <v>102</v>
      </c>
      <c r="J125" s="9" t="s">
        <v>2348</v>
      </c>
      <c r="K125" s="8">
        <v>1.3042012E7</v>
      </c>
      <c r="L125" s="10" t="s">
        <v>1923</v>
      </c>
      <c r="M125" s="7" t="s">
        <v>1924</v>
      </c>
      <c r="N125" s="7" t="s">
        <v>49</v>
      </c>
      <c r="O125" s="7" t="s">
        <v>1926</v>
      </c>
      <c r="P125" s="8" t="s">
        <v>1927</v>
      </c>
      <c r="Q125" s="10" t="s">
        <v>1928</v>
      </c>
      <c r="R125" s="11" t="s">
        <v>1929</v>
      </c>
      <c r="S125" s="11" t="s">
        <v>1930</v>
      </c>
      <c r="T125" s="7" t="s">
        <v>54</v>
      </c>
      <c r="U125" s="7" t="s">
        <v>55</v>
      </c>
      <c r="V125" s="7" t="s">
        <v>54</v>
      </c>
      <c r="W125" s="7" t="s">
        <v>55</v>
      </c>
      <c r="X125" s="11" t="s">
        <v>1931</v>
      </c>
      <c r="Y125" s="7" t="s">
        <v>57</v>
      </c>
      <c r="Z125" s="7" t="s">
        <v>1925</v>
      </c>
      <c r="AA125" s="9">
        <v>1.20413140666E11</v>
      </c>
      <c r="AB125" s="7" t="s">
        <v>1932</v>
      </c>
      <c r="AC125" s="7" t="s">
        <v>1933</v>
      </c>
      <c r="AD125" s="7" t="s">
        <v>1925</v>
      </c>
      <c r="AE125" s="32" t="s">
        <v>1934</v>
      </c>
      <c r="AF125" s="7" t="s">
        <v>1935</v>
      </c>
      <c r="AG125" s="32" t="s">
        <v>1923</v>
      </c>
      <c r="AH125" s="9" t="s">
        <v>64</v>
      </c>
      <c r="AI125" s="9">
        <v>2.0</v>
      </c>
      <c r="AJ125" s="7" t="s">
        <v>1936</v>
      </c>
      <c r="AK125" s="7" t="s">
        <v>1937</v>
      </c>
      <c r="AL125" s="7" t="s">
        <v>801</v>
      </c>
      <c r="AM125" s="7" t="s">
        <v>1935</v>
      </c>
      <c r="AN125" s="7" t="s">
        <v>117</v>
      </c>
      <c r="AO125" s="7" t="s">
        <v>55</v>
      </c>
      <c r="AP125" s="7" t="s">
        <v>70</v>
      </c>
      <c r="AQ125" s="13"/>
      <c r="AR125" s="13"/>
      <c r="AS125" s="13"/>
      <c r="AT125" s="13"/>
      <c r="AU125" s="13"/>
      <c r="AV125" s="13"/>
    </row>
    <row r="126" hidden="1">
      <c r="A126" s="21">
        <v>45788.93161085648</v>
      </c>
      <c r="B126" s="22" t="s">
        <v>2300</v>
      </c>
      <c r="C126" s="22" t="s">
        <v>2301</v>
      </c>
      <c r="D126" s="23" t="s">
        <v>2302</v>
      </c>
      <c r="E126" s="22" t="s">
        <v>2303</v>
      </c>
      <c r="F126" s="22" t="s">
        <v>2304</v>
      </c>
      <c r="G126" s="24" t="s">
        <v>76</v>
      </c>
      <c r="H126" s="22" t="s">
        <v>45</v>
      </c>
      <c r="I126" s="22" t="s">
        <v>102</v>
      </c>
      <c r="J126" s="24"/>
      <c r="K126" s="28" t="s">
        <v>2305</v>
      </c>
      <c r="L126" s="23" t="s">
        <v>2306</v>
      </c>
      <c r="M126" s="22" t="s">
        <v>2307</v>
      </c>
      <c r="N126" s="22" t="s">
        <v>1072</v>
      </c>
      <c r="O126" s="25"/>
      <c r="P126" s="26"/>
      <c r="Q126" s="26"/>
      <c r="R126" s="25"/>
      <c r="S126" s="25"/>
      <c r="T126" s="25"/>
      <c r="U126" s="25"/>
      <c r="V126" s="25"/>
      <c r="W126" s="25"/>
      <c r="X126" s="25"/>
      <c r="Y126" s="25"/>
      <c r="Z126" s="25"/>
      <c r="AA126" s="27"/>
      <c r="AB126" s="25"/>
      <c r="AC126" s="25"/>
      <c r="AD126" s="25"/>
      <c r="AE126" s="26"/>
      <c r="AF126" s="25"/>
      <c r="AG126" s="26"/>
      <c r="AH126" s="27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>
      <c r="A127" s="35">
        <v>45786.59886666667</v>
      </c>
      <c r="B127" s="36" t="s">
        <v>1749</v>
      </c>
      <c r="C127" s="36" t="s">
        <v>1750</v>
      </c>
      <c r="D127" s="37" t="s">
        <v>1751</v>
      </c>
      <c r="E127" s="36" t="s">
        <v>1752</v>
      </c>
      <c r="F127" s="36" t="s">
        <v>1753</v>
      </c>
      <c r="G127" s="38" t="s">
        <v>76</v>
      </c>
      <c r="H127" s="36" t="s">
        <v>45</v>
      </c>
      <c r="I127" s="36" t="s">
        <v>102</v>
      </c>
      <c r="J127" s="38"/>
      <c r="K127" s="39" t="s">
        <v>1754</v>
      </c>
      <c r="L127" s="39">
        <v>1.23325142E8</v>
      </c>
      <c r="M127" s="36" t="s">
        <v>1755</v>
      </c>
      <c r="N127" s="36" t="s">
        <v>49</v>
      </c>
      <c r="O127" s="36" t="s">
        <v>1756</v>
      </c>
      <c r="P127" s="39" t="s">
        <v>1757</v>
      </c>
      <c r="Q127" s="37" t="s">
        <v>1758</v>
      </c>
      <c r="R127" s="40" t="s">
        <v>1759</v>
      </c>
      <c r="S127" s="40" t="s">
        <v>1760</v>
      </c>
      <c r="T127" s="36" t="s">
        <v>54</v>
      </c>
      <c r="U127" s="36" t="s">
        <v>194</v>
      </c>
      <c r="V127" s="36" t="s">
        <v>54</v>
      </c>
      <c r="W127" s="36" t="s">
        <v>194</v>
      </c>
      <c r="X127" s="40" t="s">
        <v>1761</v>
      </c>
      <c r="Y127" s="36" t="s">
        <v>57</v>
      </c>
      <c r="Z127" s="36" t="s">
        <v>1756</v>
      </c>
      <c r="AA127" s="41" t="s">
        <v>1762</v>
      </c>
      <c r="AB127" s="36" t="s">
        <v>1763</v>
      </c>
      <c r="AC127" s="36" t="s">
        <v>1764</v>
      </c>
      <c r="AD127" s="36" t="s">
        <v>1756</v>
      </c>
      <c r="AE127" s="37" t="s">
        <v>1765</v>
      </c>
      <c r="AF127" s="36" t="s">
        <v>1766</v>
      </c>
      <c r="AG127" s="37" t="s">
        <v>1751</v>
      </c>
      <c r="AH127" s="24" t="s">
        <v>260</v>
      </c>
      <c r="AI127" s="49"/>
      <c r="AJ127" s="25"/>
      <c r="AK127" s="25"/>
      <c r="AL127" s="25"/>
      <c r="AM127" s="45" t="s">
        <v>1751</v>
      </c>
      <c r="AN127" s="36" t="s">
        <v>1525</v>
      </c>
      <c r="AO127" s="36" t="s">
        <v>54</v>
      </c>
      <c r="AP127" s="36" t="s">
        <v>70</v>
      </c>
      <c r="AQ127" s="25"/>
      <c r="AR127" s="25"/>
      <c r="AS127" s="25"/>
      <c r="AT127" s="25"/>
      <c r="AU127" s="25"/>
      <c r="AV127" s="25"/>
    </row>
    <row r="128">
      <c r="A128" s="35">
        <v>45786.66246990741</v>
      </c>
      <c r="B128" s="36" t="s">
        <v>1806</v>
      </c>
      <c r="C128" s="36" t="s">
        <v>1807</v>
      </c>
      <c r="D128" s="37" t="s">
        <v>1808</v>
      </c>
      <c r="E128" s="36" t="s">
        <v>1809</v>
      </c>
      <c r="F128" s="36" t="s">
        <v>1810</v>
      </c>
      <c r="G128" s="38" t="s">
        <v>76</v>
      </c>
      <c r="H128" s="36" t="s">
        <v>45</v>
      </c>
      <c r="I128" s="36" t="s">
        <v>102</v>
      </c>
      <c r="J128" s="38"/>
      <c r="K128" s="39">
        <v>2.1032008E7</v>
      </c>
      <c r="L128" s="37" t="s">
        <v>1808</v>
      </c>
      <c r="M128" s="36" t="s">
        <v>1809</v>
      </c>
      <c r="N128" s="36" t="s">
        <v>49</v>
      </c>
      <c r="O128" s="36" t="s">
        <v>1811</v>
      </c>
      <c r="P128" s="39" t="s">
        <v>1812</v>
      </c>
      <c r="Q128" s="39">
        <v>2.1102028E7</v>
      </c>
      <c r="R128" s="40" t="s">
        <v>1813</v>
      </c>
      <c r="S128" s="40" t="s">
        <v>1814</v>
      </c>
      <c r="T128" s="36" t="s">
        <v>54</v>
      </c>
      <c r="U128" s="36" t="s">
        <v>55</v>
      </c>
      <c r="V128" s="36" t="s">
        <v>54</v>
      </c>
      <c r="W128" s="36" t="s">
        <v>55</v>
      </c>
      <c r="X128" s="40" t="s">
        <v>1815</v>
      </c>
      <c r="Y128" s="22" t="s">
        <v>194</v>
      </c>
      <c r="Z128" s="43"/>
      <c r="AA128" s="27"/>
      <c r="AB128" s="25"/>
      <c r="AC128" s="25"/>
      <c r="AD128" s="36" t="s">
        <v>1811</v>
      </c>
      <c r="AE128" s="37" t="s">
        <v>1816</v>
      </c>
      <c r="AF128" s="36" t="s">
        <v>1817</v>
      </c>
      <c r="AG128" s="37" t="s">
        <v>1808</v>
      </c>
      <c r="AH128" s="24" t="s">
        <v>260</v>
      </c>
      <c r="AI128" s="49"/>
      <c r="AJ128" s="25"/>
      <c r="AK128" s="25"/>
      <c r="AL128" s="25"/>
      <c r="AM128" s="36" t="s">
        <v>1817</v>
      </c>
      <c r="AN128" s="36" t="s">
        <v>69</v>
      </c>
      <c r="AO128" s="36" t="s">
        <v>55</v>
      </c>
      <c r="AP128" s="36" t="s">
        <v>70</v>
      </c>
      <c r="AQ128" s="25"/>
      <c r="AR128" s="25"/>
      <c r="AS128" s="25"/>
      <c r="AT128" s="25"/>
      <c r="AU128" s="25"/>
      <c r="AV128" s="25"/>
    </row>
    <row r="129" hidden="1">
      <c r="A129" s="6">
        <v>45786.8770913426</v>
      </c>
      <c r="B129" s="7" t="s">
        <v>2112</v>
      </c>
      <c r="C129" s="7" t="s">
        <v>586</v>
      </c>
      <c r="D129" s="8" t="s">
        <v>2113</v>
      </c>
      <c r="E129" s="7" t="s">
        <v>2114</v>
      </c>
      <c r="F129" s="7" t="s">
        <v>2115</v>
      </c>
      <c r="G129" s="9" t="s">
        <v>44</v>
      </c>
      <c r="H129" s="7" t="s">
        <v>101</v>
      </c>
      <c r="I129" s="7" t="s">
        <v>102</v>
      </c>
      <c r="J129" s="9"/>
      <c r="K129" s="8">
        <v>2.3062013E7</v>
      </c>
      <c r="L129" s="10" t="s">
        <v>2116</v>
      </c>
      <c r="M129" s="7" t="s">
        <v>2114</v>
      </c>
      <c r="N129" s="7" t="s">
        <v>49</v>
      </c>
      <c r="O129" s="7" t="s">
        <v>2115</v>
      </c>
      <c r="P129" s="8">
        <v>1.20623130722E11</v>
      </c>
      <c r="Q129" s="8">
        <v>1.8082027E7</v>
      </c>
      <c r="R129" s="11" t="s">
        <v>2117</v>
      </c>
      <c r="S129" s="11" t="s">
        <v>2118</v>
      </c>
      <c r="T129" s="7" t="s">
        <v>54</v>
      </c>
      <c r="U129" s="7" t="s">
        <v>55</v>
      </c>
      <c r="V129" s="7" t="s">
        <v>54</v>
      </c>
      <c r="W129" s="7" t="s">
        <v>55</v>
      </c>
      <c r="X129" s="11" t="s">
        <v>2119</v>
      </c>
      <c r="Y129" s="7" t="s">
        <v>57</v>
      </c>
      <c r="Z129" s="7" t="s">
        <v>2115</v>
      </c>
      <c r="AA129" s="9" t="s">
        <v>2120</v>
      </c>
      <c r="AB129" s="7" t="s">
        <v>2121</v>
      </c>
      <c r="AC129" s="7" t="s">
        <v>2122</v>
      </c>
      <c r="AD129" s="7" t="s">
        <v>2123</v>
      </c>
      <c r="AE129" s="8" t="s">
        <v>2124</v>
      </c>
      <c r="AF129" s="7" t="s">
        <v>2125</v>
      </c>
      <c r="AG129" s="8" t="s">
        <v>2113</v>
      </c>
      <c r="AH129" s="9" t="s">
        <v>64</v>
      </c>
      <c r="AI129" s="9">
        <v>1.0</v>
      </c>
      <c r="AJ129" s="7" t="s">
        <v>2126</v>
      </c>
      <c r="AK129" s="7" t="s">
        <v>2127</v>
      </c>
      <c r="AL129" s="19" t="s">
        <v>2128</v>
      </c>
      <c r="AM129" s="7" t="s">
        <v>2129</v>
      </c>
      <c r="AN129" s="7" t="s">
        <v>2130</v>
      </c>
      <c r="AO129" s="7" t="s">
        <v>55</v>
      </c>
      <c r="AP129" s="7" t="s">
        <v>70</v>
      </c>
      <c r="AQ129" s="13"/>
      <c r="AR129" s="13"/>
      <c r="AS129" s="13"/>
      <c r="AT129" s="13"/>
      <c r="AU129" s="13"/>
      <c r="AV129" s="13"/>
    </row>
    <row r="130" hidden="1">
      <c r="A130" s="21">
        <v>45787.6443631713</v>
      </c>
      <c r="B130" s="22" t="s">
        <v>2214</v>
      </c>
      <c r="C130" s="22" t="s">
        <v>2215</v>
      </c>
      <c r="D130" s="23" t="s">
        <v>2216</v>
      </c>
      <c r="E130" s="22" t="s">
        <v>2217</v>
      </c>
      <c r="F130" s="22" t="s">
        <v>2218</v>
      </c>
      <c r="G130" s="24" t="s">
        <v>76</v>
      </c>
      <c r="H130" s="22" t="s">
        <v>45</v>
      </c>
      <c r="I130" s="22" t="s">
        <v>102</v>
      </c>
      <c r="J130" s="24"/>
      <c r="K130" s="28">
        <v>3.0012009E7</v>
      </c>
      <c r="L130" s="23" t="s">
        <v>2219</v>
      </c>
      <c r="M130" s="22" t="s">
        <v>2217</v>
      </c>
      <c r="N130" s="22" t="s">
        <v>1072</v>
      </c>
      <c r="O130" s="25"/>
      <c r="P130" s="26"/>
      <c r="Q130" s="26"/>
      <c r="R130" s="25"/>
      <c r="S130" s="25"/>
      <c r="T130" s="25"/>
      <c r="U130" s="25"/>
      <c r="V130" s="25"/>
      <c r="W130" s="25"/>
      <c r="X130" s="25"/>
      <c r="Y130" s="25"/>
      <c r="Z130" s="25"/>
      <c r="AA130" s="27"/>
      <c r="AB130" s="25"/>
      <c r="AC130" s="25"/>
      <c r="AD130" s="25"/>
      <c r="AE130" s="26"/>
      <c r="AF130" s="25"/>
      <c r="AG130" s="26"/>
      <c r="AH130" s="27"/>
      <c r="AI130" s="27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hidden="1">
      <c r="A131" s="21">
        <v>45787.84373900463</v>
      </c>
      <c r="B131" s="22" t="s">
        <v>2248</v>
      </c>
      <c r="C131" s="22" t="s">
        <v>2242</v>
      </c>
      <c r="D131" s="23" t="s">
        <v>2249</v>
      </c>
      <c r="E131" s="22" t="s">
        <v>2250</v>
      </c>
      <c r="F131" s="22" t="s">
        <v>2251</v>
      </c>
      <c r="G131" s="24" t="s">
        <v>44</v>
      </c>
      <c r="H131" s="22" t="s">
        <v>101</v>
      </c>
      <c r="I131" s="22" t="s">
        <v>78</v>
      </c>
      <c r="J131" s="24"/>
      <c r="K131" s="28">
        <v>1.1112013E7</v>
      </c>
      <c r="L131" s="23" t="s">
        <v>2249</v>
      </c>
      <c r="M131" s="22" t="s">
        <v>2250</v>
      </c>
      <c r="N131" s="22" t="s">
        <v>1072</v>
      </c>
      <c r="O131" s="25"/>
      <c r="P131" s="26"/>
      <c r="Q131" s="26"/>
      <c r="R131" s="25"/>
      <c r="S131" s="25"/>
      <c r="T131" s="25"/>
      <c r="U131" s="25"/>
      <c r="V131" s="25"/>
      <c r="W131" s="25"/>
      <c r="X131" s="25"/>
      <c r="Y131" s="25"/>
      <c r="Z131" s="25"/>
      <c r="AA131" s="27"/>
      <c r="AB131" s="25"/>
      <c r="AC131" s="25"/>
      <c r="AD131" s="25"/>
      <c r="AE131" s="26"/>
      <c r="AF131" s="25"/>
      <c r="AG131" s="26"/>
      <c r="AH131" s="27"/>
      <c r="AI131" s="27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hidden="1">
      <c r="A132" s="21">
        <v>45787.86462744213</v>
      </c>
      <c r="B132" s="22" t="s">
        <v>2252</v>
      </c>
      <c r="C132" s="22" t="s">
        <v>364</v>
      </c>
      <c r="D132" s="28" t="s">
        <v>2253</v>
      </c>
      <c r="E132" s="22" t="s">
        <v>2254</v>
      </c>
      <c r="F132" s="22" t="s">
        <v>2255</v>
      </c>
      <c r="G132" s="24" t="s">
        <v>44</v>
      </c>
      <c r="H132" s="22" t="s">
        <v>45</v>
      </c>
      <c r="I132" s="22" t="s">
        <v>322</v>
      </c>
      <c r="J132" s="24"/>
      <c r="K132" s="28" t="s">
        <v>2256</v>
      </c>
      <c r="L132" s="28" t="s">
        <v>2257</v>
      </c>
      <c r="M132" s="22" t="s">
        <v>2258</v>
      </c>
      <c r="N132" s="22" t="s">
        <v>1072</v>
      </c>
      <c r="O132" s="25"/>
      <c r="P132" s="26"/>
      <c r="Q132" s="26"/>
      <c r="R132" s="25"/>
      <c r="S132" s="25"/>
      <c r="T132" s="25"/>
      <c r="U132" s="25"/>
      <c r="V132" s="25"/>
      <c r="W132" s="25"/>
      <c r="X132" s="25"/>
      <c r="Y132" s="25"/>
      <c r="Z132" s="25"/>
      <c r="AA132" s="27"/>
      <c r="AB132" s="25"/>
      <c r="AC132" s="25"/>
      <c r="AD132" s="25"/>
      <c r="AE132" s="26"/>
      <c r="AF132" s="25"/>
      <c r="AG132" s="26"/>
      <c r="AH132" s="27"/>
      <c r="AI132" s="27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hidden="1">
      <c r="A133" s="21">
        <v>45787.91143605324</v>
      </c>
      <c r="B133" s="22" t="s">
        <v>2259</v>
      </c>
      <c r="C133" s="22" t="s">
        <v>1300</v>
      </c>
      <c r="D133" s="23" t="s">
        <v>2260</v>
      </c>
      <c r="E133" s="22" t="s">
        <v>2261</v>
      </c>
      <c r="F133" s="22" t="s">
        <v>2262</v>
      </c>
      <c r="G133" s="24" t="s">
        <v>44</v>
      </c>
      <c r="H133" s="22" t="s">
        <v>101</v>
      </c>
      <c r="I133" s="22" t="s">
        <v>78</v>
      </c>
      <c r="J133" s="24"/>
      <c r="K133" s="23" t="s">
        <v>2263</v>
      </c>
      <c r="L133" s="23" t="s">
        <v>2260</v>
      </c>
      <c r="M133" s="22" t="s">
        <v>2261</v>
      </c>
      <c r="N133" s="22" t="s">
        <v>1072</v>
      </c>
      <c r="O133" s="25"/>
      <c r="P133" s="26"/>
      <c r="Q133" s="26"/>
      <c r="R133" s="25"/>
      <c r="S133" s="25"/>
      <c r="T133" s="25"/>
      <c r="U133" s="25"/>
      <c r="V133" s="25"/>
      <c r="W133" s="25"/>
      <c r="X133" s="25"/>
      <c r="Y133" s="25"/>
      <c r="Z133" s="25"/>
      <c r="AA133" s="27"/>
      <c r="AB133" s="25"/>
      <c r="AC133" s="25"/>
      <c r="AD133" s="25"/>
      <c r="AE133" s="26"/>
      <c r="AF133" s="25"/>
      <c r="AG133" s="26"/>
      <c r="AH133" s="27"/>
      <c r="AI133" s="27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hidden="1">
      <c r="A134" s="6">
        <v>45787.92026903935</v>
      </c>
      <c r="B134" s="7" t="s">
        <v>2264</v>
      </c>
      <c r="C134" s="7" t="s">
        <v>2265</v>
      </c>
      <c r="D134" s="10" t="s">
        <v>2266</v>
      </c>
      <c r="E134" s="7" t="s">
        <v>2267</v>
      </c>
      <c r="F134" s="7" t="s">
        <v>2268</v>
      </c>
      <c r="G134" s="9" t="s">
        <v>44</v>
      </c>
      <c r="H134" s="7" t="s">
        <v>77</v>
      </c>
      <c r="I134" s="7" t="s">
        <v>102</v>
      </c>
      <c r="J134" s="9"/>
      <c r="K134" s="8">
        <v>1.808201E7</v>
      </c>
      <c r="L134" s="10" t="s">
        <v>2269</v>
      </c>
      <c r="M134" s="7" t="s">
        <v>2270</v>
      </c>
      <c r="N134" s="7" t="s">
        <v>49</v>
      </c>
      <c r="O134" s="7" t="s">
        <v>2268</v>
      </c>
      <c r="P134" s="8" t="s">
        <v>2271</v>
      </c>
      <c r="Q134" s="8">
        <v>1.2112026E7</v>
      </c>
      <c r="R134" s="11" t="s">
        <v>2272</v>
      </c>
      <c r="S134" s="11" t="s">
        <v>2273</v>
      </c>
      <c r="T134" s="7" t="s">
        <v>54</v>
      </c>
      <c r="U134" s="7" t="s">
        <v>55</v>
      </c>
      <c r="V134" s="7" t="s">
        <v>54</v>
      </c>
      <c r="W134" s="7" t="s">
        <v>55</v>
      </c>
      <c r="X134" s="11" t="s">
        <v>2274</v>
      </c>
      <c r="Y134" s="7" t="s">
        <v>57</v>
      </c>
      <c r="Z134" s="7" t="s">
        <v>2268</v>
      </c>
      <c r="AA134" s="9" t="s">
        <v>2275</v>
      </c>
      <c r="AB134" s="7" t="s">
        <v>2276</v>
      </c>
      <c r="AC134" s="7" t="s">
        <v>2277</v>
      </c>
      <c r="AD134" s="7" t="s">
        <v>2268</v>
      </c>
      <c r="AE134" s="10" t="s">
        <v>2269</v>
      </c>
      <c r="AF134" s="7" t="s">
        <v>2278</v>
      </c>
      <c r="AG134" s="10" t="s">
        <v>2266</v>
      </c>
      <c r="AH134" s="17" t="s">
        <v>260</v>
      </c>
      <c r="AI134" s="18"/>
      <c r="AJ134" s="13"/>
      <c r="AK134" s="13"/>
      <c r="AL134" s="13"/>
      <c r="AM134" s="7" t="s">
        <v>2278</v>
      </c>
      <c r="AN134" s="7" t="s">
        <v>95</v>
      </c>
      <c r="AO134" s="7" t="s">
        <v>55</v>
      </c>
      <c r="AP134" s="7" t="s">
        <v>70</v>
      </c>
      <c r="AQ134" s="13"/>
      <c r="AR134" s="13"/>
      <c r="AS134" s="13"/>
      <c r="AT134" s="13"/>
      <c r="AU134" s="13"/>
      <c r="AV134" s="13"/>
    </row>
    <row r="135" hidden="1">
      <c r="A135" s="21">
        <v>45788.92753519676</v>
      </c>
      <c r="B135" s="22" t="s">
        <v>2279</v>
      </c>
      <c r="C135" s="22" t="s">
        <v>2280</v>
      </c>
      <c r="D135" s="23" t="s">
        <v>2281</v>
      </c>
      <c r="E135" s="22" t="s">
        <v>2282</v>
      </c>
      <c r="F135" s="22" t="s">
        <v>2283</v>
      </c>
      <c r="G135" s="24" t="s">
        <v>76</v>
      </c>
      <c r="H135" s="22" t="s">
        <v>77</v>
      </c>
      <c r="I135" s="22" t="s">
        <v>78</v>
      </c>
      <c r="J135" s="22"/>
      <c r="K135" s="28">
        <v>1.0012011E7</v>
      </c>
      <c r="L135" s="23" t="s">
        <v>2281</v>
      </c>
      <c r="M135" s="22" t="s">
        <v>2282</v>
      </c>
      <c r="N135" s="22" t="s">
        <v>1072</v>
      </c>
      <c r="O135" s="25"/>
      <c r="P135" s="26"/>
      <c r="Q135" s="26"/>
      <c r="R135" s="25"/>
      <c r="S135" s="25"/>
      <c r="T135" s="25"/>
      <c r="U135" s="25"/>
      <c r="V135" s="25"/>
      <c r="W135" s="25"/>
      <c r="X135" s="25"/>
      <c r="Y135" s="25"/>
      <c r="Z135" s="25"/>
      <c r="AA135" s="27"/>
      <c r="AB135" s="25"/>
      <c r="AC135" s="25"/>
      <c r="AD135" s="25"/>
      <c r="AE135" s="26"/>
      <c r="AF135" s="25"/>
      <c r="AG135" s="26"/>
      <c r="AH135" s="27"/>
      <c r="AI135" s="27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hidden="1">
      <c r="A136" s="21">
        <v>45787.76649664352</v>
      </c>
      <c r="B136" s="22" t="s">
        <v>2246</v>
      </c>
      <c r="C136" s="22" t="s">
        <v>2215</v>
      </c>
      <c r="D136" s="23" t="s">
        <v>2216</v>
      </c>
      <c r="E136" s="22" t="s">
        <v>2217</v>
      </c>
      <c r="F136" s="22" t="s">
        <v>2218</v>
      </c>
      <c r="G136" s="24" t="s">
        <v>76</v>
      </c>
      <c r="H136" s="22" t="s">
        <v>45</v>
      </c>
      <c r="I136" s="22" t="s">
        <v>102</v>
      </c>
      <c r="J136" s="24"/>
      <c r="K136" s="23" t="s">
        <v>2247</v>
      </c>
      <c r="L136" s="23" t="s">
        <v>2219</v>
      </c>
      <c r="M136" s="22" t="s">
        <v>2217</v>
      </c>
      <c r="N136" s="22" t="s">
        <v>1072</v>
      </c>
      <c r="O136" s="25"/>
      <c r="P136" s="26"/>
      <c r="Q136" s="26"/>
      <c r="R136" s="25"/>
      <c r="S136" s="25"/>
      <c r="T136" s="25"/>
      <c r="U136" s="25"/>
      <c r="V136" s="25"/>
      <c r="W136" s="25"/>
      <c r="X136" s="25"/>
      <c r="Y136" s="25"/>
      <c r="Z136" s="25"/>
      <c r="AA136" s="27"/>
      <c r="AB136" s="25"/>
      <c r="AC136" s="25"/>
      <c r="AD136" s="25"/>
      <c r="AE136" s="26"/>
      <c r="AF136" s="25"/>
      <c r="AG136" s="26"/>
      <c r="AH136" s="27"/>
      <c r="AI136" s="27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hidden="1">
      <c r="A137" s="21">
        <v>45786.55903940972</v>
      </c>
      <c r="B137" s="22" t="s">
        <v>1698</v>
      </c>
      <c r="C137" s="22" t="s">
        <v>803</v>
      </c>
      <c r="D137" s="23" t="s">
        <v>1699</v>
      </c>
      <c r="E137" s="22" t="s">
        <v>1700</v>
      </c>
      <c r="F137" s="22" t="s">
        <v>1701</v>
      </c>
      <c r="G137" s="24" t="s">
        <v>76</v>
      </c>
      <c r="H137" s="22" t="s">
        <v>45</v>
      </c>
      <c r="I137" s="22" t="s">
        <v>102</v>
      </c>
      <c r="J137" s="24"/>
      <c r="K137" s="23" t="s">
        <v>1702</v>
      </c>
      <c r="L137" s="23" t="s">
        <v>1703</v>
      </c>
      <c r="M137" s="22" t="s">
        <v>1704</v>
      </c>
      <c r="N137" s="22" t="s">
        <v>1072</v>
      </c>
      <c r="O137" s="25"/>
      <c r="P137" s="26"/>
      <c r="Q137" s="26"/>
      <c r="R137" s="25"/>
      <c r="S137" s="25"/>
      <c r="T137" s="25"/>
      <c r="U137" s="25"/>
      <c r="V137" s="25"/>
      <c r="W137" s="25"/>
      <c r="X137" s="25"/>
      <c r="Y137" s="25"/>
      <c r="Z137" s="25"/>
      <c r="AA137" s="27"/>
      <c r="AB137" s="25"/>
      <c r="AC137" s="25"/>
      <c r="AD137" s="25"/>
      <c r="AE137" s="26"/>
      <c r="AF137" s="25"/>
      <c r="AG137" s="26"/>
      <c r="AH137" s="27"/>
      <c r="AI137" s="27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>
      <c r="A138" s="6">
        <v>45786.95846163195</v>
      </c>
      <c r="B138" s="7" t="s">
        <v>2148</v>
      </c>
      <c r="C138" s="7" t="s">
        <v>364</v>
      </c>
      <c r="D138" s="10" t="s">
        <v>2149</v>
      </c>
      <c r="E138" s="7" t="s">
        <v>2150</v>
      </c>
      <c r="F138" s="7" t="s">
        <v>2151</v>
      </c>
      <c r="G138" s="9" t="s">
        <v>76</v>
      </c>
      <c r="H138" s="7" t="s">
        <v>45</v>
      </c>
      <c r="I138" s="7" t="s">
        <v>2152</v>
      </c>
      <c r="J138" s="9" t="s">
        <v>2348</v>
      </c>
      <c r="K138" s="8" t="s">
        <v>2153</v>
      </c>
      <c r="L138" s="31" t="s">
        <v>2154</v>
      </c>
      <c r="M138" s="7" t="s">
        <v>2155</v>
      </c>
      <c r="N138" s="7" t="s">
        <v>49</v>
      </c>
      <c r="O138" s="7" t="s">
        <v>2151</v>
      </c>
      <c r="P138" s="8" t="s">
        <v>2156</v>
      </c>
      <c r="Q138" s="8" t="s">
        <v>2157</v>
      </c>
      <c r="R138" s="11" t="s">
        <v>2158</v>
      </c>
      <c r="S138" s="11" t="s">
        <v>2159</v>
      </c>
      <c r="T138" s="7" t="s">
        <v>54</v>
      </c>
      <c r="U138" s="7" t="s">
        <v>109</v>
      </c>
      <c r="V138" s="7" t="s">
        <v>54</v>
      </c>
      <c r="W138" s="7" t="s">
        <v>109</v>
      </c>
      <c r="X138" s="11" t="s">
        <v>2160</v>
      </c>
      <c r="Y138" s="7" t="s">
        <v>57</v>
      </c>
      <c r="Z138" s="7" t="s">
        <v>2151</v>
      </c>
      <c r="AA138" s="12" t="s">
        <v>2161</v>
      </c>
      <c r="AB138" s="7" t="s">
        <v>2162</v>
      </c>
      <c r="AC138" s="7" t="s">
        <v>2163</v>
      </c>
      <c r="AD138" s="7" t="s">
        <v>2151</v>
      </c>
      <c r="AE138" s="32" t="s">
        <v>2154</v>
      </c>
      <c r="AF138" s="7" t="s">
        <v>2164</v>
      </c>
      <c r="AG138" s="32" t="s">
        <v>2149</v>
      </c>
      <c r="AH138" s="9" t="s">
        <v>64</v>
      </c>
      <c r="AI138" s="9">
        <v>2.0</v>
      </c>
      <c r="AJ138" s="7" t="s">
        <v>2165</v>
      </c>
      <c r="AK138" s="7" t="s">
        <v>932</v>
      </c>
      <c r="AL138" s="7" t="s">
        <v>932</v>
      </c>
      <c r="AM138" s="7" t="s">
        <v>2166</v>
      </c>
      <c r="AN138" s="7" t="s">
        <v>241</v>
      </c>
      <c r="AO138" s="7" t="s">
        <v>109</v>
      </c>
      <c r="AP138" s="7" t="s">
        <v>70</v>
      </c>
      <c r="AQ138" s="13"/>
      <c r="AR138" s="13"/>
      <c r="AS138" s="13"/>
      <c r="AT138" s="13"/>
      <c r="AU138" s="13"/>
      <c r="AV138" s="13"/>
    </row>
    <row r="139" hidden="1">
      <c r="A139" s="21">
        <v>45789.379518692134</v>
      </c>
      <c r="B139" s="22" t="s">
        <v>2324</v>
      </c>
      <c r="C139" s="22" t="s">
        <v>2325</v>
      </c>
      <c r="D139" s="23" t="s">
        <v>2326</v>
      </c>
      <c r="E139" s="22" t="s">
        <v>2327</v>
      </c>
      <c r="F139" s="22" t="s">
        <v>2328</v>
      </c>
      <c r="G139" s="24" t="s">
        <v>76</v>
      </c>
      <c r="H139" s="22" t="s">
        <v>101</v>
      </c>
      <c r="I139" s="22" t="s">
        <v>78</v>
      </c>
      <c r="J139" s="22"/>
      <c r="K139" s="28">
        <v>2.0032012E7</v>
      </c>
      <c r="L139" s="23" t="s">
        <v>2326</v>
      </c>
      <c r="M139" s="22" t="s">
        <v>2327</v>
      </c>
      <c r="N139" s="22" t="s">
        <v>1072</v>
      </c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7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hidden="1">
      <c r="A140" s="21">
        <v>45789.3913953125</v>
      </c>
      <c r="B140" s="22" t="s">
        <v>2329</v>
      </c>
      <c r="C140" s="22" t="s">
        <v>2330</v>
      </c>
      <c r="D140" s="23" t="s">
        <v>2331</v>
      </c>
      <c r="E140" s="22" t="s">
        <v>2332</v>
      </c>
      <c r="F140" s="22" t="s">
        <v>2333</v>
      </c>
      <c r="G140" s="24" t="s">
        <v>76</v>
      </c>
      <c r="H140" s="22" t="s">
        <v>101</v>
      </c>
      <c r="I140" s="22" t="s">
        <v>102</v>
      </c>
      <c r="J140" s="22"/>
      <c r="K140" s="28" t="s">
        <v>2334</v>
      </c>
      <c r="L140" s="23" t="s">
        <v>2335</v>
      </c>
      <c r="M140" s="22" t="s">
        <v>2336</v>
      </c>
      <c r="N140" s="22" t="s">
        <v>1072</v>
      </c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7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hidden="1">
      <c r="A141" s="21">
        <v>45786.76622322916</v>
      </c>
      <c r="B141" s="22" t="s">
        <v>1917</v>
      </c>
      <c r="C141" s="22" t="s">
        <v>1918</v>
      </c>
      <c r="D141" s="28" t="s">
        <v>1919</v>
      </c>
      <c r="E141" s="22" t="s">
        <v>1920</v>
      </c>
      <c r="F141" s="22" t="s">
        <v>1917</v>
      </c>
      <c r="G141" s="24" t="s">
        <v>76</v>
      </c>
      <c r="H141" s="22" t="s">
        <v>77</v>
      </c>
      <c r="I141" s="22" t="s">
        <v>78</v>
      </c>
      <c r="J141" s="22"/>
      <c r="K141" s="28">
        <v>1.3122011E7</v>
      </c>
      <c r="L141" s="28">
        <v>6.0194529872E10</v>
      </c>
      <c r="M141" s="22" t="s">
        <v>1920</v>
      </c>
      <c r="N141" s="22" t="s">
        <v>1072</v>
      </c>
      <c r="O141" s="25"/>
      <c r="P141" s="26"/>
      <c r="Q141" s="26"/>
      <c r="R141" s="25"/>
      <c r="S141" s="25"/>
      <c r="T141" s="25"/>
      <c r="U141" s="25"/>
      <c r="V141" s="25"/>
      <c r="W141" s="25"/>
      <c r="X141" s="25"/>
      <c r="Y141" s="25"/>
      <c r="Z141" s="25"/>
      <c r="AA141" s="27"/>
      <c r="AB141" s="25"/>
      <c r="AC141" s="25"/>
      <c r="AD141" s="25"/>
      <c r="AE141" s="26"/>
      <c r="AF141" s="25"/>
      <c r="AG141" s="26"/>
      <c r="AH141" s="27"/>
      <c r="AI141" s="27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hidden="1">
      <c r="A142" s="21">
        <v>45789.43248238426</v>
      </c>
      <c r="B142" s="22" t="s">
        <v>1210</v>
      </c>
      <c r="C142" s="22" t="s">
        <v>2337</v>
      </c>
      <c r="D142" s="23" t="s">
        <v>2338</v>
      </c>
      <c r="E142" s="22" t="s">
        <v>2339</v>
      </c>
      <c r="F142" s="22" t="s">
        <v>2340</v>
      </c>
      <c r="G142" s="24" t="s">
        <v>76</v>
      </c>
      <c r="H142" s="22" t="s">
        <v>77</v>
      </c>
      <c r="I142" s="22" t="s">
        <v>78</v>
      </c>
      <c r="J142" s="22"/>
      <c r="K142" s="23" t="s">
        <v>2341</v>
      </c>
      <c r="L142" s="23" t="s">
        <v>2338</v>
      </c>
      <c r="M142" s="22" t="s">
        <v>2339</v>
      </c>
      <c r="N142" s="22" t="s">
        <v>1072</v>
      </c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7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>
      <c r="A143" s="13"/>
      <c r="B143" s="13"/>
      <c r="C143" s="13"/>
      <c r="D143" s="29"/>
      <c r="E143" s="13"/>
      <c r="F143" s="13"/>
      <c r="G143" s="16"/>
      <c r="H143" s="13"/>
      <c r="I143" s="13"/>
      <c r="J143" s="16"/>
      <c r="K143" s="29"/>
      <c r="L143" s="29"/>
      <c r="M143" s="13"/>
      <c r="N143" s="13"/>
      <c r="O143" s="13"/>
      <c r="P143" s="29"/>
      <c r="Q143" s="29"/>
      <c r="R143" s="13"/>
      <c r="S143" s="13"/>
      <c r="T143" s="13"/>
      <c r="U143" s="13"/>
      <c r="V143" s="13"/>
      <c r="W143" s="13"/>
      <c r="X143" s="13"/>
      <c r="Y143" s="13"/>
      <c r="Z143" s="13"/>
      <c r="AA143" s="16"/>
      <c r="AB143" s="13"/>
      <c r="AC143" s="13"/>
      <c r="AD143" s="13"/>
      <c r="AE143" s="29"/>
      <c r="AF143" s="13"/>
      <c r="AG143" s="29"/>
      <c r="AH143" s="16"/>
      <c r="AI143" s="16"/>
      <c r="AJ143" s="13"/>
      <c r="AK143" s="13"/>
      <c r="AL143" s="16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>
      <c r="A144" s="13"/>
      <c r="B144" s="13"/>
      <c r="C144" s="13"/>
      <c r="D144" s="29"/>
      <c r="E144" s="13"/>
      <c r="F144" s="13"/>
      <c r="G144" s="16"/>
      <c r="H144" s="13"/>
      <c r="I144" s="13"/>
      <c r="J144" s="16"/>
      <c r="K144" s="29"/>
      <c r="L144" s="29"/>
      <c r="M144" s="13"/>
      <c r="N144" s="13"/>
      <c r="O144" s="13"/>
      <c r="P144" s="29"/>
      <c r="Q144" s="29"/>
      <c r="R144" s="13"/>
      <c r="S144" s="13"/>
      <c r="T144" s="13"/>
      <c r="U144" s="13"/>
      <c r="V144" s="13"/>
      <c r="W144" s="13"/>
      <c r="X144" s="13"/>
      <c r="Y144" s="13"/>
      <c r="Z144" s="13"/>
      <c r="AA144" s="16"/>
      <c r="AB144" s="13"/>
      <c r="AC144" s="13"/>
      <c r="AD144" s="13"/>
      <c r="AE144" s="29"/>
      <c r="AF144" s="13"/>
      <c r="AG144" s="29"/>
      <c r="AH144" s="16"/>
      <c r="AI144" s="16"/>
      <c r="AJ144" s="13"/>
      <c r="AK144" s="13"/>
      <c r="AL144" s="16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>
      <c r="A145" s="13"/>
      <c r="B145" s="13"/>
      <c r="C145" s="13"/>
      <c r="D145" s="29"/>
      <c r="E145" s="13"/>
      <c r="F145" s="13"/>
      <c r="G145" s="16"/>
      <c r="H145" s="13"/>
      <c r="I145" s="13"/>
      <c r="J145" s="16"/>
      <c r="K145" s="29"/>
      <c r="L145" s="29"/>
      <c r="M145" s="13"/>
      <c r="N145" s="13"/>
      <c r="O145" s="13"/>
      <c r="P145" s="29"/>
      <c r="Q145" s="29"/>
      <c r="R145" s="13"/>
      <c r="S145" s="13"/>
      <c r="T145" s="13"/>
      <c r="U145" s="13"/>
      <c r="V145" s="13"/>
      <c r="W145" s="13"/>
      <c r="X145" s="13"/>
      <c r="Y145" s="13"/>
      <c r="Z145" s="13"/>
      <c r="AA145" s="16"/>
      <c r="AB145" s="13"/>
      <c r="AC145" s="13"/>
      <c r="AD145" s="13"/>
      <c r="AE145" s="29"/>
      <c r="AF145" s="13"/>
      <c r="AG145" s="29"/>
      <c r="AH145" s="16"/>
      <c r="AI145" s="16"/>
      <c r="AJ145" s="13"/>
      <c r="AK145" s="13"/>
      <c r="AL145" s="16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>
      <c r="A146" s="13"/>
      <c r="B146" s="13"/>
      <c r="C146" s="13"/>
      <c r="D146" s="29"/>
      <c r="E146" s="13"/>
      <c r="F146" s="13"/>
      <c r="G146" s="16"/>
      <c r="H146" s="13"/>
      <c r="I146" s="13"/>
      <c r="J146" s="16"/>
      <c r="K146" s="29"/>
      <c r="L146" s="29"/>
      <c r="M146" s="13"/>
      <c r="N146" s="13"/>
      <c r="O146" s="13"/>
      <c r="P146" s="29"/>
      <c r="Q146" s="29"/>
      <c r="R146" s="13"/>
      <c r="S146" s="13"/>
      <c r="T146" s="13"/>
      <c r="U146" s="13"/>
      <c r="V146" s="13"/>
      <c r="W146" s="13"/>
      <c r="X146" s="13"/>
      <c r="Y146" s="13"/>
      <c r="Z146" s="13"/>
      <c r="AA146" s="16"/>
      <c r="AB146" s="13"/>
      <c r="AC146" s="13"/>
      <c r="AD146" s="13"/>
      <c r="AE146" s="29"/>
      <c r="AF146" s="13"/>
      <c r="AG146" s="29"/>
      <c r="AH146" s="16"/>
      <c r="AI146" s="16"/>
      <c r="AJ146" s="13"/>
      <c r="AK146" s="13"/>
      <c r="AL146" s="16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>
      <c r="A147" s="13"/>
      <c r="B147" s="13"/>
      <c r="C147" s="13"/>
      <c r="D147" s="29"/>
      <c r="E147" s="13"/>
      <c r="F147" s="13"/>
      <c r="G147" s="16"/>
      <c r="H147" s="13"/>
      <c r="I147" s="13"/>
      <c r="J147" s="16"/>
      <c r="K147" s="29"/>
      <c r="L147" s="29"/>
      <c r="M147" s="13"/>
      <c r="N147" s="13"/>
      <c r="O147" s="13"/>
      <c r="P147" s="29"/>
      <c r="Q147" s="29"/>
      <c r="R147" s="13"/>
      <c r="S147" s="13"/>
      <c r="T147" s="13"/>
      <c r="U147" s="13"/>
      <c r="V147" s="13"/>
      <c r="W147" s="13"/>
      <c r="X147" s="13"/>
      <c r="Y147" s="13"/>
      <c r="Z147" s="13"/>
      <c r="AA147" s="16"/>
      <c r="AB147" s="13"/>
      <c r="AC147" s="13"/>
      <c r="AD147" s="13"/>
      <c r="AE147" s="29"/>
      <c r="AF147" s="13"/>
      <c r="AG147" s="29"/>
      <c r="AH147" s="16"/>
      <c r="AI147" s="16"/>
      <c r="AJ147" s="13"/>
      <c r="AK147" s="13"/>
      <c r="AL147" s="16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>
      <c r="A148" s="13"/>
      <c r="B148" s="13"/>
      <c r="C148" s="13"/>
      <c r="D148" s="29"/>
      <c r="E148" s="13"/>
      <c r="F148" s="13"/>
      <c r="G148" s="16"/>
      <c r="H148" s="13"/>
      <c r="I148" s="13"/>
      <c r="J148" s="16"/>
      <c r="K148" s="29"/>
      <c r="L148" s="29"/>
      <c r="M148" s="13"/>
      <c r="N148" s="13"/>
      <c r="O148" s="13"/>
      <c r="P148" s="29"/>
      <c r="Q148" s="29"/>
      <c r="R148" s="13"/>
      <c r="S148" s="13"/>
      <c r="T148" s="13"/>
      <c r="U148" s="13"/>
      <c r="V148" s="13"/>
      <c r="W148" s="13"/>
      <c r="X148" s="13"/>
      <c r="Y148" s="13"/>
      <c r="Z148" s="13"/>
      <c r="AA148" s="16"/>
      <c r="AB148" s="13"/>
      <c r="AC148" s="13"/>
      <c r="AD148" s="13"/>
      <c r="AE148" s="29"/>
      <c r="AF148" s="13"/>
      <c r="AG148" s="29"/>
      <c r="AH148" s="16"/>
      <c r="AI148" s="16"/>
      <c r="AJ148" s="13"/>
      <c r="AK148" s="13"/>
      <c r="AL148" s="16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>
      <c r="A149" s="13"/>
      <c r="B149" s="13"/>
      <c r="C149" s="13"/>
      <c r="D149" s="29"/>
      <c r="E149" s="13"/>
      <c r="F149" s="13"/>
      <c r="G149" s="16"/>
      <c r="H149" s="13"/>
      <c r="I149" s="13"/>
      <c r="J149" s="16"/>
      <c r="K149" s="29"/>
      <c r="L149" s="29"/>
      <c r="M149" s="13"/>
      <c r="N149" s="13"/>
      <c r="O149" s="13"/>
      <c r="P149" s="29"/>
      <c r="Q149" s="29"/>
      <c r="R149" s="13"/>
      <c r="S149" s="13"/>
      <c r="T149" s="13"/>
      <c r="U149" s="13"/>
      <c r="V149" s="13"/>
      <c r="W149" s="13"/>
      <c r="X149" s="13"/>
      <c r="Y149" s="13"/>
      <c r="Z149" s="13"/>
      <c r="AA149" s="16"/>
      <c r="AB149" s="13"/>
      <c r="AC149" s="13"/>
      <c r="AD149" s="13"/>
      <c r="AE149" s="29"/>
      <c r="AF149" s="13"/>
      <c r="AG149" s="29"/>
      <c r="AH149" s="16"/>
      <c r="AI149" s="16"/>
      <c r="AJ149" s="13"/>
      <c r="AK149" s="13"/>
      <c r="AL149" s="16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>
      <c r="A150" s="13"/>
      <c r="B150" s="13"/>
      <c r="C150" s="13"/>
      <c r="D150" s="29"/>
      <c r="E150" s="13"/>
      <c r="F150" s="13"/>
      <c r="G150" s="16"/>
      <c r="H150" s="13"/>
      <c r="I150" s="13"/>
      <c r="J150" s="16"/>
      <c r="K150" s="29"/>
      <c r="L150" s="29"/>
      <c r="M150" s="13"/>
      <c r="N150" s="13"/>
      <c r="O150" s="13"/>
      <c r="P150" s="29"/>
      <c r="Q150" s="29"/>
      <c r="R150" s="13"/>
      <c r="S150" s="13"/>
      <c r="T150" s="13"/>
      <c r="U150" s="13"/>
      <c r="V150" s="13"/>
      <c r="W150" s="13"/>
      <c r="X150" s="13"/>
      <c r="Y150" s="13"/>
      <c r="Z150" s="13"/>
      <c r="AA150" s="16"/>
      <c r="AB150" s="13"/>
      <c r="AC150" s="13"/>
      <c r="AD150" s="13"/>
      <c r="AE150" s="29"/>
      <c r="AF150" s="13"/>
      <c r="AG150" s="29"/>
      <c r="AH150" s="16"/>
      <c r="AI150" s="16"/>
      <c r="AJ150" s="13"/>
      <c r="AK150" s="13"/>
      <c r="AL150" s="16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>
      <c r="A151" s="13"/>
      <c r="B151" s="13"/>
      <c r="C151" s="13"/>
      <c r="D151" s="29"/>
      <c r="E151" s="13"/>
      <c r="F151" s="13"/>
      <c r="G151" s="16"/>
      <c r="H151" s="13"/>
      <c r="I151" s="13"/>
      <c r="J151" s="16"/>
      <c r="K151" s="29"/>
      <c r="L151" s="29"/>
      <c r="M151" s="13"/>
      <c r="N151" s="13"/>
      <c r="O151" s="13"/>
      <c r="P151" s="29"/>
      <c r="Q151" s="29"/>
      <c r="R151" s="13"/>
      <c r="S151" s="13"/>
      <c r="T151" s="13"/>
      <c r="U151" s="13"/>
      <c r="V151" s="13"/>
      <c r="W151" s="13"/>
      <c r="X151" s="13"/>
      <c r="Y151" s="13"/>
      <c r="Z151" s="13"/>
      <c r="AA151" s="16"/>
      <c r="AB151" s="13"/>
      <c r="AC151" s="13"/>
      <c r="AD151" s="13"/>
      <c r="AE151" s="29"/>
      <c r="AF151" s="13"/>
      <c r="AG151" s="29"/>
      <c r="AH151" s="16"/>
      <c r="AI151" s="16"/>
      <c r="AJ151" s="13"/>
      <c r="AK151" s="13"/>
      <c r="AL151" s="16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>
      <c r="A152" s="13"/>
      <c r="B152" s="13"/>
      <c r="C152" s="13"/>
      <c r="D152" s="29"/>
      <c r="E152" s="13"/>
      <c r="F152" s="13"/>
      <c r="G152" s="16"/>
      <c r="H152" s="13"/>
      <c r="I152" s="13"/>
      <c r="J152" s="16"/>
      <c r="K152" s="29"/>
      <c r="L152" s="29"/>
      <c r="M152" s="13"/>
      <c r="N152" s="13"/>
      <c r="O152" s="13"/>
      <c r="P152" s="29"/>
      <c r="Q152" s="29"/>
      <c r="R152" s="13"/>
      <c r="S152" s="13"/>
      <c r="T152" s="13"/>
      <c r="U152" s="13"/>
      <c r="V152" s="13"/>
      <c r="W152" s="13"/>
      <c r="X152" s="13"/>
      <c r="Y152" s="13"/>
      <c r="Z152" s="13"/>
      <c r="AA152" s="16"/>
      <c r="AB152" s="13"/>
      <c r="AC152" s="13"/>
      <c r="AD152" s="13"/>
      <c r="AE152" s="29"/>
      <c r="AF152" s="13"/>
      <c r="AG152" s="29"/>
      <c r="AH152" s="16"/>
      <c r="AI152" s="16"/>
      <c r="AJ152" s="13"/>
      <c r="AK152" s="13"/>
      <c r="AL152" s="16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>
      <c r="A153" s="13"/>
      <c r="B153" s="13"/>
      <c r="C153" s="13"/>
      <c r="D153" s="29"/>
      <c r="E153" s="13"/>
      <c r="F153" s="13"/>
      <c r="G153" s="16"/>
      <c r="H153" s="13"/>
      <c r="I153" s="13"/>
      <c r="J153" s="16"/>
      <c r="K153" s="29"/>
      <c r="L153" s="29"/>
      <c r="M153" s="13"/>
      <c r="N153" s="13"/>
      <c r="O153" s="13"/>
      <c r="P153" s="29"/>
      <c r="Q153" s="29"/>
      <c r="R153" s="13"/>
      <c r="S153" s="13"/>
      <c r="T153" s="13"/>
      <c r="U153" s="13"/>
      <c r="V153" s="13"/>
      <c r="W153" s="13"/>
      <c r="X153" s="13"/>
      <c r="Y153" s="13"/>
      <c r="Z153" s="13"/>
      <c r="AA153" s="16"/>
      <c r="AB153" s="13"/>
      <c r="AC153" s="13"/>
      <c r="AD153" s="13"/>
      <c r="AE153" s="29"/>
      <c r="AF153" s="13"/>
      <c r="AG153" s="29"/>
      <c r="AH153" s="16"/>
      <c r="AI153" s="16"/>
      <c r="AJ153" s="13"/>
      <c r="AK153" s="13"/>
      <c r="AL153" s="16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>
      <c r="A154" s="13"/>
      <c r="B154" s="13"/>
      <c r="C154" s="13"/>
      <c r="D154" s="29"/>
      <c r="E154" s="13"/>
      <c r="F154" s="13"/>
      <c r="G154" s="16"/>
      <c r="H154" s="13"/>
      <c r="I154" s="13"/>
      <c r="J154" s="16"/>
      <c r="K154" s="29"/>
      <c r="L154" s="29"/>
      <c r="M154" s="13"/>
      <c r="N154" s="13"/>
      <c r="O154" s="13"/>
      <c r="P154" s="29"/>
      <c r="Q154" s="29"/>
      <c r="R154" s="13"/>
      <c r="S154" s="13"/>
      <c r="T154" s="13"/>
      <c r="U154" s="13"/>
      <c r="V154" s="13"/>
      <c r="W154" s="13"/>
      <c r="X154" s="13"/>
      <c r="Y154" s="13"/>
      <c r="Z154" s="13"/>
      <c r="AA154" s="16"/>
      <c r="AB154" s="13"/>
      <c r="AC154" s="13"/>
      <c r="AD154" s="13"/>
      <c r="AE154" s="29"/>
      <c r="AF154" s="13"/>
      <c r="AG154" s="29"/>
      <c r="AH154" s="16"/>
      <c r="AI154" s="16"/>
      <c r="AJ154" s="13"/>
      <c r="AK154" s="13"/>
      <c r="AL154" s="16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>
      <c r="A155" s="13"/>
      <c r="B155" s="13"/>
      <c r="C155" s="13"/>
      <c r="D155" s="29"/>
      <c r="E155" s="13"/>
      <c r="F155" s="13"/>
      <c r="G155" s="16"/>
      <c r="H155" s="13"/>
      <c r="I155" s="13"/>
      <c r="J155" s="16"/>
      <c r="K155" s="29"/>
      <c r="L155" s="29"/>
      <c r="M155" s="13"/>
      <c r="N155" s="13"/>
      <c r="O155" s="13"/>
      <c r="P155" s="29"/>
      <c r="Q155" s="29"/>
      <c r="R155" s="13"/>
      <c r="S155" s="13"/>
      <c r="T155" s="13"/>
      <c r="U155" s="13"/>
      <c r="V155" s="13"/>
      <c r="W155" s="13"/>
      <c r="X155" s="13"/>
      <c r="Y155" s="13"/>
      <c r="Z155" s="13"/>
      <c r="AA155" s="16"/>
      <c r="AB155" s="13"/>
      <c r="AC155" s="13"/>
      <c r="AD155" s="13"/>
      <c r="AE155" s="29"/>
      <c r="AF155" s="13"/>
      <c r="AG155" s="29"/>
      <c r="AH155" s="16"/>
      <c r="AI155" s="16"/>
      <c r="AJ155" s="13"/>
      <c r="AK155" s="13"/>
      <c r="AL155" s="16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>
      <c r="A156" s="13"/>
      <c r="B156" s="13"/>
      <c r="C156" s="13"/>
      <c r="D156" s="29"/>
      <c r="E156" s="13"/>
      <c r="F156" s="13"/>
      <c r="G156" s="16"/>
      <c r="H156" s="13"/>
      <c r="I156" s="13"/>
      <c r="J156" s="16"/>
      <c r="K156" s="29"/>
      <c r="L156" s="29"/>
      <c r="M156" s="13"/>
      <c r="N156" s="13"/>
      <c r="O156" s="13"/>
      <c r="P156" s="29"/>
      <c r="Q156" s="29"/>
      <c r="R156" s="13"/>
      <c r="S156" s="13"/>
      <c r="T156" s="13"/>
      <c r="U156" s="13"/>
      <c r="V156" s="13"/>
      <c r="W156" s="13"/>
      <c r="X156" s="13"/>
      <c r="Y156" s="13"/>
      <c r="Z156" s="13"/>
      <c r="AA156" s="16"/>
      <c r="AB156" s="13"/>
      <c r="AC156" s="13"/>
      <c r="AD156" s="13"/>
      <c r="AE156" s="29"/>
      <c r="AF156" s="13"/>
      <c r="AG156" s="29"/>
      <c r="AH156" s="16"/>
      <c r="AI156" s="16"/>
      <c r="AJ156" s="13"/>
      <c r="AK156" s="13"/>
      <c r="AL156" s="16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>
      <c r="A157" s="13"/>
      <c r="B157" s="13"/>
      <c r="C157" s="13"/>
      <c r="D157" s="29"/>
      <c r="E157" s="13"/>
      <c r="F157" s="13"/>
      <c r="G157" s="16"/>
      <c r="H157" s="13"/>
      <c r="I157" s="13"/>
      <c r="J157" s="16"/>
      <c r="K157" s="29"/>
      <c r="L157" s="29"/>
      <c r="M157" s="13"/>
      <c r="N157" s="13"/>
      <c r="O157" s="13"/>
      <c r="P157" s="29"/>
      <c r="Q157" s="29"/>
      <c r="R157" s="13"/>
      <c r="S157" s="13"/>
      <c r="T157" s="13"/>
      <c r="U157" s="13"/>
      <c r="V157" s="13"/>
      <c r="W157" s="13"/>
      <c r="X157" s="13"/>
      <c r="Y157" s="13"/>
      <c r="Z157" s="13"/>
      <c r="AA157" s="16"/>
      <c r="AB157" s="13"/>
      <c r="AC157" s="13"/>
      <c r="AD157" s="13"/>
      <c r="AE157" s="29"/>
      <c r="AF157" s="13"/>
      <c r="AG157" s="29"/>
      <c r="AH157" s="16"/>
      <c r="AI157" s="16"/>
      <c r="AJ157" s="13"/>
      <c r="AK157" s="13"/>
      <c r="AL157" s="16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>
      <c r="A158" s="13"/>
      <c r="B158" s="13"/>
      <c r="C158" s="13"/>
      <c r="D158" s="29"/>
      <c r="E158" s="13"/>
      <c r="F158" s="13"/>
      <c r="G158" s="16"/>
      <c r="H158" s="13"/>
      <c r="I158" s="13"/>
      <c r="J158" s="16"/>
      <c r="K158" s="29"/>
      <c r="L158" s="29"/>
      <c r="M158" s="13"/>
      <c r="N158" s="13"/>
      <c r="O158" s="13"/>
      <c r="P158" s="29"/>
      <c r="Q158" s="29"/>
      <c r="R158" s="13"/>
      <c r="S158" s="13"/>
      <c r="T158" s="13"/>
      <c r="U158" s="13"/>
      <c r="V158" s="13"/>
      <c r="W158" s="13"/>
      <c r="X158" s="13"/>
      <c r="Y158" s="13"/>
      <c r="Z158" s="13"/>
      <c r="AA158" s="16"/>
      <c r="AB158" s="13"/>
      <c r="AC158" s="13"/>
      <c r="AD158" s="13"/>
      <c r="AE158" s="29"/>
      <c r="AF158" s="13"/>
      <c r="AG158" s="29"/>
      <c r="AH158" s="16"/>
      <c r="AI158" s="16"/>
      <c r="AJ158" s="13"/>
      <c r="AK158" s="13"/>
      <c r="AL158" s="16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>
      <c r="A159" s="13"/>
      <c r="B159" s="13"/>
      <c r="C159" s="13"/>
      <c r="D159" s="29"/>
      <c r="E159" s="13"/>
      <c r="F159" s="13"/>
      <c r="G159" s="16"/>
      <c r="H159" s="13"/>
      <c r="I159" s="13"/>
      <c r="J159" s="16"/>
      <c r="K159" s="29"/>
      <c r="L159" s="29"/>
      <c r="M159" s="13"/>
      <c r="N159" s="13"/>
      <c r="O159" s="13"/>
      <c r="P159" s="29"/>
      <c r="Q159" s="29"/>
      <c r="R159" s="13"/>
      <c r="S159" s="13"/>
      <c r="T159" s="13"/>
      <c r="U159" s="13"/>
      <c r="V159" s="13"/>
      <c r="W159" s="13"/>
      <c r="X159" s="13"/>
      <c r="Y159" s="13"/>
      <c r="Z159" s="13"/>
      <c r="AA159" s="16"/>
      <c r="AB159" s="13"/>
      <c r="AC159" s="13"/>
      <c r="AD159" s="13"/>
      <c r="AE159" s="29"/>
      <c r="AF159" s="13"/>
      <c r="AG159" s="29"/>
      <c r="AH159" s="16"/>
      <c r="AI159" s="16"/>
      <c r="AJ159" s="13"/>
      <c r="AK159" s="13"/>
      <c r="AL159" s="16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>
      <c r="A160" s="13"/>
      <c r="B160" s="13"/>
      <c r="C160" s="13"/>
      <c r="D160" s="29"/>
      <c r="E160" s="13"/>
      <c r="F160" s="13"/>
      <c r="G160" s="16"/>
      <c r="H160" s="13"/>
      <c r="I160" s="13"/>
      <c r="J160" s="16"/>
      <c r="K160" s="29"/>
      <c r="L160" s="29"/>
      <c r="M160" s="13"/>
      <c r="N160" s="13"/>
      <c r="O160" s="13"/>
      <c r="P160" s="29"/>
      <c r="Q160" s="29"/>
      <c r="R160" s="13"/>
      <c r="S160" s="13"/>
      <c r="T160" s="13"/>
      <c r="U160" s="13"/>
      <c r="V160" s="13"/>
      <c r="W160" s="13"/>
      <c r="X160" s="13"/>
      <c r="Y160" s="13"/>
      <c r="Z160" s="13"/>
      <c r="AA160" s="16"/>
      <c r="AB160" s="13"/>
      <c r="AC160" s="13"/>
      <c r="AD160" s="13"/>
      <c r="AE160" s="29"/>
      <c r="AF160" s="13"/>
      <c r="AG160" s="29"/>
      <c r="AH160" s="16"/>
      <c r="AI160" s="16"/>
      <c r="AJ160" s="13"/>
      <c r="AK160" s="13"/>
      <c r="AL160" s="16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>
      <c r="A161" s="13"/>
      <c r="B161" s="13"/>
      <c r="C161" s="13"/>
      <c r="D161" s="29"/>
      <c r="E161" s="13"/>
      <c r="F161" s="13"/>
      <c r="G161" s="16"/>
      <c r="H161" s="13"/>
      <c r="I161" s="13"/>
      <c r="J161" s="16"/>
      <c r="K161" s="29"/>
      <c r="L161" s="29"/>
      <c r="M161" s="13"/>
      <c r="N161" s="13"/>
      <c r="O161" s="13"/>
      <c r="P161" s="29"/>
      <c r="Q161" s="29"/>
      <c r="R161" s="13"/>
      <c r="S161" s="13"/>
      <c r="T161" s="13"/>
      <c r="U161" s="13"/>
      <c r="V161" s="13"/>
      <c r="W161" s="13"/>
      <c r="X161" s="13"/>
      <c r="Y161" s="13"/>
      <c r="Z161" s="13"/>
      <c r="AA161" s="16"/>
      <c r="AB161" s="13"/>
      <c r="AC161" s="13"/>
      <c r="AD161" s="13"/>
      <c r="AE161" s="29"/>
      <c r="AF161" s="13"/>
      <c r="AG161" s="29"/>
      <c r="AH161" s="16"/>
      <c r="AI161" s="16"/>
      <c r="AJ161" s="13"/>
      <c r="AK161" s="13"/>
      <c r="AL161" s="16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>
      <c r="A162" s="13"/>
      <c r="B162" s="13"/>
      <c r="C162" s="13"/>
      <c r="D162" s="29"/>
      <c r="E162" s="13"/>
      <c r="F162" s="13"/>
      <c r="G162" s="16"/>
      <c r="H162" s="13"/>
      <c r="I162" s="13"/>
      <c r="J162" s="16"/>
      <c r="K162" s="29"/>
      <c r="L162" s="29"/>
      <c r="M162" s="13"/>
      <c r="N162" s="13"/>
      <c r="O162" s="13"/>
      <c r="P162" s="29"/>
      <c r="Q162" s="29"/>
      <c r="R162" s="13"/>
      <c r="S162" s="13"/>
      <c r="T162" s="13"/>
      <c r="U162" s="13"/>
      <c r="V162" s="13"/>
      <c r="W162" s="13"/>
      <c r="X162" s="13"/>
      <c r="Y162" s="13"/>
      <c r="Z162" s="13"/>
      <c r="AA162" s="16"/>
      <c r="AB162" s="13"/>
      <c r="AC162" s="13"/>
      <c r="AD162" s="13"/>
      <c r="AE162" s="29"/>
      <c r="AF162" s="13"/>
      <c r="AG162" s="29"/>
      <c r="AH162" s="16"/>
      <c r="AI162" s="16"/>
      <c r="AJ162" s="13"/>
      <c r="AK162" s="13"/>
      <c r="AL162" s="16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>
      <c r="A163" s="13"/>
      <c r="B163" s="13"/>
      <c r="C163" s="13"/>
      <c r="D163" s="29"/>
      <c r="E163" s="13"/>
      <c r="F163" s="13"/>
      <c r="G163" s="16"/>
      <c r="H163" s="13"/>
      <c r="I163" s="13"/>
      <c r="J163" s="16"/>
      <c r="K163" s="29"/>
      <c r="L163" s="29"/>
      <c r="M163" s="13"/>
      <c r="N163" s="13"/>
      <c r="O163" s="13"/>
      <c r="P163" s="29"/>
      <c r="Q163" s="29"/>
      <c r="R163" s="13"/>
      <c r="S163" s="13"/>
      <c r="T163" s="13"/>
      <c r="U163" s="13"/>
      <c r="V163" s="13"/>
      <c r="W163" s="13"/>
      <c r="X163" s="13"/>
      <c r="Y163" s="13"/>
      <c r="Z163" s="13"/>
      <c r="AA163" s="16"/>
      <c r="AB163" s="13"/>
      <c r="AC163" s="13"/>
      <c r="AD163" s="13"/>
      <c r="AE163" s="29"/>
      <c r="AF163" s="13"/>
      <c r="AG163" s="29"/>
      <c r="AH163" s="16"/>
      <c r="AI163" s="16"/>
      <c r="AJ163" s="13"/>
      <c r="AK163" s="13"/>
      <c r="AL163" s="16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>
      <c r="A164" s="13"/>
      <c r="B164" s="13"/>
      <c r="C164" s="13"/>
      <c r="D164" s="29"/>
      <c r="E164" s="13"/>
      <c r="F164" s="13"/>
      <c r="G164" s="16"/>
      <c r="H164" s="13"/>
      <c r="I164" s="13"/>
      <c r="J164" s="16"/>
      <c r="K164" s="29"/>
      <c r="L164" s="29"/>
      <c r="M164" s="13"/>
      <c r="N164" s="13"/>
      <c r="O164" s="13"/>
      <c r="P164" s="29"/>
      <c r="Q164" s="29"/>
      <c r="R164" s="13"/>
      <c r="S164" s="13"/>
      <c r="T164" s="13"/>
      <c r="U164" s="13"/>
      <c r="V164" s="13"/>
      <c r="W164" s="13"/>
      <c r="X164" s="13"/>
      <c r="Y164" s="13"/>
      <c r="Z164" s="13"/>
      <c r="AA164" s="16"/>
      <c r="AB164" s="13"/>
      <c r="AC164" s="13"/>
      <c r="AD164" s="13"/>
      <c r="AE164" s="29"/>
      <c r="AF164" s="13"/>
      <c r="AG164" s="29"/>
      <c r="AH164" s="16"/>
      <c r="AI164" s="16"/>
      <c r="AJ164" s="13"/>
      <c r="AK164" s="13"/>
      <c r="AL164" s="16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>
      <c r="A165" s="13"/>
      <c r="B165" s="13"/>
      <c r="C165" s="13"/>
      <c r="D165" s="29"/>
      <c r="E165" s="13"/>
      <c r="F165" s="13"/>
      <c r="G165" s="16"/>
      <c r="H165" s="13"/>
      <c r="I165" s="13"/>
      <c r="J165" s="16"/>
      <c r="K165" s="29"/>
      <c r="L165" s="29"/>
      <c r="M165" s="13"/>
      <c r="N165" s="13"/>
      <c r="O165" s="13"/>
      <c r="P165" s="29"/>
      <c r="Q165" s="29"/>
      <c r="R165" s="13"/>
      <c r="S165" s="13"/>
      <c r="T165" s="13"/>
      <c r="U165" s="13"/>
      <c r="V165" s="13"/>
      <c r="W165" s="13"/>
      <c r="X165" s="13"/>
      <c r="Y165" s="13"/>
      <c r="Z165" s="13"/>
      <c r="AA165" s="16"/>
      <c r="AB165" s="13"/>
      <c r="AC165" s="13"/>
      <c r="AD165" s="13"/>
      <c r="AE165" s="29"/>
      <c r="AF165" s="13"/>
      <c r="AG165" s="29"/>
      <c r="AH165" s="16"/>
      <c r="AI165" s="16"/>
      <c r="AJ165" s="13"/>
      <c r="AK165" s="13"/>
      <c r="AL165" s="16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>
      <c r="A166" s="13"/>
      <c r="B166" s="13"/>
      <c r="C166" s="13"/>
      <c r="D166" s="29"/>
      <c r="E166" s="13"/>
      <c r="F166" s="13"/>
      <c r="G166" s="16"/>
      <c r="H166" s="13"/>
      <c r="I166" s="13"/>
      <c r="J166" s="16"/>
      <c r="K166" s="29"/>
      <c r="L166" s="29"/>
      <c r="M166" s="13"/>
      <c r="N166" s="13"/>
      <c r="O166" s="13"/>
      <c r="P166" s="29"/>
      <c r="Q166" s="29"/>
      <c r="R166" s="13"/>
      <c r="S166" s="13"/>
      <c r="T166" s="13"/>
      <c r="U166" s="13"/>
      <c r="V166" s="13"/>
      <c r="W166" s="13"/>
      <c r="X166" s="13"/>
      <c r="Y166" s="13"/>
      <c r="Z166" s="13"/>
      <c r="AA166" s="16"/>
      <c r="AB166" s="13"/>
      <c r="AC166" s="13"/>
      <c r="AD166" s="13"/>
      <c r="AE166" s="29"/>
      <c r="AF166" s="13"/>
      <c r="AG166" s="29"/>
      <c r="AH166" s="16"/>
      <c r="AI166" s="16"/>
      <c r="AJ166" s="13"/>
      <c r="AK166" s="13"/>
      <c r="AL166" s="16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>
      <c r="A167" s="13"/>
      <c r="B167" s="13"/>
      <c r="C167" s="13"/>
      <c r="D167" s="29"/>
      <c r="E167" s="13"/>
      <c r="F167" s="13"/>
      <c r="G167" s="16"/>
      <c r="H167" s="13"/>
      <c r="I167" s="13"/>
      <c r="J167" s="16"/>
      <c r="K167" s="29"/>
      <c r="L167" s="29"/>
      <c r="M167" s="13"/>
      <c r="N167" s="13"/>
      <c r="O167" s="13"/>
      <c r="P167" s="29"/>
      <c r="Q167" s="29"/>
      <c r="R167" s="13"/>
      <c r="S167" s="13"/>
      <c r="T167" s="13"/>
      <c r="U167" s="13"/>
      <c r="V167" s="13"/>
      <c r="W167" s="13"/>
      <c r="X167" s="13"/>
      <c r="Y167" s="13"/>
      <c r="Z167" s="13"/>
      <c r="AA167" s="16"/>
      <c r="AB167" s="13"/>
      <c r="AC167" s="13"/>
      <c r="AD167" s="13"/>
      <c r="AE167" s="29"/>
      <c r="AF167" s="13"/>
      <c r="AG167" s="29"/>
      <c r="AH167" s="16"/>
      <c r="AI167" s="16"/>
      <c r="AJ167" s="13"/>
      <c r="AK167" s="13"/>
      <c r="AL167" s="16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>
      <c r="A168" s="13"/>
      <c r="B168" s="13"/>
      <c r="C168" s="13"/>
      <c r="D168" s="29"/>
      <c r="E168" s="13"/>
      <c r="F168" s="13"/>
      <c r="G168" s="16"/>
      <c r="H168" s="13"/>
      <c r="I168" s="13"/>
      <c r="J168" s="16"/>
      <c r="K168" s="29"/>
      <c r="L168" s="29"/>
      <c r="M168" s="13"/>
      <c r="N168" s="13"/>
      <c r="O168" s="13"/>
      <c r="P168" s="29"/>
      <c r="Q168" s="29"/>
      <c r="R168" s="13"/>
      <c r="S168" s="13"/>
      <c r="T168" s="13"/>
      <c r="U168" s="13"/>
      <c r="V168" s="13"/>
      <c r="W168" s="13"/>
      <c r="X168" s="13"/>
      <c r="Y168" s="13"/>
      <c r="Z168" s="13"/>
      <c r="AA168" s="16"/>
      <c r="AB168" s="13"/>
      <c r="AC168" s="13"/>
      <c r="AD168" s="13"/>
      <c r="AE168" s="29"/>
      <c r="AF168" s="13"/>
      <c r="AG168" s="29"/>
      <c r="AH168" s="16"/>
      <c r="AI168" s="16"/>
      <c r="AJ168" s="13"/>
      <c r="AK168" s="13"/>
      <c r="AL168" s="16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>
      <c r="A169" s="13"/>
      <c r="B169" s="13"/>
      <c r="C169" s="13"/>
      <c r="D169" s="29"/>
      <c r="E169" s="13"/>
      <c r="F169" s="13"/>
      <c r="G169" s="16"/>
      <c r="H169" s="13"/>
      <c r="I169" s="13"/>
      <c r="J169" s="16"/>
      <c r="K169" s="29"/>
      <c r="L169" s="29"/>
      <c r="M169" s="13"/>
      <c r="N169" s="13"/>
      <c r="O169" s="13"/>
      <c r="P169" s="29"/>
      <c r="Q169" s="29"/>
      <c r="R169" s="13"/>
      <c r="S169" s="13"/>
      <c r="T169" s="13"/>
      <c r="U169" s="13"/>
      <c r="V169" s="13"/>
      <c r="W169" s="13"/>
      <c r="X169" s="13"/>
      <c r="Y169" s="13"/>
      <c r="Z169" s="13"/>
      <c r="AA169" s="16"/>
      <c r="AB169" s="13"/>
      <c r="AC169" s="13"/>
      <c r="AD169" s="13"/>
      <c r="AE169" s="29"/>
      <c r="AF169" s="13"/>
      <c r="AG169" s="29"/>
      <c r="AH169" s="16"/>
      <c r="AI169" s="16"/>
      <c r="AJ169" s="13"/>
      <c r="AK169" s="13"/>
      <c r="AL169" s="16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>
      <c r="A170" s="13"/>
      <c r="B170" s="13"/>
      <c r="C170" s="13"/>
      <c r="D170" s="29"/>
      <c r="E170" s="13"/>
      <c r="F170" s="13"/>
      <c r="G170" s="16"/>
      <c r="H170" s="13"/>
      <c r="I170" s="13"/>
      <c r="J170" s="16"/>
      <c r="K170" s="29"/>
      <c r="L170" s="29"/>
      <c r="M170" s="13"/>
      <c r="N170" s="13"/>
      <c r="O170" s="13"/>
      <c r="P170" s="29"/>
      <c r="Q170" s="29"/>
      <c r="R170" s="13"/>
      <c r="S170" s="13"/>
      <c r="T170" s="13"/>
      <c r="U170" s="13"/>
      <c r="V170" s="13"/>
      <c r="W170" s="13"/>
      <c r="X170" s="13"/>
      <c r="Y170" s="13"/>
      <c r="Z170" s="13"/>
      <c r="AA170" s="16"/>
      <c r="AB170" s="13"/>
      <c r="AC170" s="13"/>
      <c r="AD170" s="13"/>
      <c r="AE170" s="29"/>
      <c r="AF170" s="13"/>
      <c r="AG170" s="29"/>
      <c r="AH170" s="16"/>
      <c r="AI170" s="16"/>
      <c r="AJ170" s="13"/>
      <c r="AK170" s="13"/>
      <c r="AL170" s="16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>
      <c r="A171" s="13"/>
      <c r="B171" s="13"/>
      <c r="C171" s="13"/>
      <c r="D171" s="29"/>
      <c r="E171" s="13"/>
      <c r="F171" s="13"/>
      <c r="G171" s="16"/>
      <c r="H171" s="13"/>
      <c r="I171" s="13"/>
      <c r="J171" s="16"/>
      <c r="K171" s="29"/>
      <c r="L171" s="29"/>
      <c r="M171" s="13"/>
      <c r="N171" s="13"/>
      <c r="O171" s="13"/>
      <c r="P171" s="29"/>
      <c r="Q171" s="29"/>
      <c r="R171" s="13"/>
      <c r="S171" s="13"/>
      <c r="T171" s="13"/>
      <c r="U171" s="13"/>
      <c r="V171" s="13"/>
      <c r="W171" s="13"/>
      <c r="X171" s="13"/>
      <c r="Y171" s="13"/>
      <c r="Z171" s="13"/>
      <c r="AA171" s="16"/>
      <c r="AB171" s="13"/>
      <c r="AC171" s="13"/>
      <c r="AD171" s="13"/>
      <c r="AE171" s="29"/>
      <c r="AF171" s="13"/>
      <c r="AG171" s="29"/>
      <c r="AH171" s="16"/>
      <c r="AI171" s="16"/>
      <c r="AJ171" s="13"/>
      <c r="AK171" s="13"/>
      <c r="AL171" s="16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>
      <c r="A172" s="13"/>
      <c r="B172" s="13"/>
      <c r="C172" s="13"/>
      <c r="D172" s="29"/>
      <c r="E172" s="13"/>
      <c r="F172" s="13"/>
      <c r="G172" s="16"/>
      <c r="H172" s="13"/>
      <c r="I172" s="13"/>
      <c r="J172" s="16"/>
      <c r="K172" s="29"/>
      <c r="L172" s="29"/>
      <c r="M172" s="13"/>
      <c r="N172" s="13"/>
      <c r="O172" s="13"/>
      <c r="P172" s="29"/>
      <c r="Q172" s="29"/>
      <c r="R172" s="13"/>
      <c r="S172" s="13"/>
      <c r="T172" s="13"/>
      <c r="U172" s="13"/>
      <c r="V172" s="13"/>
      <c r="W172" s="13"/>
      <c r="X172" s="13"/>
      <c r="Y172" s="13"/>
      <c r="Z172" s="13"/>
      <c r="AA172" s="16"/>
      <c r="AB172" s="13"/>
      <c r="AC172" s="13"/>
      <c r="AD172" s="13"/>
      <c r="AE172" s="29"/>
      <c r="AF172" s="13"/>
      <c r="AG172" s="29"/>
      <c r="AH172" s="16"/>
      <c r="AI172" s="16"/>
      <c r="AJ172" s="13"/>
      <c r="AK172" s="13"/>
      <c r="AL172" s="16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>
      <c r="A173" s="13"/>
      <c r="B173" s="13"/>
      <c r="C173" s="13"/>
      <c r="D173" s="29"/>
      <c r="E173" s="13"/>
      <c r="F173" s="13"/>
      <c r="G173" s="16"/>
      <c r="H173" s="13"/>
      <c r="I173" s="13"/>
      <c r="J173" s="16"/>
      <c r="K173" s="29"/>
      <c r="L173" s="29"/>
      <c r="M173" s="13"/>
      <c r="N173" s="13"/>
      <c r="O173" s="13"/>
      <c r="P173" s="29"/>
      <c r="Q173" s="29"/>
      <c r="R173" s="13"/>
      <c r="S173" s="13"/>
      <c r="T173" s="13"/>
      <c r="U173" s="13"/>
      <c r="V173" s="13"/>
      <c r="W173" s="13"/>
      <c r="X173" s="13"/>
      <c r="Y173" s="13"/>
      <c r="Z173" s="13"/>
      <c r="AA173" s="16"/>
      <c r="AB173" s="13"/>
      <c r="AC173" s="13"/>
      <c r="AD173" s="13"/>
      <c r="AE173" s="29"/>
      <c r="AF173" s="13"/>
      <c r="AG173" s="29"/>
      <c r="AH173" s="16"/>
      <c r="AI173" s="16"/>
      <c r="AJ173" s="13"/>
      <c r="AK173" s="13"/>
      <c r="AL173" s="16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>
      <c r="A174" s="13"/>
      <c r="B174" s="13"/>
      <c r="C174" s="13"/>
      <c r="D174" s="29"/>
      <c r="E174" s="13"/>
      <c r="F174" s="13"/>
      <c r="G174" s="16"/>
      <c r="H174" s="13"/>
      <c r="I174" s="13"/>
      <c r="J174" s="16"/>
      <c r="K174" s="29"/>
      <c r="L174" s="29"/>
      <c r="M174" s="13"/>
      <c r="N174" s="13"/>
      <c r="O174" s="13"/>
      <c r="P174" s="29"/>
      <c r="Q174" s="29"/>
      <c r="R174" s="13"/>
      <c r="S174" s="13"/>
      <c r="T174" s="13"/>
      <c r="U174" s="13"/>
      <c r="V174" s="13"/>
      <c r="W174" s="13"/>
      <c r="X174" s="13"/>
      <c r="Y174" s="13"/>
      <c r="Z174" s="13"/>
      <c r="AA174" s="16"/>
      <c r="AB174" s="13"/>
      <c r="AC174" s="13"/>
      <c r="AD174" s="13"/>
      <c r="AE174" s="29"/>
      <c r="AF174" s="13"/>
      <c r="AG174" s="29"/>
      <c r="AH174" s="16"/>
      <c r="AI174" s="16"/>
      <c r="AJ174" s="13"/>
      <c r="AK174" s="13"/>
      <c r="AL174" s="16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>
      <c r="A175" s="13"/>
      <c r="B175" s="13"/>
      <c r="C175" s="13"/>
      <c r="D175" s="29"/>
      <c r="E175" s="13"/>
      <c r="F175" s="13"/>
      <c r="G175" s="16"/>
      <c r="H175" s="13"/>
      <c r="I175" s="13"/>
      <c r="J175" s="16"/>
      <c r="K175" s="29"/>
      <c r="L175" s="29"/>
      <c r="M175" s="13"/>
      <c r="N175" s="13"/>
      <c r="O175" s="13"/>
      <c r="P175" s="29"/>
      <c r="Q175" s="29"/>
      <c r="R175" s="13"/>
      <c r="S175" s="13"/>
      <c r="T175" s="13"/>
      <c r="U175" s="13"/>
      <c r="V175" s="13"/>
      <c r="W175" s="13"/>
      <c r="X175" s="13"/>
      <c r="Y175" s="13"/>
      <c r="Z175" s="13"/>
      <c r="AA175" s="16"/>
      <c r="AB175" s="13"/>
      <c r="AC175" s="13"/>
      <c r="AD175" s="13"/>
      <c r="AE175" s="29"/>
      <c r="AF175" s="13"/>
      <c r="AG175" s="29"/>
      <c r="AH175" s="16"/>
      <c r="AI175" s="16"/>
      <c r="AJ175" s="13"/>
      <c r="AK175" s="13"/>
      <c r="AL175" s="16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>
      <c r="A176" s="13"/>
      <c r="B176" s="13"/>
      <c r="C176" s="13"/>
      <c r="D176" s="29"/>
      <c r="E176" s="13"/>
      <c r="F176" s="13"/>
      <c r="G176" s="16"/>
      <c r="H176" s="13"/>
      <c r="I176" s="13"/>
      <c r="J176" s="16"/>
      <c r="K176" s="29"/>
      <c r="L176" s="29"/>
      <c r="M176" s="13"/>
      <c r="N176" s="13"/>
      <c r="O176" s="13"/>
      <c r="P176" s="29"/>
      <c r="Q176" s="29"/>
      <c r="R176" s="13"/>
      <c r="S176" s="13"/>
      <c r="T176" s="13"/>
      <c r="U176" s="13"/>
      <c r="V176" s="13"/>
      <c r="W176" s="13"/>
      <c r="X176" s="13"/>
      <c r="Y176" s="13"/>
      <c r="Z176" s="13"/>
      <c r="AA176" s="16"/>
      <c r="AB176" s="13"/>
      <c r="AC176" s="13"/>
      <c r="AD176" s="13"/>
      <c r="AE176" s="29"/>
      <c r="AF176" s="13"/>
      <c r="AG176" s="29"/>
      <c r="AH176" s="16"/>
      <c r="AI176" s="16"/>
      <c r="AJ176" s="13"/>
      <c r="AK176" s="13"/>
      <c r="AL176" s="16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>
      <c r="A177" s="13"/>
      <c r="B177" s="13"/>
      <c r="C177" s="13"/>
      <c r="D177" s="29"/>
      <c r="E177" s="13"/>
      <c r="F177" s="13"/>
      <c r="G177" s="16"/>
      <c r="H177" s="13"/>
      <c r="I177" s="13"/>
      <c r="J177" s="16"/>
      <c r="K177" s="29"/>
      <c r="L177" s="29"/>
      <c r="M177" s="13"/>
      <c r="N177" s="13"/>
      <c r="O177" s="13"/>
      <c r="P177" s="29"/>
      <c r="Q177" s="29"/>
      <c r="R177" s="13"/>
      <c r="S177" s="13"/>
      <c r="T177" s="13"/>
      <c r="U177" s="13"/>
      <c r="V177" s="13"/>
      <c r="W177" s="13"/>
      <c r="X177" s="13"/>
      <c r="Y177" s="13"/>
      <c r="Z177" s="13"/>
      <c r="AA177" s="16"/>
      <c r="AB177" s="13"/>
      <c r="AC177" s="13"/>
      <c r="AD177" s="13"/>
      <c r="AE177" s="29"/>
      <c r="AF177" s="13"/>
      <c r="AG177" s="29"/>
      <c r="AH177" s="16"/>
      <c r="AI177" s="16"/>
      <c r="AJ177" s="13"/>
      <c r="AK177" s="13"/>
      <c r="AL177" s="16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>
      <c r="A178" s="13"/>
      <c r="B178" s="13"/>
      <c r="C178" s="13"/>
      <c r="D178" s="29"/>
      <c r="E178" s="13"/>
      <c r="F178" s="13"/>
      <c r="G178" s="16"/>
      <c r="H178" s="13"/>
      <c r="I178" s="13"/>
      <c r="J178" s="16"/>
      <c r="K178" s="29"/>
      <c r="L178" s="29"/>
      <c r="M178" s="13"/>
      <c r="N178" s="13"/>
      <c r="O178" s="13"/>
      <c r="P178" s="29"/>
      <c r="Q178" s="29"/>
      <c r="R178" s="13"/>
      <c r="S178" s="13"/>
      <c r="T178" s="13"/>
      <c r="U178" s="13"/>
      <c r="V178" s="13"/>
      <c r="W178" s="13"/>
      <c r="X178" s="13"/>
      <c r="Y178" s="13"/>
      <c r="Z178" s="13"/>
      <c r="AA178" s="16"/>
      <c r="AB178" s="13"/>
      <c r="AC178" s="13"/>
      <c r="AD178" s="13"/>
      <c r="AE178" s="29"/>
      <c r="AF178" s="13"/>
      <c r="AG178" s="29"/>
      <c r="AH178" s="16"/>
      <c r="AI178" s="16"/>
      <c r="AJ178" s="13"/>
      <c r="AK178" s="13"/>
      <c r="AL178" s="16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>
      <c r="A179" s="13"/>
      <c r="B179" s="13"/>
      <c r="C179" s="13"/>
      <c r="D179" s="29"/>
      <c r="E179" s="13"/>
      <c r="F179" s="13"/>
      <c r="G179" s="16"/>
      <c r="H179" s="13"/>
      <c r="I179" s="13"/>
      <c r="J179" s="16"/>
      <c r="K179" s="29"/>
      <c r="L179" s="29"/>
      <c r="M179" s="13"/>
      <c r="N179" s="13"/>
      <c r="O179" s="13"/>
      <c r="P179" s="29"/>
      <c r="Q179" s="29"/>
      <c r="R179" s="13"/>
      <c r="S179" s="13"/>
      <c r="T179" s="13"/>
      <c r="U179" s="13"/>
      <c r="V179" s="13"/>
      <c r="W179" s="13"/>
      <c r="X179" s="13"/>
      <c r="Y179" s="13"/>
      <c r="Z179" s="13"/>
      <c r="AA179" s="16"/>
      <c r="AB179" s="13"/>
      <c r="AC179" s="13"/>
      <c r="AD179" s="13"/>
      <c r="AE179" s="29"/>
      <c r="AF179" s="13"/>
      <c r="AG179" s="29"/>
      <c r="AH179" s="16"/>
      <c r="AI179" s="16"/>
      <c r="AJ179" s="13"/>
      <c r="AK179" s="13"/>
      <c r="AL179" s="16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>
      <c r="A180" s="13"/>
      <c r="B180" s="13"/>
      <c r="C180" s="13"/>
      <c r="D180" s="29"/>
      <c r="E180" s="13"/>
      <c r="F180" s="13"/>
      <c r="G180" s="16"/>
      <c r="H180" s="13"/>
      <c r="I180" s="13"/>
      <c r="J180" s="16"/>
      <c r="K180" s="29"/>
      <c r="L180" s="29"/>
      <c r="M180" s="13"/>
      <c r="N180" s="13"/>
      <c r="O180" s="13"/>
      <c r="P180" s="29"/>
      <c r="Q180" s="29"/>
      <c r="R180" s="13"/>
      <c r="S180" s="13"/>
      <c r="T180" s="13"/>
      <c r="U180" s="13"/>
      <c r="V180" s="13"/>
      <c r="W180" s="13"/>
      <c r="X180" s="13"/>
      <c r="Y180" s="13"/>
      <c r="Z180" s="13"/>
      <c r="AA180" s="16"/>
      <c r="AB180" s="13"/>
      <c r="AC180" s="13"/>
      <c r="AD180" s="13"/>
      <c r="AE180" s="29"/>
      <c r="AF180" s="13"/>
      <c r="AG180" s="29"/>
      <c r="AH180" s="16"/>
      <c r="AI180" s="16"/>
      <c r="AJ180" s="13"/>
      <c r="AK180" s="13"/>
      <c r="AL180" s="16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>
      <c r="A181" s="13"/>
      <c r="B181" s="13"/>
      <c r="C181" s="13"/>
      <c r="D181" s="29"/>
      <c r="E181" s="13"/>
      <c r="F181" s="13"/>
      <c r="G181" s="16"/>
      <c r="H181" s="13"/>
      <c r="I181" s="13"/>
      <c r="J181" s="16"/>
      <c r="K181" s="29"/>
      <c r="L181" s="29"/>
      <c r="M181" s="13"/>
      <c r="N181" s="13"/>
      <c r="O181" s="13"/>
      <c r="P181" s="29"/>
      <c r="Q181" s="29"/>
      <c r="R181" s="13"/>
      <c r="S181" s="13"/>
      <c r="T181" s="13"/>
      <c r="U181" s="13"/>
      <c r="V181" s="13"/>
      <c r="W181" s="13"/>
      <c r="X181" s="13"/>
      <c r="Y181" s="13"/>
      <c r="Z181" s="13"/>
      <c r="AA181" s="16"/>
      <c r="AB181" s="13"/>
      <c r="AC181" s="13"/>
      <c r="AD181" s="13"/>
      <c r="AE181" s="29"/>
      <c r="AF181" s="13"/>
      <c r="AG181" s="29"/>
      <c r="AH181" s="16"/>
      <c r="AI181" s="16"/>
      <c r="AJ181" s="13"/>
      <c r="AK181" s="13"/>
      <c r="AL181" s="16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>
      <c r="A182" s="13"/>
      <c r="B182" s="13"/>
      <c r="C182" s="13"/>
      <c r="D182" s="29"/>
      <c r="E182" s="13"/>
      <c r="F182" s="13"/>
      <c r="G182" s="16"/>
      <c r="H182" s="13"/>
      <c r="I182" s="13"/>
      <c r="J182" s="16"/>
      <c r="K182" s="29"/>
      <c r="L182" s="29"/>
      <c r="M182" s="13"/>
      <c r="N182" s="13"/>
      <c r="O182" s="13"/>
      <c r="P182" s="29"/>
      <c r="Q182" s="29"/>
      <c r="R182" s="13"/>
      <c r="S182" s="13"/>
      <c r="T182" s="13"/>
      <c r="U182" s="13"/>
      <c r="V182" s="13"/>
      <c r="W182" s="13"/>
      <c r="X182" s="13"/>
      <c r="Y182" s="13"/>
      <c r="Z182" s="13"/>
      <c r="AA182" s="16"/>
      <c r="AB182" s="13"/>
      <c r="AC182" s="13"/>
      <c r="AD182" s="13"/>
      <c r="AE182" s="29"/>
      <c r="AF182" s="13"/>
      <c r="AG182" s="29"/>
      <c r="AH182" s="16"/>
      <c r="AI182" s="16"/>
      <c r="AJ182" s="13"/>
      <c r="AK182" s="13"/>
      <c r="AL182" s="16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>
      <c r="A183" s="13"/>
      <c r="B183" s="13"/>
      <c r="C183" s="13"/>
      <c r="D183" s="29"/>
      <c r="E183" s="13"/>
      <c r="F183" s="13"/>
      <c r="G183" s="16"/>
      <c r="H183" s="13"/>
      <c r="I183" s="13"/>
      <c r="J183" s="16"/>
      <c r="K183" s="29"/>
      <c r="L183" s="29"/>
      <c r="M183" s="13"/>
      <c r="N183" s="13"/>
      <c r="O183" s="13"/>
      <c r="P183" s="29"/>
      <c r="Q183" s="29"/>
      <c r="R183" s="13"/>
      <c r="S183" s="13"/>
      <c r="T183" s="13"/>
      <c r="U183" s="13"/>
      <c r="V183" s="13"/>
      <c r="W183" s="13"/>
      <c r="X183" s="13"/>
      <c r="Y183" s="13"/>
      <c r="Z183" s="13"/>
      <c r="AA183" s="16"/>
      <c r="AB183" s="13"/>
      <c r="AC183" s="13"/>
      <c r="AD183" s="13"/>
      <c r="AE183" s="29"/>
      <c r="AF183" s="13"/>
      <c r="AG183" s="29"/>
      <c r="AH183" s="16"/>
      <c r="AI183" s="16"/>
      <c r="AJ183" s="13"/>
      <c r="AK183" s="13"/>
      <c r="AL183" s="16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>
      <c r="A184" s="13"/>
      <c r="B184" s="13"/>
      <c r="C184" s="13"/>
      <c r="D184" s="29"/>
      <c r="E184" s="13"/>
      <c r="F184" s="13"/>
      <c r="G184" s="16"/>
      <c r="H184" s="13"/>
      <c r="I184" s="13"/>
      <c r="J184" s="16"/>
      <c r="K184" s="29"/>
      <c r="L184" s="29"/>
      <c r="M184" s="13"/>
      <c r="N184" s="13"/>
      <c r="O184" s="13"/>
      <c r="P184" s="29"/>
      <c r="Q184" s="29"/>
      <c r="R184" s="13"/>
      <c r="S184" s="13"/>
      <c r="T184" s="13"/>
      <c r="U184" s="13"/>
      <c r="V184" s="13"/>
      <c r="W184" s="13"/>
      <c r="X184" s="13"/>
      <c r="Y184" s="13"/>
      <c r="Z184" s="13"/>
      <c r="AA184" s="16"/>
      <c r="AB184" s="13"/>
      <c r="AC184" s="13"/>
      <c r="AD184" s="13"/>
      <c r="AE184" s="29"/>
      <c r="AF184" s="13"/>
      <c r="AG184" s="29"/>
      <c r="AH184" s="16"/>
      <c r="AI184" s="16"/>
      <c r="AJ184" s="13"/>
      <c r="AK184" s="13"/>
      <c r="AL184" s="16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>
      <c r="A185" s="13"/>
      <c r="B185" s="13"/>
      <c r="C185" s="13"/>
      <c r="D185" s="29"/>
      <c r="E185" s="13"/>
      <c r="F185" s="13"/>
      <c r="G185" s="16"/>
      <c r="H185" s="13"/>
      <c r="I185" s="13"/>
      <c r="J185" s="16"/>
      <c r="K185" s="29"/>
      <c r="L185" s="29"/>
      <c r="M185" s="13"/>
      <c r="N185" s="13"/>
      <c r="O185" s="13"/>
      <c r="P185" s="29"/>
      <c r="Q185" s="29"/>
      <c r="R185" s="13"/>
      <c r="S185" s="13"/>
      <c r="T185" s="13"/>
      <c r="U185" s="13"/>
      <c r="V185" s="13"/>
      <c r="W185" s="13"/>
      <c r="X185" s="13"/>
      <c r="Y185" s="13"/>
      <c r="Z185" s="13"/>
      <c r="AA185" s="16"/>
      <c r="AB185" s="13"/>
      <c r="AC185" s="13"/>
      <c r="AD185" s="13"/>
      <c r="AE185" s="29"/>
      <c r="AF185" s="13"/>
      <c r="AG185" s="29"/>
      <c r="AH185" s="16"/>
      <c r="AI185" s="16"/>
      <c r="AJ185" s="13"/>
      <c r="AK185" s="13"/>
      <c r="AL185" s="16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>
      <c r="A186" s="13"/>
      <c r="B186" s="13"/>
      <c r="C186" s="13"/>
      <c r="D186" s="29"/>
      <c r="E186" s="13"/>
      <c r="F186" s="13"/>
      <c r="G186" s="16"/>
      <c r="H186" s="13"/>
      <c r="I186" s="13"/>
      <c r="J186" s="16"/>
      <c r="K186" s="29"/>
      <c r="L186" s="29"/>
      <c r="M186" s="13"/>
      <c r="N186" s="13"/>
      <c r="O186" s="13"/>
      <c r="P186" s="29"/>
      <c r="Q186" s="29"/>
      <c r="R186" s="13"/>
      <c r="S186" s="13"/>
      <c r="T186" s="13"/>
      <c r="U186" s="13"/>
      <c r="V186" s="13"/>
      <c r="W186" s="13"/>
      <c r="X186" s="13"/>
      <c r="Y186" s="13"/>
      <c r="Z186" s="13"/>
      <c r="AA186" s="16"/>
      <c r="AB186" s="13"/>
      <c r="AC186" s="13"/>
      <c r="AD186" s="13"/>
      <c r="AE186" s="29"/>
      <c r="AF186" s="13"/>
      <c r="AG186" s="29"/>
      <c r="AH186" s="16"/>
      <c r="AI186" s="16"/>
      <c r="AJ186" s="13"/>
      <c r="AK186" s="13"/>
      <c r="AL186" s="16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>
      <c r="A187" s="13"/>
      <c r="B187" s="13"/>
      <c r="C187" s="13"/>
      <c r="D187" s="29"/>
      <c r="E187" s="13"/>
      <c r="F187" s="13"/>
      <c r="G187" s="16"/>
      <c r="H187" s="13"/>
      <c r="I187" s="13"/>
      <c r="J187" s="16"/>
      <c r="K187" s="29"/>
      <c r="L187" s="29"/>
      <c r="M187" s="13"/>
      <c r="N187" s="13"/>
      <c r="O187" s="13"/>
      <c r="P187" s="29"/>
      <c r="Q187" s="29"/>
      <c r="R187" s="13"/>
      <c r="S187" s="13"/>
      <c r="T187" s="13"/>
      <c r="U187" s="13"/>
      <c r="V187" s="13"/>
      <c r="W187" s="13"/>
      <c r="X187" s="13"/>
      <c r="Y187" s="13"/>
      <c r="Z187" s="13"/>
      <c r="AA187" s="16"/>
      <c r="AB187" s="13"/>
      <c r="AC187" s="13"/>
      <c r="AD187" s="13"/>
      <c r="AE187" s="29"/>
      <c r="AF187" s="13"/>
      <c r="AG187" s="29"/>
      <c r="AH187" s="16"/>
      <c r="AI187" s="16"/>
      <c r="AJ187" s="13"/>
      <c r="AK187" s="13"/>
      <c r="AL187" s="16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>
      <c r="A188" s="13"/>
      <c r="B188" s="13"/>
      <c r="C188" s="13"/>
      <c r="D188" s="29"/>
      <c r="E188" s="13"/>
      <c r="F188" s="13"/>
      <c r="G188" s="16"/>
      <c r="H188" s="13"/>
      <c r="I188" s="13"/>
      <c r="J188" s="16"/>
      <c r="K188" s="29"/>
      <c r="L188" s="29"/>
      <c r="M188" s="13"/>
      <c r="N188" s="13"/>
      <c r="O188" s="13"/>
      <c r="P188" s="29"/>
      <c r="Q188" s="29"/>
      <c r="R188" s="13"/>
      <c r="S188" s="13"/>
      <c r="T188" s="13"/>
      <c r="U188" s="13"/>
      <c r="V188" s="13"/>
      <c r="W188" s="13"/>
      <c r="X188" s="13"/>
      <c r="Y188" s="13"/>
      <c r="Z188" s="13"/>
      <c r="AA188" s="16"/>
      <c r="AB188" s="13"/>
      <c r="AC188" s="13"/>
      <c r="AD188" s="13"/>
      <c r="AE188" s="29"/>
      <c r="AF188" s="13"/>
      <c r="AG188" s="29"/>
      <c r="AH188" s="16"/>
      <c r="AI188" s="16"/>
      <c r="AJ188" s="13"/>
      <c r="AK188" s="13"/>
      <c r="AL188" s="16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>
      <c r="A189" s="13"/>
      <c r="B189" s="13"/>
      <c r="C189" s="13"/>
      <c r="D189" s="29"/>
      <c r="E189" s="13"/>
      <c r="F189" s="13"/>
      <c r="G189" s="16"/>
      <c r="H189" s="13"/>
      <c r="I189" s="13"/>
      <c r="J189" s="16"/>
      <c r="K189" s="29"/>
      <c r="L189" s="29"/>
      <c r="M189" s="13"/>
      <c r="N189" s="13"/>
      <c r="O189" s="13"/>
      <c r="P189" s="29"/>
      <c r="Q189" s="29"/>
      <c r="R189" s="13"/>
      <c r="S189" s="13"/>
      <c r="T189" s="13"/>
      <c r="U189" s="13"/>
      <c r="V189" s="13"/>
      <c r="W189" s="13"/>
      <c r="X189" s="13"/>
      <c r="Y189" s="13"/>
      <c r="Z189" s="13"/>
      <c r="AA189" s="16"/>
      <c r="AB189" s="13"/>
      <c r="AC189" s="13"/>
      <c r="AD189" s="13"/>
      <c r="AE189" s="29"/>
      <c r="AF189" s="13"/>
      <c r="AG189" s="29"/>
      <c r="AH189" s="16"/>
      <c r="AI189" s="16"/>
      <c r="AJ189" s="13"/>
      <c r="AK189" s="13"/>
      <c r="AL189" s="16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>
      <c r="A190" s="13"/>
      <c r="B190" s="13"/>
      <c r="C190" s="13"/>
      <c r="D190" s="29"/>
      <c r="E190" s="13"/>
      <c r="F190" s="13"/>
      <c r="G190" s="16"/>
      <c r="H190" s="13"/>
      <c r="I190" s="13"/>
      <c r="J190" s="16"/>
      <c r="K190" s="29"/>
      <c r="L190" s="29"/>
      <c r="M190" s="13"/>
      <c r="N190" s="13"/>
      <c r="O190" s="13"/>
      <c r="P190" s="29"/>
      <c r="Q190" s="29"/>
      <c r="R190" s="13"/>
      <c r="S190" s="13"/>
      <c r="T190" s="13"/>
      <c r="U190" s="13"/>
      <c r="V190" s="13"/>
      <c r="W190" s="13"/>
      <c r="X190" s="13"/>
      <c r="Y190" s="13"/>
      <c r="Z190" s="13"/>
      <c r="AA190" s="16"/>
      <c r="AB190" s="13"/>
      <c r="AC190" s="13"/>
      <c r="AD190" s="13"/>
      <c r="AE190" s="29"/>
      <c r="AF190" s="13"/>
      <c r="AG190" s="29"/>
      <c r="AH190" s="16"/>
      <c r="AI190" s="16"/>
      <c r="AJ190" s="13"/>
      <c r="AK190" s="13"/>
      <c r="AL190" s="16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>
      <c r="A191" s="13"/>
      <c r="B191" s="13"/>
      <c r="C191" s="13"/>
      <c r="D191" s="29"/>
      <c r="E191" s="13"/>
      <c r="F191" s="13"/>
      <c r="G191" s="16"/>
      <c r="H191" s="13"/>
      <c r="I191" s="13"/>
      <c r="J191" s="16"/>
      <c r="K191" s="29"/>
      <c r="L191" s="29"/>
      <c r="M191" s="13"/>
      <c r="N191" s="13"/>
      <c r="O191" s="13"/>
      <c r="P191" s="29"/>
      <c r="Q191" s="29"/>
      <c r="R191" s="13"/>
      <c r="S191" s="13"/>
      <c r="T191" s="13"/>
      <c r="U191" s="13"/>
      <c r="V191" s="13"/>
      <c r="W191" s="13"/>
      <c r="X191" s="13"/>
      <c r="Y191" s="13"/>
      <c r="Z191" s="13"/>
      <c r="AA191" s="16"/>
      <c r="AB191" s="13"/>
      <c r="AC191" s="13"/>
      <c r="AD191" s="13"/>
      <c r="AE191" s="29"/>
      <c r="AF191" s="13"/>
      <c r="AG191" s="29"/>
      <c r="AH191" s="16"/>
      <c r="AI191" s="16"/>
      <c r="AJ191" s="13"/>
      <c r="AK191" s="13"/>
      <c r="AL191" s="16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>
      <c r="A192" s="13"/>
      <c r="B192" s="13"/>
      <c r="C192" s="13"/>
      <c r="D192" s="29"/>
      <c r="E192" s="13"/>
      <c r="F192" s="13"/>
      <c r="G192" s="16"/>
      <c r="H192" s="13"/>
      <c r="I192" s="13"/>
      <c r="J192" s="16"/>
      <c r="K192" s="29"/>
      <c r="L192" s="29"/>
      <c r="M192" s="13"/>
      <c r="N192" s="13"/>
      <c r="O192" s="13"/>
      <c r="P192" s="29"/>
      <c r="Q192" s="29"/>
      <c r="R192" s="13"/>
      <c r="S192" s="13"/>
      <c r="T192" s="13"/>
      <c r="U192" s="13"/>
      <c r="V192" s="13"/>
      <c r="W192" s="13"/>
      <c r="X192" s="13"/>
      <c r="Y192" s="13"/>
      <c r="Z192" s="13"/>
      <c r="AA192" s="16"/>
      <c r="AB192" s="13"/>
      <c r="AC192" s="13"/>
      <c r="AD192" s="13"/>
      <c r="AE192" s="29"/>
      <c r="AF192" s="13"/>
      <c r="AG192" s="29"/>
      <c r="AH192" s="16"/>
      <c r="AI192" s="16"/>
      <c r="AJ192" s="13"/>
      <c r="AK192" s="13"/>
      <c r="AL192" s="16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>
      <c r="A193" s="13"/>
      <c r="B193" s="13"/>
      <c r="C193" s="13"/>
      <c r="D193" s="29"/>
      <c r="E193" s="13"/>
      <c r="F193" s="13"/>
      <c r="G193" s="16"/>
      <c r="H193" s="13"/>
      <c r="I193" s="13"/>
      <c r="J193" s="16"/>
      <c r="K193" s="29"/>
      <c r="L193" s="29"/>
      <c r="M193" s="13"/>
      <c r="N193" s="13"/>
      <c r="O193" s="13"/>
      <c r="P193" s="29"/>
      <c r="Q193" s="29"/>
      <c r="R193" s="13"/>
      <c r="S193" s="13"/>
      <c r="T193" s="13"/>
      <c r="U193" s="13"/>
      <c r="V193" s="13"/>
      <c r="W193" s="13"/>
      <c r="X193" s="13"/>
      <c r="Y193" s="13"/>
      <c r="Z193" s="13"/>
      <c r="AA193" s="16"/>
      <c r="AB193" s="13"/>
      <c r="AC193" s="13"/>
      <c r="AD193" s="13"/>
      <c r="AE193" s="29"/>
      <c r="AF193" s="13"/>
      <c r="AG193" s="29"/>
      <c r="AH193" s="16"/>
      <c r="AI193" s="16"/>
      <c r="AJ193" s="13"/>
      <c r="AK193" s="13"/>
      <c r="AL193" s="16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>
      <c r="A194" s="13"/>
      <c r="B194" s="13"/>
      <c r="C194" s="13"/>
      <c r="D194" s="29"/>
      <c r="E194" s="13"/>
      <c r="F194" s="13"/>
      <c r="G194" s="16"/>
      <c r="H194" s="13"/>
      <c r="I194" s="13"/>
      <c r="J194" s="16"/>
      <c r="K194" s="29"/>
      <c r="L194" s="29"/>
      <c r="M194" s="13"/>
      <c r="N194" s="13"/>
      <c r="O194" s="13"/>
      <c r="P194" s="29"/>
      <c r="Q194" s="29"/>
      <c r="R194" s="13"/>
      <c r="S194" s="13"/>
      <c r="T194" s="13"/>
      <c r="U194" s="13"/>
      <c r="V194" s="13"/>
      <c r="W194" s="13"/>
      <c r="X194" s="13"/>
      <c r="Y194" s="13"/>
      <c r="Z194" s="13"/>
      <c r="AA194" s="16"/>
      <c r="AB194" s="13"/>
      <c r="AC194" s="13"/>
      <c r="AD194" s="13"/>
      <c r="AE194" s="29"/>
      <c r="AF194" s="13"/>
      <c r="AG194" s="29"/>
      <c r="AH194" s="16"/>
      <c r="AI194" s="16"/>
      <c r="AJ194" s="13"/>
      <c r="AK194" s="13"/>
      <c r="AL194" s="16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>
      <c r="A195" s="13"/>
      <c r="B195" s="13"/>
      <c r="C195" s="13"/>
      <c r="D195" s="29"/>
      <c r="E195" s="13"/>
      <c r="F195" s="13"/>
      <c r="G195" s="16"/>
      <c r="H195" s="13"/>
      <c r="I195" s="13"/>
      <c r="J195" s="16"/>
      <c r="K195" s="29"/>
      <c r="L195" s="29"/>
      <c r="M195" s="13"/>
      <c r="N195" s="13"/>
      <c r="O195" s="13"/>
      <c r="P195" s="29"/>
      <c r="Q195" s="29"/>
      <c r="R195" s="13"/>
      <c r="S195" s="13"/>
      <c r="T195" s="13"/>
      <c r="U195" s="13"/>
      <c r="V195" s="13"/>
      <c r="W195" s="13"/>
      <c r="X195" s="13"/>
      <c r="Y195" s="13"/>
      <c r="Z195" s="13"/>
      <c r="AA195" s="16"/>
      <c r="AB195" s="13"/>
      <c r="AC195" s="13"/>
      <c r="AD195" s="13"/>
      <c r="AE195" s="29"/>
      <c r="AF195" s="13"/>
      <c r="AG195" s="29"/>
      <c r="AH195" s="16"/>
      <c r="AI195" s="16"/>
      <c r="AJ195" s="13"/>
      <c r="AK195" s="13"/>
      <c r="AL195" s="16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>
      <c r="A196" s="13"/>
      <c r="B196" s="13"/>
      <c r="C196" s="13"/>
      <c r="D196" s="29"/>
      <c r="E196" s="13"/>
      <c r="F196" s="13"/>
      <c r="G196" s="16"/>
      <c r="H196" s="13"/>
      <c r="I196" s="13"/>
      <c r="J196" s="16"/>
      <c r="K196" s="29"/>
      <c r="L196" s="29"/>
      <c r="M196" s="13"/>
      <c r="N196" s="13"/>
      <c r="O196" s="13"/>
      <c r="P196" s="29"/>
      <c r="Q196" s="29"/>
      <c r="R196" s="13"/>
      <c r="S196" s="13"/>
      <c r="T196" s="13"/>
      <c r="U196" s="13"/>
      <c r="V196" s="13"/>
      <c r="W196" s="13"/>
      <c r="X196" s="13"/>
      <c r="Y196" s="13"/>
      <c r="Z196" s="13"/>
      <c r="AA196" s="16"/>
      <c r="AB196" s="13"/>
      <c r="AC196" s="13"/>
      <c r="AD196" s="13"/>
      <c r="AE196" s="29"/>
      <c r="AF196" s="13"/>
      <c r="AG196" s="29"/>
      <c r="AH196" s="16"/>
      <c r="AI196" s="16"/>
      <c r="AJ196" s="13"/>
      <c r="AK196" s="13"/>
      <c r="AL196" s="16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>
      <c r="A197" s="13"/>
      <c r="B197" s="13"/>
      <c r="C197" s="13"/>
      <c r="D197" s="29"/>
      <c r="E197" s="13"/>
      <c r="F197" s="13"/>
      <c r="G197" s="16"/>
      <c r="H197" s="13"/>
      <c r="I197" s="13"/>
      <c r="J197" s="16"/>
      <c r="K197" s="29"/>
      <c r="L197" s="29"/>
      <c r="M197" s="13"/>
      <c r="N197" s="13"/>
      <c r="O197" s="13"/>
      <c r="P197" s="29"/>
      <c r="Q197" s="29"/>
      <c r="R197" s="13"/>
      <c r="S197" s="13"/>
      <c r="T197" s="13"/>
      <c r="U197" s="13"/>
      <c r="V197" s="13"/>
      <c r="W197" s="13"/>
      <c r="X197" s="13"/>
      <c r="Y197" s="13"/>
      <c r="Z197" s="13"/>
      <c r="AA197" s="16"/>
      <c r="AB197" s="13"/>
      <c r="AC197" s="13"/>
      <c r="AD197" s="13"/>
      <c r="AE197" s="29"/>
      <c r="AF197" s="13"/>
      <c r="AG197" s="29"/>
      <c r="AH197" s="16"/>
      <c r="AI197" s="16"/>
      <c r="AJ197" s="13"/>
      <c r="AK197" s="13"/>
      <c r="AL197" s="16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>
      <c r="A198" s="13"/>
      <c r="B198" s="13"/>
      <c r="C198" s="13"/>
      <c r="D198" s="29"/>
      <c r="E198" s="13"/>
      <c r="F198" s="13"/>
      <c r="G198" s="16"/>
      <c r="H198" s="13"/>
      <c r="I198" s="13"/>
      <c r="J198" s="16"/>
      <c r="K198" s="29"/>
      <c r="L198" s="29"/>
      <c r="M198" s="13"/>
      <c r="N198" s="13"/>
      <c r="O198" s="13"/>
      <c r="P198" s="29"/>
      <c r="Q198" s="29"/>
      <c r="R198" s="13"/>
      <c r="S198" s="13"/>
      <c r="T198" s="13"/>
      <c r="U198" s="13"/>
      <c r="V198" s="13"/>
      <c r="W198" s="13"/>
      <c r="X198" s="13"/>
      <c r="Y198" s="13"/>
      <c r="Z198" s="13"/>
      <c r="AA198" s="16"/>
      <c r="AB198" s="13"/>
      <c r="AC198" s="13"/>
      <c r="AD198" s="13"/>
      <c r="AE198" s="29"/>
      <c r="AF198" s="13"/>
      <c r="AG198" s="29"/>
      <c r="AH198" s="16"/>
      <c r="AI198" s="16"/>
      <c r="AJ198" s="13"/>
      <c r="AK198" s="13"/>
      <c r="AL198" s="16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>
      <c r="A199" s="13"/>
      <c r="B199" s="13"/>
      <c r="C199" s="13"/>
      <c r="D199" s="29"/>
      <c r="E199" s="13"/>
      <c r="F199" s="13"/>
      <c r="G199" s="16"/>
      <c r="H199" s="13"/>
      <c r="I199" s="13"/>
      <c r="J199" s="16"/>
      <c r="K199" s="29"/>
      <c r="L199" s="29"/>
      <c r="M199" s="13"/>
      <c r="N199" s="13"/>
      <c r="O199" s="13"/>
      <c r="P199" s="29"/>
      <c r="Q199" s="29"/>
      <c r="R199" s="13"/>
      <c r="S199" s="13"/>
      <c r="T199" s="13"/>
      <c r="U199" s="13"/>
      <c r="V199" s="13"/>
      <c r="W199" s="13"/>
      <c r="X199" s="13"/>
      <c r="Y199" s="13"/>
      <c r="Z199" s="13"/>
      <c r="AA199" s="16"/>
      <c r="AB199" s="13"/>
      <c r="AC199" s="13"/>
      <c r="AD199" s="13"/>
      <c r="AE199" s="29"/>
      <c r="AF199" s="13"/>
      <c r="AG199" s="29"/>
      <c r="AH199" s="16"/>
      <c r="AI199" s="16"/>
      <c r="AJ199" s="13"/>
      <c r="AK199" s="13"/>
      <c r="AL199" s="16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>
      <c r="A200" s="13"/>
      <c r="B200" s="13"/>
      <c r="C200" s="13"/>
      <c r="D200" s="29"/>
      <c r="E200" s="13"/>
      <c r="F200" s="13"/>
      <c r="G200" s="16"/>
      <c r="H200" s="13"/>
      <c r="I200" s="13"/>
      <c r="J200" s="16"/>
      <c r="K200" s="29"/>
      <c r="L200" s="29"/>
      <c r="M200" s="13"/>
      <c r="N200" s="13"/>
      <c r="O200" s="13"/>
      <c r="P200" s="29"/>
      <c r="Q200" s="29"/>
      <c r="R200" s="13"/>
      <c r="S200" s="13"/>
      <c r="T200" s="13"/>
      <c r="U200" s="13"/>
      <c r="V200" s="13"/>
      <c r="W200" s="13"/>
      <c r="X200" s="13"/>
      <c r="Y200" s="13"/>
      <c r="Z200" s="13"/>
      <c r="AA200" s="16"/>
      <c r="AB200" s="13"/>
      <c r="AC200" s="13"/>
      <c r="AD200" s="13"/>
      <c r="AE200" s="29"/>
      <c r="AF200" s="13"/>
      <c r="AG200" s="29"/>
      <c r="AH200" s="16"/>
      <c r="AI200" s="16"/>
      <c r="AJ200" s="13"/>
      <c r="AK200" s="13"/>
      <c r="AL200" s="16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>
      <c r="A201" s="13"/>
      <c r="B201" s="13"/>
      <c r="C201" s="13"/>
      <c r="D201" s="29"/>
      <c r="E201" s="13"/>
      <c r="F201" s="13"/>
      <c r="G201" s="16"/>
      <c r="H201" s="13"/>
      <c r="I201" s="13"/>
      <c r="J201" s="16"/>
      <c r="K201" s="29"/>
      <c r="L201" s="29"/>
      <c r="M201" s="13"/>
      <c r="N201" s="13"/>
      <c r="O201" s="13"/>
      <c r="P201" s="29"/>
      <c r="Q201" s="29"/>
      <c r="R201" s="13"/>
      <c r="S201" s="13"/>
      <c r="T201" s="13"/>
      <c r="U201" s="13"/>
      <c r="V201" s="13"/>
      <c r="W201" s="13"/>
      <c r="X201" s="13"/>
      <c r="Y201" s="13"/>
      <c r="Z201" s="13"/>
      <c r="AA201" s="16"/>
      <c r="AB201" s="13"/>
      <c r="AC201" s="13"/>
      <c r="AD201" s="13"/>
      <c r="AE201" s="29"/>
      <c r="AF201" s="13"/>
      <c r="AG201" s="29"/>
      <c r="AH201" s="16"/>
      <c r="AI201" s="16"/>
      <c r="AJ201" s="13"/>
      <c r="AK201" s="13"/>
      <c r="AL201" s="16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>
      <c r="A202" s="13"/>
      <c r="B202" s="13"/>
      <c r="C202" s="13"/>
      <c r="D202" s="29"/>
      <c r="E202" s="13"/>
      <c r="F202" s="13"/>
      <c r="G202" s="16"/>
      <c r="H202" s="13"/>
      <c r="I202" s="13"/>
      <c r="J202" s="16"/>
      <c r="K202" s="29"/>
      <c r="L202" s="29"/>
      <c r="M202" s="13"/>
      <c r="N202" s="13"/>
      <c r="O202" s="13"/>
      <c r="P202" s="29"/>
      <c r="Q202" s="29"/>
      <c r="R202" s="13"/>
      <c r="S202" s="13"/>
      <c r="T202" s="13"/>
      <c r="U202" s="13"/>
      <c r="V202" s="13"/>
      <c r="W202" s="13"/>
      <c r="X202" s="13"/>
      <c r="Y202" s="13"/>
      <c r="Z202" s="13"/>
      <c r="AA202" s="16"/>
      <c r="AB202" s="13"/>
      <c r="AC202" s="13"/>
      <c r="AD202" s="13"/>
      <c r="AE202" s="29"/>
      <c r="AF202" s="13"/>
      <c r="AG202" s="29"/>
      <c r="AH202" s="16"/>
      <c r="AI202" s="16"/>
      <c r="AJ202" s="13"/>
      <c r="AK202" s="13"/>
      <c r="AL202" s="16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>
      <c r="A203" s="13"/>
      <c r="B203" s="13"/>
      <c r="C203" s="13"/>
      <c r="D203" s="29"/>
      <c r="E203" s="13"/>
      <c r="F203" s="13"/>
      <c r="G203" s="16"/>
      <c r="H203" s="13"/>
      <c r="I203" s="13"/>
      <c r="J203" s="16"/>
      <c r="K203" s="29"/>
      <c r="L203" s="29"/>
      <c r="M203" s="13"/>
      <c r="N203" s="13"/>
      <c r="O203" s="13"/>
      <c r="P203" s="29"/>
      <c r="Q203" s="29"/>
      <c r="R203" s="13"/>
      <c r="S203" s="13"/>
      <c r="T203" s="13"/>
      <c r="U203" s="13"/>
      <c r="V203" s="13"/>
      <c r="W203" s="13"/>
      <c r="X203" s="13"/>
      <c r="Y203" s="13"/>
      <c r="Z203" s="13"/>
      <c r="AA203" s="16"/>
      <c r="AB203" s="13"/>
      <c r="AC203" s="13"/>
      <c r="AD203" s="13"/>
      <c r="AE203" s="29"/>
      <c r="AF203" s="13"/>
      <c r="AG203" s="29"/>
      <c r="AH203" s="16"/>
      <c r="AI203" s="16"/>
      <c r="AJ203" s="13"/>
      <c r="AK203" s="13"/>
      <c r="AL203" s="16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>
      <c r="A204" s="13"/>
      <c r="B204" s="13"/>
      <c r="C204" s="13"/>
      <c r="D204" s="29"/>
      <c r="E204" s="13"/>
      <c r="F204" s="13"/>
      <c r="G204" s="16"/>
      <c r="H204" s="13"/>
      <c r="I204" s="13"/>
      <c r="J204" s="16"/>
      <c r="K204" s="29"/>
      <c r="L204" s="29"/>
      <c r="M204" s="13"/>
      <c r="N204" s="13"/>
      <c r="O204" s="13"/>
      <c r="P204" s="29"/>
      <c r="Q204" s="29"/>
      <c r="R204" s="13"/>
      <c r="S204" s="13"/>
      <c r="T204" s="13"/>
      <c r="U204" s="13"/>
      <c r="V204" s="13"/>
      <c r="W204" s="13"/>
      <c r="X204" s="13"/>
      <c r="Y204" s="13"/>
      <c r="Z204" s="13"/>
      <c r="AA204" s="16"/>
      <c r="AB204" s="13"/>
      <c r="AC204" s="13"/>
      <c r="AD204" s="13"/>
      <c r="AE204" s="29"/>
      <c r="AF204" s="13"/>
      <c r="AG204" s="29"/>
      <c r="AH204" s="16"/>
      <c r="AI204" s="16"/>
      <c r="AJ204" s="13"/>
      <c r="AK204" s="13"/>
      <c r="AL204" s="16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>
      <c r="A205" s="13"/>
      <c r="B205" s="13"/>
      <c r="C205" s="13"/>
      <c r="D205" s="29"/>
      <c r="E205" s="13"/>
      <c r="F205" s="13"/>
      <c r="G205" s="16"/>
      <c r="H205" s="13"/>
      <c r="I205" s="13"/>
      <c r="J205" s="16"/>
      <c r="K205" s="29"/>
      <c r="L205" s="29"/>
      <c r="M205" s="13"/>
      <c r="N205" s="13"/>
      <c r="O205" s="13"/>
      <c r="P205" s="29"/>
      <c r="Q205" s="29"/>
      <c r="R205" s="13"/>
      <c r="S205" s="13"/>
      <c r="T205" s="13"/>
      <c r="U205" s="13"/>
      <c r="V205" s="13"/>
      <c r="W205" s="13"/>
      <c r="X205" s="13"/>
      <c r="Y205" s="13"/>
      <c r="Z205" s="13"/>
      <c r="AA205" s="16"/>
      <c r="AB205" s="13"/>
      <c r="AC205" s="13"/>
      <c r="AD205" s="13"/>
      <c r="AE205" s="29"/>
      <c r="AF205" s="13"/>
      <c r="AG205" s="29"/>
      <c r="AH205" s="16"/>
      <c r="AI205" s="16"/>
      <c r="AJ205" s="13"/>
      <c r="AK205" s="13"/>
      <c r="AL205" s="16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>
      <c r="A206" s="13"/>
      <c r="B206" s="13"/>
      <c r="C206" s="13"/>
      <c r="D206" s="29"/>
      <c r="E206" s="13"/>
      <c r="F206" s="13"/>
      <c r="G206" s="16"/>
      <c r="H206" s="13"/>
      <c r="I206" s="13"/>
      <c r="J206" s="16"/>
      <c r="K206" s="29"/>
      <c r="L206" s="29"/>
      <c r="M206" s="13"/>
      <c r="N206" s="13"/>
      <c r="O206" s="13"/>
      <c r="P206" s="29"/>
      <c r="Q206" s="29"/>
      <c r="R206" s="13"/>
      <c r="S206" s="13"/>
      <c r="T206" s="13"/>
      <c r="U206" s="13"/>
      <c r="V206" s="13"/>
      <c r="W206" s="13"/>
      <c r="X206" s="13"/>
      <c r="Y206" s="13"/>
      <c r="Z206" s="13"/>
      <c r="AA206" s="16"/>
      <c r="AB206" s="13"/>
      <c r="AC206" s="13"/>
      <c r="AD206" s="13"/>
      <c r="AE206" s="29"/>
      <c r="AF206" s="13"/>
      <c r="AG206" s="29"/>
      <c r="AH206" s="16"/>
      <c r="AI206" s="16"/>
      <c r="AJ206" s="13"/>
      <c r="AK206" s="13"/>
      <c r="AL206" s="16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>
      <c r="A207" s="13"/>
      <c r="B207" s="13"/>
      <c r="C207" s="13"/>
      <c r="D207" s="29"/>
      <c r="E207" s="13"/>
      <c r="F207" s="13"/>
      <c r="G207" s="16"/>
      <c r="H207" s="13"/>
      <c r="I207" s="13"/>
      <c r="J207" s="16"/>
      <c r="K207" s="29"/>
      <c r="L207" s="29"/>
      <c r="M207" s="13"/>
      <c r="N207" s="13"/>
      <c r="O207" s="13"/>
      <c r="P207" s="29"/>
      <c r="Q207" s="29"/>
      <c r="R207" s="13"/>
      <c r="S207" s="13"/>
      <c r="T207" s="13"/>
      <c r="U207" s="13"/>
      <c r="V207" s="13"/>
      <c r="W207" s="13"/>
      <c r="X207" s="13"/>
      <c r="Y207" s="13"/>
      <c r="Z207" s="13"/>
      <c r="AA207" s="16"/>
      <c r="AB207" s="13"/>
      <c r="AC207" s="13"/>
      <c r="AD207" s="13"/>
      <c r="AE207" s="29"/>
      <c r="AF207" s="13"/>
      <c r="AG207" s="29"/>
      <c r="AH207" s="16"/>
      <c r="AI207" s="16"/>
      <c r="AJ207" s="13"/>
      <c r="AK207" s="13"/>
      <c r="AL207" s="16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>
      <c r="A208" s="13"/>
      <c r="B208" s="13"/>
      <c r="C208" s="13"/>
      <c r="D208" s="29"/>
      <c r="E208" s="13"/>
      <c r="F208" s="13"/>
      <c r="G208" s="16"/>
      <c r="H208" s="13"/>
      <c r="I208" s="13"/>
      <c r="J208" s="16"/>
      <c r="K208" s="29"/>
      <c r="L208" s="29"/>
      <c r="M208" s="13"/>
      <c r="N208" s="13"/>
      <c r="O208" s="13"/>
      <c r="P208" s="29"/>
      <c r="Q208" s="29"/>
      <c r="R208" s="13"/>
      <c r="S208" s="13"/>
      <c r="T208" s="13"/>
      <c r="U208" s="13"/>
      <c r="V208" s="13"/>
      <c r="W208" s="13"/>
      <c r="X208" s="13"/>
      <c r="Y208" s="13"/>
      <c r="Z208" s="13"/>
      <c r="AA208" s="16"/>
      <c r="AB208" s="13"/>
      <c r="AC208" s="13"/>
      <c r="AD208" s="13"/>
      <c r="AE208" s="29"/>
      <c r="AF208" s="13"/>
      <c r="AG208" s="29"/>
      <c r="AH208" s="16"/>
      <c r="AI208" s="16"/>
      <c r="AJ208" s="13"/>
      <c r="AK208" s="13"/>
      <c r="AL208" s="16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>
      <c r="A209" s="13"/>
      <c r="B209" s="13"/>
      <c r="C209" s="13"/>
      <c r="D209" s="29"/>
      <c r="E209" s="13"/>
      <c r="F209" s="13"/>
      <c r="G209" s="16"/>
      <c r="H209" s="13"/>
      <c r="I209" s="13"/>
      <c r="J209" s="16"/>
      <c r="K209" s="29"/>
      <c r="L209" s="29"/>
      <c r="M209" s="13"/>
      <c r="N209" s="13"/>
      <c r="O209" s="13"/>
      <c r="P209" s="29"/>
      <c r="Q209" s="29"/>
      <c r="R209" s="13"/>
      <c r="S209" s="13"/>
      <c r="T209" s="13"/>
      <c r="U209" s="13"/>
      <c r="V209" s="13"/>
      <c r="W209" s="13"/>
      <c r="X209" s="13"/>
      <c r="Y209" s="13"/>
      <c r="Z209" s="13"/>
      <c r="AA209" s="16"/>
      <c r="AB209" s="13"/>
      <c r="AC209" s="13"/>
      <c r="AD209" s="13"/>
      <c r="AE209" s="29"/>
      <c r="AF209" s="13"/>
      <c r="AG209" s="29"/>
      <c r="AH209" s="16"/>
      <c r="AI209" s="16"/>
      <c r="AJ209" s="13"/>
      <c r="AK209" s="13"/>
      <c r="AL209" s="16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>
      <c r="A210" s="13"/>
      <c r="B210" s="13"/>
      <c r="C210" s="13"/>
      <c r="D210" s="29"/>
      <c r="E210" s="13"/>
      <c r="F210" s="13"/>
      <c r="G210" s="16"/>
      <c r="H210" s="13"/>
      <c r="I210" s="13"/>
      <c r="J210" s="16"/>
      <c r="K210" s="29"/>
      <c r="L210" s="29"/>
      <c r="M210" s="13"/>
      <c r="N210" s="13"/>
      <c r="O210" s="13"/>
      <c r="P210" s="29"/>
      <c r="Q210" s="29"/>
      <c r="R210" s="13"/>
      <c r="S210" s="13"/>
      <c r="T210" s="13"/>
      <c r="U210" s="13"/>
      <c r="V210" s="13"/>
      <c r="W210" s="13"/>
      <c r="X210" s="13"/>
      <c r="Y210" s="13"/>
      <c r="Z210" s="13"/>
      <c r="AA210" s="16"/>
      <c r="AB210" s="13"/>
      <c r="AC210" s="13"/>
      <c r="AD210" s="13"/>
      <c r="AE210" s="29"/>
      <c r="AF210" s="13"/>
      <c r="AG210" s="29"/>
      <c r="AH210" s="16"/>
      <c r="AI210" s="16"/>
      <c r="AJ210" s="13"/>
      <c r="AK210" s="13"/>
      <c r="AL210" s="16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>
      <c r="A211" s="13"/>
      <c r="B211" s="13"/>
      <c r="C211" s="13"/>
      <c r="D211" s="29"/>
      <c r="E211" s="13"/>
      <c r="F211" s="13"/>
      <c r="G211" s="16"/>
      <c r="H211" s="13"/>
      <c r="I211" s="13"/>
      <c r="J211" s="16"/>
      <c r="K211" s="29"/>
      <c r="L211" s="29"/>
      <c r="M211" s="13"/>
      <c r="N211" s="13"/>
      <c r="O211" s="13"/>
      <c r="P211" s="29"/>
      <c r="Q211" s="29"/>
      <c r="R211" s="13"/>
      <c r="S211" s="13"/>
      <c r="T211" s="13"/>
      <c r="U211" s="13"/>
      <c r="V211" s="13"/>
      <c r="W211" s="13"/>
      <c r="X211" s="13"/>
      <c r="Y211" s="13"/>
      <c r="Z211" s="13"/>
      <c r="AA211" s="16"/>
      <c r="AB211" s="13"/>
      <c r="AC211" s="13"/>
      <c r="AD211" s="13"/>
      <c r="AE211" s="29"/>
      <c r="AF211" s="13"/>
      <c r="AG211" s="29"/>
      <c r="AH211" s="16"/>
      <c r="AI211" s="16"/>
      <c r="AJ211" s="13"/>
      <c r="AK211" s="13"/>
      <c r="AL211" s="16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>
      <c r="A212" s="13"/>
      <c r="B212" s="13"/>
      <c r="C212" s="13"/>
      <c r="D212" s="29"/>
      <c r="E212" s="13"/>
      <c r="F212" s="13"/>
      <c r="G212" s="16"/>
      <c r="H212" s="13"/>
      <c r="I212" s="13"/>
      <c r="J212" s="16"/>
      <c r="K212" s="29"/>
      <c r="L212" s="29"/>
      <c r="M212" s="13"/>
      <c r="N212" s="13"/>
      <c r="O212" s="13"/>
      <c r="P212" s="29"/>
      <c r="Q212" s="29"/>
      <c r="R212" s="13"/>
      <c r="S212" s="13"/>
      <c r="T212" s="13"/>
      <c r="U212" s="13"/>
      <c r="V212" s="13"/>
      <c r="W212" s="13"/>
      <c r="X212" s="13"/>
      <c r="Y212" s="13"/>
      <c r="Z212" s="13"/>
      <c r="AA212" s="16"/>
      <c r="AB212" s="13"/>
      <c r="AC212" s="13"/>
      <c r="AD212" s="13"/>
      <c r="AE212" s="29"/>
      <c r="AF212" s="13"/>
      <c r="AG212" s="29"/>
      <c r="AH212" s="16"/>
      <c r="AI212" s="16"/>
      <c r="AJ212" s="13"/>
      <c r="AK212" s="13"/>
      <c r="AL212" s="16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>
      <c r="A213" s="13"/>
      <c r="B213" s="13"/>
      <c r="C213" s="13"/>
      <c r="D213" s="29"/>
      <c r="E213" s="13"/>
      <c r="F213" s="13"/>
      <c r="G213" s="16"/>
      <c r="H213" s="13"/>
      <c r="I213" s="13"/>
      <c r="J213" s="16"/>
      <c r="K213" s="29"/>
      <c r="L213" s="29"/>
      <c r="M213" s="13"/>
      <c r="N213" s="13"/>
      <c r="O213" s="13"/>
      <c r="P213" s="29"/>
      <c r="Q213" s="29"/>
      <c r="R213" s="13"/>
      <c r="S213" s="13"/>
      <c r="T213" s="13"/>
      <c r="U213" s="13"/>
      <c r="V213" s="13"/>
      <c r="W213" s="13"/>
      <c r="X213" s="13"/>
      <c r="Y213" s="13"/>
      <c r="Z213" s="13"/>
      <c r="AA213" s="16"/>
      <c r="AB213" s="13"/>
      <c r="AC213" s="13"/>
      <c r="AD213" s="13"/>
      <c r="AE213" s="29"/>
      <c r="AF213" s="13"/>
      <c r="AG213" s="29"/>
      <c r="AH213" s="16"/>
      <c r="AI213" s="16"/>
      <c r="AJ213" s="13"/>
      <c r="AK213" s="13"/>
      <c r="AL213" s="16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>
      <c r="A214" s="13"/>
      <c r="B214" s="13"/>
      <c r="C214" s="13"/>
      <c r="D214" s="29"/>
      <c r="E214" s="13"/>
      <c r="F214" s="13"/>
      <c r="G214" s="16"/>
      <c r="H214" s="13"/>
      <c r="I214" s="13"/>
      <c r="J214" s="16"/>
      <c r="K214" s="29"/>
      <c r="L214" s="29"/>
      <c r="M214" s="13"/>
      <c r="N214" s="13"/>
      <c r="O214" s="13"/>
      <c r="P214" s="29"/>
      <c r="Q214" s="29"/>
      <c r="R214" s="13"/>
      <c r="S214" s="13"/>
      <c r="T214" s="13"/>
      <c r="U214" s="13"/>
      <c r="V214" s="13"/>
      <c r="W214" s="13"/>
      <c r="X214" s="13"/>
      <c r="Y214" s="13"/>
      <c r="Z214" s="13"/>
      <c r="AA214" s="16"/>
      <c r="AB214" s="13"/>
      <c r="AC214" s="13"/>
      <c r="AD214" s="13"/>
      <c r="AE214" s="29"/>
      <c r="AF214" s="13"/>
      <c r="AG214" s="29"/>
      <c r="AH214" s="16"/>
      <c r="AI214" s="16"/>
      <c r="AJ214" s="13"/>
      <c r="AK214" s="13"/>
      <c r="AL214" s="16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>
      <c r="A215" s="13"/>
      <c r="B215" s="13"/>
      <c r="C215" s="13"/>
      <c r="D215" s="29"/>
      <c r="E215" s="13"/>
      <c r="F215" s="13"/>
      <c r="G215" s="16"/>
      <c r="H215" s="13"/>
      <c r="I215" s="13"/>
      <c r="J215" s="16"/>
      <c r="K215" s="29"/>
      <c r="L215" s="29"/>
      <c r="M215" s="13"/>
      <c r="N215" s="13"/>
      <c r="O215" s="13"/>
      <c r="P215" s="29"/>
      <c r="Q215" s="29"/>
      <c r="R215" s="13"/>
      <c r="S215" s="13"/>
      <c r="T215" s="13"/>
      <c r="U215" s="13"/>
      <c r="V215" s="13"/>
      <c r="W215" s="13"/>
      <c r="X215" s="13"/>
      <c r="Y215" s="13"/>
      <c r="Z215" s="13"/>
      <c r="AA215" s="16"/>
      <c r="AB215" s="13"/>
      <c r="AC215" s="13"/>
      <c r="AD215" s="13"/>
      <c r="AE215" s="29"/>
      <c r="AF215" s="13"/>
      <c r="AG215" s="29"/>
      <c r="AH215" s="16"/>
      <c r="AI215" s="16"/>
      <c r="AJ215" s="13"/>
      <c r="AK215" s="13"/>
      <c r="AL215" s="16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>
      <c r="A216" s="13"/>
      <c r="B216" s="13"/>
      <c r="C216" s="13"/>
      <c r="D216" s="29"/>
      <c r="E216" s="13"/>
      <c r="F216" s="13"/>
      <c r="G216" s="16"/>
      <c r="H216" s="13"/>
      <c r="I216" s="13"/>
      <c r="J216" s="16"/>
      <c r="K216" s="29"/>
      <c r="L216" s="29"/>
      <c r="M216" s="13"/>
      <c r="N216" s="13"/>
      <c r="O216" s="13"/>
      <c r="P216" s="29"/>
      <c r="Q216" s="29"/>
      <c r="R216" s="13"/>
      <c r="S216" s="13"/>
      <c r="T216" s="13"/>
      <c r="U216" s="13"/>
      <c r="V216" s="13"/>
      <c r="W216" s="13"/>
      <c r="X216" s="13"/>
      <c r="Y216" s="13"/>
      <c r="Z216" s="13"/>
      <c r="AA216" s="16"/>
      <c r="AB216" s="13"/>
      <c r="AC216" s="13"/>
      <c r="AD216" s="13"/>
      <c r="AE216" s="29"/>
      <c r="AF216" s="13"/>
      <c r="AG216" s="29"/>
      <c r="AH216" s="16"/>
      <c r="AI216" s="16"/>
      <c r="AJ216" s="13"/>
      <c r="AK216" s="13"/>
      <c r="AL216" s="16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>
      <c r="A217" s="13"/>
      <c r="B217" s="13"/>
      <c r="C217" s="13"/>
      <c r="D217" s="29"/>
      <c r="E217" s="13"/>
      <c r="F217" s="13"/>
      <c r="G217" s="16"/>
      <c r="H217" s="13"/>
      <c r="I217" s="13"/>
      <c r="J217" s="16"/>
      <c r="K217" s="29"/>
      <c r="L217" s="29"/>
      <c r="M217" s="13"/>
      <c r="N217" s="13"/>
      <c r="O217" s="13"/>
      <c r="P217" s="29"/>
      <c r="Q217" s="29"/>
      <c r="R217" s="13"/>
      <c r="S217" s="13"/>
      <c r="T217" s="13"/>
      <c r="U217" s="13"/>
      <c r="V217" s="13"/>
      <c r="W217" s="13"/>
      <c r="X217" s="13"/>
      <c r="Y217" s="13"/>
      <c r="Z217" s="13"/>
      <c r="AA217" s="16"/>
      <c r="AB217" s="13"/>
      <c r="AC217" s="13"/>
      <c r="AD217" s="13"/>
      <c r="AE217" s="29"/>
      <c r="AF217" s="13"/>
      <c r="AG217" s="29"/>
      <c r="AH217" s="16"/>
      <c r="AI217" s="16"/>
      <c r="AJ217" s="13"/>
      <c r="AK217" s="13"/>
      <c r="AL217" s="16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>
      <c r="A218" s="13"/>
      <c r="B218" s="13"/>
      <c r="C218" s="13"/>
      <c r="D218" s="29"/>
      <c r="E218" s="13"/>
      <c r="F218" s="13"/>
      <c r="G218" s="16"/>
      <c r="H218" s="13"/>
      <c r="I218" s="13"/>
      <c r="J218" s="16"/>
      <c r="K218" s="29"/>
      <c r="L218" s="29"/>
      <c r="M218" s="13"/>
      <c r="N218" s="13"/>
      <c r="O218" s="13"/>
      <c r="P218" s="29"/>
      <c r="Q218" s="29"/>
      <c r="R218" s="13"/>
      <c r="S218" s="13"/>
      <c r="T218" s="13"/>
      <c r="U218" s="13"/>
      <c r="V218" s="13"/>
      <c r="W218" s="13"/>
      <c r="X218" s="13"/>
      <c r="Y218" s="13"/>
      <c r="Z218" s="13"/>
      <c r="AA218" s="16"/>
      <c r="AB218" s="13"/>
      <c r="AC218" s="13"/>
      <c r="AD218" s="13"/>
      <c r="AE218" s="29"/>
      <c r="AF218" s="13"/>
      <c r="AG218" s="29"/>
      <c r="AH218" s="16"/>
      <c r="AI218" s="16"/>
      <c r="AJ218" s="13"/>
      <c r="AK218" s="13"/>
      <c r="AL218" s="16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>
      <c r="A219" s="13"/>
      <c r="B219" s="13"/>
      <c r="C219" s="13"/>
      <c r="D219" s="29"/>
      <c r="E219" s="13"/>
      <c r="F219" s="13"/>
      <c r="G219" s="16"/>
      <c r="H219" s="13"/>
      <c r="I219" s="13"/>
      <c r="J219" s="16"/>
      <c r="K219" s="29"/>
      <c r="L219" s="29"/>
      <c r="M219" s="13"/>
      <c r="N219" s="13"/>
      <c r="O219" s="13"/>
      <c r="P219" s="29"/>
      <c r="Q219" s="29"/>
      <c r="R219" s="13"/>
      <c r="S219" s="13"/>
      <c r="T219" s="13"/>
      <c r="U219" s="13"/>
      <c r="V219" s="13"/>
      <c r="W219" s="13"/>
      <c r="X219" s="13"/>
      <c r="Y219" s="13"/>
      <c r="Z219" s="13"/>
      <c r="AA219" s="16"/>
      <c r="AB219" s="13"/>
      <c r="AC219" s="13"/>
      <c r="AD219" s="13"/>
      <c r="AE219" s="29"/>
      <c r="AF219" s="13"/>
      <c r="AG219" s="29"/>
      <c r="AH219" s="16"/>
      <c r="AI219" s="16"/>
      <c r="AJ219" s="13"/>
      <c r="AK219" s="13"/>
      <c r="AL219" s="16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>
      <c r="A220" s="13"/>
      <c r="B220" s="13"/>
      <c r="C220" s="13"/>
      <c r="D220" s="29"/>
      <c r="E220" s="13"/>
      <c r="F220" s="13"/>
      <c r="G220" s="16"/>
      <c r="H220" s="13"/>
      <c r="I220" s="13"/>
      <c r="J220" s="16"/>
      <c r="K220" s="29"/>
      <c r="L220" s="29"/>
      <c r="M220" s="13"/>
      <c r="N220" s="13"/>
      <c r="O220" s="13"/>
      <c r="P220" s="29"/>
      <c r="Q220" s="29"/>
      <c r="R220" s="13"/>
      <c r="S220" s="13"/>
      <c r="T220" s="13"/>
      <c r="U220" s="13"/>
      <c r="V220" s="13"/>
      <c r="W220" s="13"/>
      <c r="X220" s="13"/>
      <c r="Y220" s="13"/>
      <c r="Z220" s="13"/>
      <c r="AA220" s="16"/>
      <c r="AB220" s="13"/>
      <c r="AC220" s="13"/>
      <c r="AD220" s="13"/>
      <c r="AE220" s="29"/>
      <c r="AF220" s="13"/>
      <c r="AG220" s="29"/>
      <c r="AH220" s="16"/>
      <c r="AI220" s="16"/>
      <c r="AJ220" s="13"/>
      <c r="AK220" s="13"/>
      <c r="AL220" s="16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>
      <c r="A221" s="13"/>
      <c r="B221" s="13"/>
      <c r="C221" s="13"/>
      <c r="D221" s="29"/>
      <c r="E221" s="13"/>
      <c r="F221" s="13"/>
      <c r="G221" s="16"/>
      <c r="H221" s="13"/>
      <c r="I221" s="13"/>
      <c r="J221" s="16"/>
      <c r="K221" s="29"/>
      <c r="L221" s="29"/>
      <c r="M221" s="13"/>
      <c r="N221" s="13"/>
      <c r="O221" s="13"/>
      <c r="P221" s="29"/>
      <c r="Q221" s="29"/>
      <c r="R221" s="13"/>
      <c r="S221" s="13"/>
      <c r="T221" s="13"/>
      <c r="U221" s="13"/>
      <c r="V221" s="13"/>
      <c r="W221" s="13"/>
      <c r="X221" s="13"/>
      <c r="Y221" s="13"/>
      <c r="Z221" s="13"/>
      <c r="AA221" s="16"/>
      <c r="AB221" s="13"/>
      <c r="AC221" s="13"/>
      <c r="AD221" s="13"/>
      <c r="AE221" s="29"/>
      <c r="AF221" s="13"/>
      <c r="AG221" s="29"/>
      <c r="AH221" s="16"/>
      <c r="AI221" s="16"/>
      <c r="AJ221" s="13"/>
      <c r="AK221" s="13"/>
      <c r="AL221" s="16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>
      <c r="A222" s="13"/>
      <c r="B222" s="13"/>
      <c r="C222" s="13"/>
      <c r="D222" s="29"/>
      <c r="E222" s="13"/>
      <c r="F222" s="13"/>
      <c r="G222" s="16"/>
      <c r="H222" s="13"/>
      <c r="I222" s="13"/>
      <c r="J222" s="16"/>
      <c r="K222" s="29"/>
      <c r="L222" s="29"/>
      <c r="M222" s="13"/>
      <c r="N222" s="13"/>
      <c r="O222" s="13"/>
      <c r="P222" s="29"/>
      <c r="Q222" s="29"/>
      <c r="R222" s="13"/>
      <c r="S222" s="13"/>
      <c r="T222" s="13"/>
      <c r="U222" s="13"/>
      <c r="V222" s="13"/>
      <c r="W222" s="13"/>
      <c r="X222" s="13"/>
      <c r="Y222" s="13"/>
      <c r="Z222" s="13"/>
      <c r="AA222" s="16"/>
      <c r="AB222" s="13"/>
      <c r="AC222" s="13"/>
      <c r="AD222" s="13"/>
      <c r="AE222" s="29"/>
      <c r="AF222" s="13"/>
      <c r="AG222" s="29"/>
      <c r="AH222" s="16"/>
      <c r="AI222" s="16"/>
      <c r="AJ222" s="13"/>
      <c r="AK222" s="13"/>
      <c r="AL222" s="16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>
      <c r="A223" s="13"/>
      <c r="B223" s="13"/>
      <c r="C223" s="13"/>
      <c r="D223" s="29"/>
      <c r="E223" s="13"/>
      <c r="F223" s="13"/>
      <c r="G223" s="16"/>
      <c r="H223" s="13"/>
      <c r="I223" s="13"/>
      <c r="J223" s="16"/>
      <c r="K223" s="29"/>
      <c r="L223" s="29"/>
      <c r="M223" s="13"/>
      <c r="N223" s="13"/>
      <c r="O223" s="13"/>
      <c r="P223" s="29"/>
      <c r="Q223" s="29"/>
      <c r="R223" s="13"/>
      <c r="S223" s="13"/>
      <c r="T223" s="13"/>
      <c r="U223" s="13"/>
      <c r="V223" s="13"/>
      <c r="W223" s="13"/>
      <c r="X223" s="13"/>
      <c r="Y223" s="13"/>
      <c r="Z223" s="13"/>
      <c r="AA223" s="16"/>
      <c r="AB223" s="13"/>
      <c r="AC223" s="13"/>
      <c r="AD223" s="13"/>
      <c r="AE223" s="29"/>
      <c r="AF223" s="13"/>
      <c r="AG223" s="29"/>
      <c r="AH223" s="16"/>
      <c r="AI223" s="16"/>
      <c r="AJ223" s="13"/>
      <c r="AK223" s="13"/>
      <c r="AL223" s="16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>
      <c r="A224" s="13"/>
      <c r="B224" s="13"/>
      <c r="C224" s="13"/>
      <c r="D224" s="29"/>
      <c r="E224" s="13"/>
      <c r="F224" s="13"/>
      <c r="G224" s="16"/>
      <c r="H224" s="13"/>
      <c r="I224" s="13"/>
      <c r="J224" s="16"/>
      <c r="K224" s="29"/>
      <c r="L224" s="29"/>
      <c r="M224" s="13"/>
      <c r="N224" s="13"/>
      <c r="O224" s="13"/>
      <c r="P224" s="29"/>
      <c r="Q224" s="29"/>
      <c r="R224" s="13"/>
      <c r="S224" s="13"/>
      <c r="T224" s="13"/>
      <c r="U224" s="13"/>
      <c r="V224" s="13"/>
      <c r="W224" s="13"/>
      <c r="X224" s="13"/>
      <c r="Y224" s="13"/>
      <c r="Z224" s="13"/>
      <c r="AA224" s="16"/>
      <c r="AB224" s="13"/>
      <c r="AC224" s="13"/>
      <c r="AD224" s="13"/>
      <c r="AE224" s="29"/>
      <c r="AF224" s="13"/>
      <c r="AG224" s="29"/>
      <c r="AH224" s="16"/>
      <c r="AI224" s="16"/>
      <c r="AJ224" s="13"/>
      <c r="AK224" s="13"/>
      <c r="AL224" s="16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>
      <c r="A225" s="13"/>
      <c r="B225" s="13"/>
      <c r="C225" s="13"/>
      <c r="D225" s="29"/>
      <c r="E225" s="13"/>
      <c r="F225" s="13"/>
      <c r="G225" s="16"/>
      <c r="H225" s="13"/>
      <c r="I225" s="13"/>
      <c r="J225" s="16"/>
      <c r="K225" s="29"/>
      <c r="L225" s="29"/>
      <c r="M225" s="13"/>
      <c r="N225" s="13"/>
      <c r="O225" s="13"/>
      <c r="P225" s="29"/>
      <c r="Q225" s="29"/>
      <c r="R225" s="13"/>
      <c r="S225" s="13"/>
      <c r="T225" s="13"/>
      <c r="U225" s="13"/>
      <c r="V225" s="13"/>
      <c r="W225" s="13"/>
      <c r="X225" s="13"/>
      <c r="Y225" s="13"/>
      <c r="Z225" s="13"/>
      <c r="AA225" s="16"/>
      <c r="AB225" s="13"/>
      <c r="AC225" s="13"/>
      <c r="AD225" s="13"/>
      <c r="AE225" s="29"/>
      <c r="AF225" s="13"/>
      <c r="AG225" s="29"/>
      <c r="AH225" s="16"/>
      <c r="AI225" s="16"/>
      <c r="AJ225" s="13"/>
      <c r="AK225" s="13"/>
      <c r="AL225" s="16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>
      <c r="A226" s="13"/>
      <c r="B226" s="13"/>
      <c r="C226" s="13"/>
      <c r="D226" s="29"/>
      <c r="E226" s="13"/>
      <c r="F226" s="13"/>
      <c r="G226" s="16"/>
      <c r="H226" s="13"/>
      <c r="I226" s="13"/>
      <c r="J226" s="16"/>
      <c r="K226" s="29"/>
      <c r="L226" s="29"/>
      <c r="M226" s="13"/>
      <c r="N226" s="13"/>
      <c r="O226" s="13"/>
      <c r="P226" s="29"/>
      <c r="Q226" s="29"/>
      <c r="R226" s="13"/>
      <c r="S226" s="13"/>
      <c r="T226" s="13"/>
      <c r="U226" s="13"/>
      <c r="V226" s="13"/>
      <c r="W226" s="13"/>
      <c r="X226" s="13"/>
      <c r="Y226" s="13"/>
      <c r="Z226" s="13"/>
      <c r="AA226" s="16"/>
      <c r="AB226" s="13"/>
      <c r="AC226" s="13"/>
      <c r="AD226" s="13"/>
      <c r="AE226" s="29"/>
      <c r="AF226" s="13"/>
      <c r="AG226" s="29"/>
      <c r="AH226" s="16"/>
      <c r="AI226" s="16"/>
      <c r="AJ226" s="13"/>
      <c r="AK226" s="13"/>
      <c r="AL226" s="16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>
      <c r="A227" s="13"/>
      <c r="B227" s="13"/>
      <c r="C227" s="13"/>
      <c r="D227" s="29"/>
      <c r="E227" s="13"/>
      <c r="F227" s="13"/>
      <c r="G227" s="16"/>
      <c r="H227" s="13"/>
      <c r="I227" s="13"/>
      <c r="J227" s="16"/>
      <c r="K227" s="29"/>
      <c r="L227" s="29"/>
      <c r="M227" s="13"/>
      <c r="N227" s="13"/>
      <c r="O227" s="13"/>
      <c r="P227" s="29"/>
      <c r="Q227" s="29"/>
      <c r="R227" s="13"/>
      <c r="S227" s="13"/>
      <c r="T227" s="13"/>
      <c r="U227" s="13"/>
      <c r="V227" s="13"/>
      <c r="W227" s="13"/>
      <c r="X227" s="13"/>
      <c r="Y227" s="13"/>
      <c r="Z227" s="13"/>
      <c r="AA227" s="16"/>
      <c r="AB227" s="13"/>
      <c r="AC227" s="13"/>
      <c r="AD227" s="13"/>
      <c r="AE227" s="29"/>
      <c r="AF227" s="13"/>
      <c r="AG227" s="29"/>
      <c r="AH227" s="16"/>
      <c r="AI227" s="16"/>
      <c r="AJ227" s="13"/>
      <c r="AK227" s="13"/>
      <c r="AL227" s="16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>
      <c r="A228" s="13"/>
      <c r="B228" s="13"/>
      <c r="C228" s="13"/>
      <c r="D228" s="29"/>
      <c r="E228" s="13"/>
      <c r="F228" s="13"/>
      <c r="G228" s="16"/>
      <c r="H228" s="13"/>
      <c r="I228" s="13"/>
      <c r="J228" s="16"/>
      <c r="K228" s="29"/>
      <c r="L228" s="29"/>
      <c r="M228" s="13"/>
      <c r="N228" s="13"/>
      <c r="O228" s="13"/>
      <c r="P228" s="29"/>
      <c r="Q228" s="29"/>
      <c r="R228" s="13"/>
      <c r="S228" s="13"/>
      <c r="T228" s="13"/>
      <c r="U228" s="13"/>
      <c r="V228" s="13"/>
      <c r="W228" s="13"/>
      <c r="X228" s="13"/>
      <c r="Y228" s="13"/>
      <c r="Z228" s="13"/>
      <c r="AA228" s="16"/>
      <c r="AB228" s="13"/>
      <c r="AC228" s="13"/>
      <c r="AD228" s="13"/>
      <c r="AE228" s="29"/>
      <c r="AF228" s="13"/>
      <c r="AG228" s="29"/>
      <c r="AH228" s="16"/>
      <c r="AI228" s="16"/>
      <c r="AJ228" s="13"/>
      <c r="AK228" s="13"/>
      <c r="AL228" s="16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>
      <c r="A229" s="13"/>
      <c r="B229" s="13"/>
      <c r="C229" s="13"/>
      <c r="D229" s="29"/>
      <c r="E229" s="13"/>
      <c r="F229" s="13"/>
      <c r="G229" s="16"/>
      <c r="H229" s="13"/>
      <c r="I229" s="13"/>
      <c r="J229" s="16"/>
      <c r="K229" s="29"/>
      <c r="L229" s="29"/>
      <c r="M229" s="13"/>
      <c r="N229" s="13"/>
      <c r="O229" s="13"/>
      <c r="P229" s="29"/>
      <c r="Q229" s="29"/>
      <c r="R229" s="13"/>
      <c r="S229" s="13"/>
      <c r="T229" s="13"/>
      <c r="U229" s="13"/>
      <c r="V229" s="13"/>
      <c r="W229" s="13"/>
      <c r="X229" s="13"/>
      <c r="Y229" s="13"/>
      <c r="Z229" s="13"/>
      <c r="AA229" s="16"/>
      <c r="AB229" s="13"/>
      <c r="AC229" s="13"/>
      <c r="AD229" s="13"/>
      <c r="AE229" s="29"/>
      <c r="AF229" s="13"/>
      <c r="AG229" s="29"/>
      <c r="AH229" s="16"/>
      <c r="AI229" s="16"/>
      <c r="AJ229" s="13"/>
      <c r="AK229" s="13"/>
      <c r="AL229" s="16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>
      <c r="A230" s="13"/>
      <c r="B230" s="13"/>
      <c r="C230" s="13"/>
      <c r="D230" s="29"/>
      <c r="E230" s="13"/>
      <c r="F230" s="13"/>
      <c r="G230" s="16"/>
      <c r="H230" s="13"/>
      <c r="I230" s="13"/>
      <c r="J230" s="16"/>
      <c r="K230" s="29"/>
      <c r="L230" s="29"/>
      <c r="M230" s="13"/>
      <c r="N230" s="13"/>
      <c r="O230" s="13"/>
      <c r="P230" s="29"/>
      <c r="Q230" s="29"/>
      <c r="R230" s="13"/>
      <c r="S230" s="13"/>
      <c r="T230" s="13"/>
      <c r="U230" s="13"/>
      <c r="V230" s="13"/>
      <c r="W230" s="13"/>
      <c r="X230" s="13"/>
      <c r="Y230" s="13"/>
      <c r="Z230" s="13"/>
      <c r="AA230" s="16"/>
      <c r="AB230" s="13"/>
      <c r="AC230" s="13"/>
      <c r="AD230" s="13"/>
      <c r="AE230" s="29"/>
      <c r="AF230" s="13"/>
      <c r="AG230" s="29"/>
      <c r="AH230" s="16"/>
      <c r="AI230" s="16"/>
      <c r="AJ230" s="13"/>
      <c r="AK230" s="13"/>
      <c r="AL230" s="16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>
      <c r="A231" s="13"/>
      <c r="B231" s="13"/>
      <c r="C231" s="13"/>
      <c r="D231" s="29"/>
      <c r="E231" s="13"/>
      <c r="F231" s="13"/>
      <c r="G231" s="16"/>
      <c r="H231" s="13"/>
      <c r="I231" s="13"/>
      <c r="J231" s="16"/>
      <c r="K231" s="29"/>
      <c r="L231" s="29"/>
      <c r="M231" s="13"/>
      <c r="N231" s="13"/>
      <c r="O231" s="13"/>
      <c r="P231" s="29"/>
      <c r="Q231" s="29"/>
      <c r="R231" s="13"/>
      <c r="S231" s="13"/>
      <c r="T231" s="13"/>
      <c r="U231" s="13"/>
      <c r="V231" s="13"/>
      <c r="W231" s="13"/>
      <c r="X231" s="13"/>
      <c r="Y231" s="13"/>
      <c r="Z231" s="13"/>
      <c r="AA231" s="16"/>
      <c r="AB231" s="13"/>
      <c r="AC231" s="13"/>
      <c r="AD231" s="13"/>
      <c r="AE231" s="29"/>
      <c r="AF231" s="13"/>
      <c r="AG231" s="29"/>
      <c r="AH231" s="16"/>
      <c r="AI231" s="16"/>
      <c r="AJ231" s="13"/>
      <c r="AK231" s="13"/>
      <c r="AL231" s="16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>
      <c r="A232" s="13"/>
      <c r="B232" s="13"/>
      <c r="C232" s="13"/>
      <c r="D232" s="29"/>
      <c r="E232" s="13"/>
      <c r="F232" s="13"/>
      <c r="G232" s="16"/>
      <c r="H232" s="13"/>
      <c r="I232" s="13"/>
      <c r="J232" s="16"/>
      <c r="K232" s="29"/>
      <c r="L232" s="29"/>
      <c r="M232" s="13"/>
      <c r="N232" s="13"/>
      <c r="O232" s="13"/>
      <c r="P232" s="29"/>
      <c r="Q232" s="29"/>
      <c r="R232" s="13"/>
      <c r="S232" s="13"/>
      <c r="T232" s="13"/>
      <c r="U232" s="13"/>
      <c r="V232" s="13"/>
      <c r="W232" s="13"/>
      <c r="X232" s="13"/>
      <c r="Y232" s="13"/>
      <c r="Z232" s="13"/>
      <c r="AA232" s="16"/>
      <c r="AB232" s="13"/>
      <c r="AC232" s="13"/>
      <c r="AD232" s="13"/>
      <c r="AE232" s="29"/>
      <c r="AF232" s="13"/>
      <c r="AG232" s="29"/>
      <c r="AH232" s="16"/>
      <c r="AI232" s="16"/>
      <c r="AJ232" s="13"/>
      <c r="AK232" s="13"/>
      <c r="AL232" s="16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>
      <c r="A233" s="13"/>
      <c r="B233" s="13"/>
      <c r="C233" s="13"/>
      <c r="D233" s="29"/>
      <c r="E233" s="13"/>
      <c r="F233" s="13"/>
      <c r="G233" s="16"/>
      <c r="H233" s="13"/>
      <c r="I233" s="13"/>
      <c r="J233" s="16"/>
      <c r="K233" s="29"/>
      <c r="L233" s="29"/>
      <c r="M233" s="13"/>
      <c r="N233" s="13"/>
      <c r="O233" s="13"/>
      <c r="P233" s="29"/>
      <c r="Q233" s="29"/>
      <c r="R233" s="13"/>
      <c r="S233" s="13"/>
      <c r="T233" s="13"/>
      <c r="U233" s="13"/>
      <c r="V233" s="13"/>
      <c r="W233" s="13"/>
      <c r="X233" s="13"/>
      <c r="Y233" s="13"/>
      <c r="Z233" s="13"/>
      <c r="AA233" s="16"/>
      <c r="AB233" s="13"/>
      <c r="AC233" s="13"/>
      <c r="AD233" s="13"/>
      <c r="AE233" s="29"/>
      <c r="AF233" s="13"/>
      <c r="AG233" s="29"/>
      <c r="AH233" s="16"/>
      <c r="AI233" s="16"/>
      <c r="AJ233" s="13"/>
      <c r="AK233" s="13"/>
      <c r="AL233" s="16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>
      <c r="A234" s="13"/>
      <c r="B234" s="13"/>
      <c r="C234" s="13"/>
      <c r="D234" s="29"/>
      <c r="E234" s="13"/>
      <c r="F234" s="13"/>
      <c r="G234" s="16"/>
      <c r="H234" s="13"/>
      <c r="I234" s="13"/>
      <c r="J234" s="16"/>
      <c r="K234" s="29"/>
      <c r="L234" s="29"/>
      <c r="M234" s="13"/>
      <c r="N234" s="13"/>
      <c r="O234" s="13"/>
      <c r="P234" s="29"/>
      <c r="Q234" s="29"/>
      <c r="R234" s="13"/>
      <c r="S234" s="13"/>
      <c r="T234" s="13"/>
      <c r="U234" s="13"/>
      <c r="V234" s="13"/>
      <c r="W234" s="13"/>
      <c r="X234" s="13"/>
      <c r="Y234" s="13"/>
      <c r="Z234" s="13"/>
      <c r="AA234" s="16"/>
      <c r="AB234" s="13"/>
      <c r="AC234" s="13"/>
      <c r="AD234" s="13"/>
      <c r="AE234" s="29"/>
      <c r="AF234" s="13"/>
      <c r="AG234" s="29"/>
      <c r="AH234" s="16"/>
      <c r="AI234" s="16"/>
      <c r="AJ234" s="13"/>
      <c r="AK234" s="13"/>
      <c r="AL234" s="16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>
      <c r="A235" s="13"/>
      <c r="B235" s="13"/>
      <c r="C235" s="13"/>
      <c r="D235" s="29"/>
      <c r="E235" s="13"/>
      <c r="F235" s="13"/>
      <c r="G235" s="16"/>
      <c r="H235" s="13"/>
      <c r="I235" s="13"/>
      <c r="J235" s="16"/>
      <c r="K235" s="29"/>
      <c r="L235" s="29"/>
      <c r="M235" s="13"/>
      <c r="N235" s="13"/>
      <c r="O235" s="13"/>
      <c r="P235" s="29"/>
      <c r="Q235" s="29"/>
      <c r="R235" s="13"/>
      <c r="S235" s="13"/>
      <c r="T235" s="13"/>
      <c r="U235" s="13"/>
      <c r="V235" s="13"/>
      <c r="W235" s="13"/>
      <c r="X235" s="13"/>
      <c r="Y235" s="13"/>
      <c r="Z235" s="13"/>
      <c r="AA235" s="16"/>
      <c r="AB235" s="13"/>
      <c r="AC235" s="13"/>
      <c r="AD235" s="13"/>
      <c r="AE235" s="29"/>
      <c r="AF235" s="13"/>
      <c r="AG235" s="29"/>
      <c r="AH235" s="16"/>
      <c r="AI235" s="16"/>
      <c r="AJ235" s="13"/>
      <c r="AK235" s="13"/>
      <c r="AL235" s="16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>
      <c r="A236" s="13"/>
      <c r="B236" s="13"/>
      <c r="C236" s="13"/>
      <c r="D236" s="29"/>
      <c r="E236" s="13"/>
      <c r="F236" s="13"/>
      <c r="G236" s="16"/>
      <c r="H236" s="13"/>
      <c r="I236" s="13"/>
      <c r="J236" s="16"/>
      <c r="K236" s="29"/>
      <c r="L236" s="29"/>
      <c r="M236" s="13"/>
      <c r="N236" s="13"/>
      <c r="O236" s="13"/>
      <c r="P236" s="29"/>
      <c r="Q236" s="29"/>
      <c r="R236" s="13"/>
      <c r="S236" s="13"/>
      <c r="T236" s="13"/>
      <c r="U236" s="13"/>
      <c r="V236" s="13"/>
      <c r="W236" s="13"/>
      <c r="X236" s="13"/>
      <c r="Y236" s="13"/>
      <c r="Z236" s="13"/>
      <c r="AA236" s="16"/>
      <c r="AB236" s="13"/>
      <c r="AC236" s="13"/>
      <c r="AD236" s="13"/>
      <c r="AE236" s="29"/>
      <c r="AF236" s="13"/>
      <c r="AG236" s="29"/>
      <c r="AH236" s="16"/>
      <c r="AI236" s="16"/>
      <c r="AJ236" s="13"/>
      <c r="AK236" s="13"/>
      <c r="AL236" s="16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>
      <c r="A237" s="13"/>
      <c r="B237" s="13"/>
      <c r="C237" s="13"/>
      <c r="D237" s="29"/>
      <c r="E237" s="13"/>
      <c r="F237" s="13"/>
      <c r="G237" s="16"/>
      <c r="H237" s="13"/>
      <c r="I237" s="13"/>
      <c r="J237" s="16"/>
      <c r="K237" s="29"/>
      <c r="L237" s="29"/>
      <c r="M237" s="13"/>
      <c r="N237" s="13"/>
      <c r="O237" s="13"/>
      <c r="P237" s="29"/>
      <c r="Q237" s="29"/>
      <c r="R237" s="13"/>
      <c r="S237" s="13"/>
      <c r="T237" s="13"/>
      <c r="U237" s="13"/>
      <c r="V237" s="13"/>
      <c r="W237" s="13"/>
      <c r="X237" s="13"/>
      <c r="Y237" s="13"/>
      <c r="Z237" s="13"/>
      <c r="AA237" s="16"/>
      <c r="AB237" s="13"/>
      <c r="AC237" s="13"/>
      <c r="AD237" s="13"/>
      <c r="AE237" s="29"/>
      <c r="AF237" s="13"/>
      <c r="AG237" s="29"/>
      <c r="AH237" s="16"/>
      <c r="AI237" s="16"/>
      <c r="AJ237" s="13"/>
      <c r="AK237" s="13"/>
      <c r="AL237" s="16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>
      <c r="A238" s="13"/>
      <c r="B238" s="13"/>
      <c r="C238" s="13"/>
      <c r="D238" s="29"/>
      <c r="E238" s="13"/>
      <c r="F238" s="13"/>
      <c r="G238" s="16"/>
      <c r="H238" s="13"/>
      <c r="I238" s="13"/>
      <c r="J238" s="16"/>
      <c r="K238" s="29"/>
      <c r="L238" s="29"/>
      <c r="M238" s="13"/>
      <c r="N238" s="13"/>
      <c r="O238" s="13"/>
      <c r="P238" s="29"/>
      <c r="Q238" s="29"/>
      <c r="R238" s="13"/>
      <c r="S238" s="13"/>
      <c r="T238" s="13"/>
      <c r="U238" s="13"/>
      <c r="V238" s="13"/>
      <c r="W238" s="13"/>
      <c r="X238" s="13"/>
      <c r="Y238" s="13"/>
      <c r="Z238" s="13"/>
      <c r="AA238" s="16"/>
      <c r="AB238" s="13"/>
      <c r="AC238" s="13"/>
      <c r="AD238" s="13"/>
      <c r="AE238" s="29"/>
      <c r="AF238" s="13"/>
      <c r="AG238" s="29"/>
      <c r="AH238" s="16"/>
      <c r="AI238" s="16"/>
      <c r="AJ238" s="13"/>
      <c r="AK238" s="13"/>
      <c r="AL238" s="16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>
      <c r="A239" s="13"/>
      <c r="B239" s="13"/>
      <c r="C239" s="13"/>
      <c r="D239" s="29"/>
      <c r="E239" s="13"/>
      <c r="F239" s="13"/>
      <c r="G239" s="16"/>
      <c r="H239" s="13"/>
      <c r="I239" s="13"/>
      <c r="J239" s="16"/>
      <c r="K239" s="29"/>
      <c r="L239" s="29"/>
      <c r="M239" s="13"/>
      <c r="N239" s="13"/>
      <c r="O239" s="13"/>
      <c r="P239" s="29"/>
      <c r="Q239" s="29"/>
      <c r="R239" s="13"/>
      <c r="S239" s="13"/>
      <c r="T239" s="13"/>
      <c r="U239" s="13"/>
      <c r="V239" s="13"/>
      <c r="W239" s="13"/>
      <c r="X239" s="13"/>
      <c r="Y239" s="13"/>
      <c r="Z239" s="13"/>
      <c r="AA239" s="16"/>
      <c r="AB239" s="13"/>
      <c r="AC239" s="13"/>
      <c r="AD239" s="13"/>
      <c r="AE239" s="29"/>
      <c r="AF239" s="13"/>
      <c r="AG239" s="29"/>
      <c r="AH239" s="16"/>
      <c r="AI239" s="16"/>
      <c r="AJ239" s="13"/>
      <c r="AK239" s="13"/>
      <c r="AL239" s="16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>
      <c r="A240" s="13"/>
      <c r="B240" s="13"/>
      <c r="C240" s="13"/>
      <c r="D240" s="29"/>
      <c r="E240" s="13"/>
      <c r="F240" s="13"/>
      <c r="G240" s="16"/>
      <c r="H240" s="13"/>
      <c r="I240" s="13"/>
      <c r="J240" s="16"/>
      <c r="K240" s="29"/>
      <c r="L240" s="29"/>
      <c r="M240" s="13"/>
      <c r="N240" s="13"/>
      <c r="O240" s="13"/>
      <c r="P240" s="29"/>
      <c r="Q240" s="29"/>
      <c r="R240" s="13"/>
      <c r="S240" s="13"/>
      <c r="T240" s="13"/>
      <c r="U240" s="13"/>
      <c r="V240" s="13"/>
      <c r="W240" s="13"/>
      <c r="X240" s="13"/>
      <c r="Y240" s="13"/>
      <c r="Z240" s="13"/>
      <c r="AA240" s="16"/>
      <c r="AB240" s="13"/>
      <c r="AC240" s="13"/>
      <c r="AD240" s="13"/>
      <c r="AE240" s="29"/>
      <c r="AF240" s="13"/>
      <c r="AG240" s="29"/>
      <c r="AH240" s="16"/>
      <c r="AI240" s="16"/>
      <c r="AJ240" s="13"/>
      <c r="AK240" s="13"/>
      <c r="AL240" s="16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>
      <c r="A241" s="13"/>
      <c r="B241" s="13"/>
      <c r="C241" s="13"/>
      <c r="D241" s="29"/>
      <c r="E241" s="13"/>
      <c r="F241" s="13"/>
      <c r="G241" s="16"/>
      <c r="H241" s="13"/>
      <c r="I241" s="13"/>
      <c r="J241" s="16"/>
      <c r="K241" s="29"/>
      <c r="L241" s="29"/>
      <c r="M241" s="13"/>
      <c r="N241" s="13"/>
      <c r="O241" s="13"/>
      <c r="P241" s="29"/>
      <c r="Q241" s="29"/>
      <c r="R241" s="13"/>
      <c r="S241" s="13"/>
      <c r="T241" s="13"/>
      <c r="U241" s="13"/>
      <c r="V241" s="13"/>
      <c r="W241" s="13"/>
      <c r="X241" s="13"/>
      <c r="Y241" s="13"/>
      <c r="Z241" s="13"/>
      <c r="AA241" s="16"/>
      <c r="AB241" s="13"/>
      <c r="AC241" s="13"/>
      <c r="AD241" s="13"/>
      <c r="AE241" s="29"/>
      <c r="AF241" s="13"/>
      <c r="AG241" s="29"/>
      <c r="AH241" s="16"/>
      <c r="AI241" s="16"/>
      <c r="AJ241" s="13"/>
      <c r="AK241" s="13"/>
      <c r="AL241" s="16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>
      <c r="A242" s="13"/>
      <c r="B242" s="13"/>
      <c r="C242" s="13"/>
      <c r="D242" s="29"/>
      <c r="E242" s="13"/>
      <c r="F242" s="13"/>
      <c r="G242" s="16"/>
      <c r="H242" s="13"/>
      <c r="I242" s="13"/>
      <c r="J242" s="16"/>
      <c r="K242" s="29"/>
      <c r="L242" s="29"/>
      <c r="M242" s="13"/>
      <c r="N242" s="13"/>
      <c r="O242" s="13"/>
      <c r="P242" s="29"/>
      <c r="Q242" s="29"/>
      <c r="R242" s="13"/>
      <c r="S242" s="13"/>
      <c r="T242" s="13"/>
      <c r="U242" s="13"/>
      <c r="V242" s="13"/>
      <c r="W242" s="13"/>
      <c r="X242" s="13"/>
      <c r="Y242" s="13"/>
      <c r="Z242" s="13"/>
      <c r="AA242" s="16"/>
      <c r="AB242" s="13"/>
      <c r="AC242" s="13"/>
      <c r="AD242" s="13"/>
      <c r="AE242" s="29"/>
      <c r="AF242" s="13"/>
      <c r="AG242" s="29"/>
      <c r="AH242" s="16"/>
      <c r="AI242" s="16"/>
      <c r="AJ242" s="13"/>
      <c r="AK242" s="13"/>
      <c r="AL242" s="16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</sheetData>
  <autoFilter ref="$A$1:$AV$142">
    <filterColumn colId="19">
      <filters>
        <filter val="Allergies (e.g. drugs, food)"/>
        <filter val="None"/>
        <filter val="Other"/>
        <filter val="Asthma"/>
      </filters>
    </filterColumn>
  </autoFilter>
  <customSheetViews>
    <customSheetView guid="{D131DC15-D691-4ADE-A247-5FFCF6E2E086}" filter="1" showAutoFilter="1">
      <autoFilter ref="$A$1:$AP$138">
        <filterColumn colId="7">
          <filters>
            <filter val="Group 1 (16-18 years) - born 2006, 2007, 2008"/>
          </filters>
        </filterColumn>
        <filterColumn colId="6">
          <filters>
            <filter val="Male"/>
          </filters>
        </filterColumn>
      </autoFilter>
    </customSheetView>
  </customSheetViews>
  <hyperlinks>
    <hyperlink r:id="rId1" ref="R2"/>
    <hyperlink r:id="rId2" ref="S2"/>
    <hyperlink r:id="rId3" ref="X2"/>
    <hyperlink r:id="rId4" ref="R3"/>
    <hyperlink r:id="rId5" ref="S3"/>
    <hyperlink r:id="rId6" ref="X3"/>
    <hyperlink r:id="rId7" ref="R4"/>
    <hyperlink r:id="rId8" ref="S4"/>
    <hyperlink r:id="rId9" ref="X4"/>
    <hyperlink r:id="rId10" ref="R5"/>
    <hyperlink r:id="rId11" ref="S5"/>
    <hyperlink r:id="rId12" ref="X5"/>
    <hyperlink r:id="rId13" ref="R6"/>
    <hyperlink r:id="rId14" ref="S6"/>
    <hyperlink r:id="rId15" ref="X6"/>
    <hyperlink r:id="rId16" ref="R7"/>
    <hyperlink r:id="rId17" ref="S7"/>
    <hyperlink r:id="rId18" ref="X7"/>
    <hyperlink r:id="rId19" ref="R8"/>
    <hyperlink r:id="rId20" ref="S8"/>
    <hyperlink r:id="rId21" ref="X8"/>
    <hyperlink r:id="rId22" ref="R9"/>
    <hyperlink r:id="rId23" ref="S9"/>
    <hyperlink r:id="rId24" ref="X9"/>
    <hyperlink r:id="rId25" ref="R10"/>
    <hyperlink r:id="rId26" ref="S10"/>
    <hyperlink r:id="rId27" ref="X10"/>
    <hyperlink r:id="rId28" ref="R11"/>
    <hyperlink r:id="rId29" ref="S11"/>
    <hyperlink r:id="rId30" ref="X11"/>
    <hyperlink r:id="rId31" ref="R12"/>
    <hyperlink r:id="rId32" ref="S12"/>
    <hyperlink r:id="rId33" ref="X12"/>
    <hyperlink r:id="rId34" ref="R13"/>
    <hyperlink r:id="rId35" ref="S13"/>
    <hyperlink r:id="rId36" ref="X13"/>
    <hyperlink r:id="rId37" ref="R14"/>
    <hyperlink r:id="rId38" ref="S14"/>
    <hyperlink r:id="rId39" ref="X14"/>
    <hyperlink r:id="rId40" ref="R15"/>
    <hyperlink r:id="rId41" ref="S15"/>
    <hyperlink r:id="rId42" ref="X15"/>
    <hyperlink r:id="rId43" ref="R16"/>
    <hyperlink r:id="rId44" ref="S16"/>
    <hyperlink r:id="rId45" ref="X16"/>
    <hyperlink r:id="rId46" ref="R17"/>
    <hyperlink r:id="rId47" ref="S17"/>
    <hyperlink r:id="rId48" ref="X17"/>
    <hyperlink r:id="rId49" ref="R18"/>
    <hyperlink r:id="rId50" ref="S18"/>
    <hyperlink r:id="rId51" ref="X18"/>
    <hyperlink r:id="rId52" ref="R19"/>
    <hyperlink r:id="rId53" ref="S19"/>
    <hyperlink r:id="rId54" ref="X19"/>
    <hyperlink r:id="rId55" ref="R20"/>
    <hyperlink r:id="rId56" ref="S20"/>
    <hyperlink r:id="rId57" ref="X20"/>
    <hyperlink r:id="rId58" ref="R21"/>
    <hyperlink r:id="rId59" ref="S21"/>
    <hyperlink r:id="rId60" ref="X21"/>
    <hyperlink r:id="rId61" ref="R22"/>
    <hyperlink r:id="rId62" ref="S22"/>
    <hyperlink r:id="rId63" ref="X22"/>
    <hyperlink r:id="rId64" ref="R23"/>
    <hyperlink r:id="rId65" ref="S23"/>
    <hyperlink r:id="rId66" ref="X23"/>
    <hyperlink r:id="rId67" ref="R24"/>
    <hyperlink r:id="rId68" ref="S24"/>
    <hyperlink r:id="rId69" ref="X24"/>
    <hyperlink r:id="rId70" ref="R25"/>
    <hyperlink r:id="rId71" ref="S25"/>
    <hyperlink r:id="rId72" ref="X25"/>
    <hyperlink r:id="rId73" ref="R26"/>
    <hyperlink r:id="rId74" ref="S26"/>
    <hyperlink r:id="rId75" ref="X26"/>
    <hyperlink r:id="rId76" ref="R27"/>
    <hyperlink r:id="rId77" ref="S27"/>
    <hyperlink r:id="rId78" ref="X27"/>
    <hyperlink r:id="rId79" ref="R28"/>
    <hyperlink r:id="rId80" ref="S28"/>
    <hyperlink r:id="rId81" ref="X28"/>
    <hyperlink r:id="rId82" ref="R29"/>
    <hyperlink r:id="rId83" ref="S29"/>
    <hyperlink r:id="rId84" ref="X29"/>
    <hyperlink r:id="rId85" ref="R30"/>
    <hyperlink r:id="rId86" ref="S30"/>
    <hyperlink r:id="rId87" ref="X30"/>
    <hyperlink r:id="rId88" ref="R31"/>
    <hyperlink r:id="rId89" ref="S31"/>
    <hyperlink r:id="rId90" ref="X31"/>
    <hyperlink r:id="rId91" ref="R32"/>
    <hyperlink r:id="rId92" ref="S32"/>
    <hyperlink r:id="rId93" ref="X32"/>
    <hyperlink r:id="rId94" ref="R33"/>
    <hyperlink r:id="rId95" ref="S33"/>
    <hyperlink r:id="rId96" ref="X33"/>
    <hyperlink r:id="rId97" ref="R34"/>
    <hyperlink r:id="rId98" ref="S34"/>
    <hyperlink r:id="rId99" ref="X34"/>
    <hyperlink r:id="rId100" ref="R35"/>
    <hyperlink r:id="rId101" ref="S35"/>
    <hyperlink r:id="rId102" ref="X35"/>
    <hyperlink r:id="rId103" ref="R36"/>
    <hyperlink r:id="rId104" ref="S36"/>
    <hyperlink r:id="rId105" ref="X36"/>
    <hyperlink r:id="rId106" ref="R37"/>
    <hyperlink r:id="rId107" ref="S37"/>
    <hyperlink r:id="rId108" ref="X37"/>
    <hyperlink r:id="rId109" ref="R38"/>
    <hyperlink r:id="rId110" ref="S38"/>
    <hyperlink r:id="rId111" ref="X38"/>
    <hyperlink r:id="rId112" ref="R39"/>
    <hyperlink r:id="rId113" ref="S39"/>
    <hyperlink r:id="rId114" ref="X39"/>
    <hyperlink r:id="rId115" ref="R40"/>
    <hyperlink r:id="rId116" ref="S40"/>
    <hyperlink r:id="rId117" ref="X40"/>
    <hyperlink r:id="rId118" ref="R41"/>
    <hyperlink r:id="rId119" ref="S41"/>
    <hyperlink r:id="rId120" ref="X41"/>
    <hyperlink r:id="rId121" ref="R42"/>
    <hyperlink r:id="rId122" ref="S42"/>
    <hyperlink r:id="rId123" ref="X42"/>
    <hyperlink r:id="rId124" ref="R43"/>
    <hyperlink r:id="rId125" ref="S43"/>
    <hyperlink r:id="rId126" ref="X43"/>
    <hyperlink r:id="rId127" ref="R44"/>
    <hyperlink r:id="rId128" ref="S44"/>
    <hyperlink r:id="rId129" ref="X44"/>
    <hyperlink r:id="rId130" ref="R45"/>
    <hyperlink r:id="rId131" ref="S45"/>
    <hyperlink r:id="rId132" ref="X45"/>
    <hyperlink r:id="rId133" ref="R46"/>
    <hyperlink r:id="rId134" ref="S46"/>
    <hyperlink r:id="rId135" ref="X46"/>
    <hyperlink r:id="rId136" ref="R48"/>
    <hyperlink r:id="rId137" ref="S48"/>
    <hyperlink r:id="rId138" ref="X48"/>
    <hyperlink r:id="rId139" ref="R49"/>
    <hyperlink r:id="rId140" ref="S49"/>
    <hyperlink r:id="rId141" ref="X49"/>
    <hyperlink r:id="rId142" ref="R50"/>
    <hyperlink r:id="rId143" ref="S50"/>
    <hyperlink r:id="rId144" ref="X50"/>
    <hyperlink r:id="rId145" ref="R51"/>
    <hyperlink r:id="rId146" ref="S51"/>
    <hyperlink r:id="rId147" ref="X51"/>
    <hyperlink r:id="rId148" ref="R52"/>
    <hyperlink r:id="rId149" ref="S52"/>
    <hyperlink r:id="rId150" ref="X52"/>
    <hyperlink r:id="rId151" ref="R53"/>
    <hyperlink r:id="rId152" ref="S53"/>
    <hyperlink r:id="rId153" ref="X53"/>
    <hyperlink r:id="rId154" ref="R55"/>
    <hyperlink r:id="rId155" ref="S55"/>
    <hyperlink r:id="rId156" ref="X55"/>
    <hyperlink r:id="rId157" ref="R57"/>
    <hyperlink r:id="rId158" ref="S57"/>
    <hyperlink r:id="rId159" ref="X57"/>
    <hyperlink r:id="rId160" ref="R58"/>
    <hyperlink r:id="rId161" ref="S58"/>
    <hyperlink r:id="rId162" ref="X58"/>
    <hyperlink r:id="rId163" ref="R59"/>
    <hyperlink r:id="rId164" ref="S59"/>
    <hyperlink r:id="rId165" ref="X59"/>
    <hyperlink r:id="rId166" ref="R60"/>
    <hyperlink r:id="rId167" ref="S60"/>
    <hyperlink r:id="rId168" ref="X60"/>
    <hyperlink r:id="rId169" ref="R61"/>
    <hyperlink r:id="rId170" ref="S61"/>
    <hyperlink r:id="rId171" ref="X61"/>
    <hyperlink r:id="rId172" ref="R62"/>
    <hyperlink r:id="rId173" ref="S62"/>
    <hyperlink r:id="rId174" ref="X62"/>
    <hyperlink r:id="rId175" ref="R63"/>
    <hyperlink r:id="rId176" ref="S63"/>
    <hyperlink r:id="rId177" ref="X63"/>
    <hyperlink r:id="rId178" ref="R64"/>
    <hyperlink r:id="rId179" ref="S64"/>
    <hyperlink r:id="rId180" ref="X64"/>
    <hyperlink r:id="rId181" ref="R65"/>
    <hyperlink r:id="rId182" ref="S65"/>
    <hyperlink r:id="rId183" ref="X65"/>
    <hyperlink r:id="rId184" ref="R66"/>
    <hyperlink r:id="rId185" ref="S66"/>
    <hyperlink r:id="rId186" ref="X66"/>
    <hyperlink r:id="rId187" ref="R67"/>
    <hyperlink r:id="rId188" ref="S67"/>
    <hyperlink r:id="rId189" ref="X67"/>
    <hyperlink r:id="rId190" ref="R68"/>
    <hyperlink r:id="rId191" ref="S68"/>
    <hyperlink r:id="rId192" ref="X68"/>
    <hyperlink r:id="rId193" ref="R69"/>
    <hyperlink r:id="rId194" ref="S69"/>
    <hyperlink r:id="rId195" ref="X69"/>
    <hyperlink r:id="rId196" ref="R70"/>
    <hyperlink r:id="rId197" ref="S70"/>
    <hyperlink r:id="rId198" ref="X70"/>
    <hyperlink r:id="rId199" ref="R71"/>
    <hyperlink r:id="rId200" ref="S71"/>
    <hyperlink r:id="rId201" ref="X71"/>
    <hyperlink r:id="rId202" ref="R72"/>
    <hyperlink r:id="rId203" ref="S72"/>
    <hyperlink r:id="rId204" ref="X72"/>
    <hyperlink r:id="rId205" ref="R73"/>
    <hyperlink r:id="rId206" ref="S73"/>
    <hyperlink r:id="rId207" ref="X73"/>
    <hyperlink r:id="rId208" ref="R74"/>
    <hyperlink r:id="rId209" ref="S74"/>
    <hyperlink r:id="rId210" ref="X74"/>
    <hyperlink r:id="rId211" ref="R75"/>
    <hyperlink r:id="rId212" ref="S75"/>
    <hyperlink r:id="rId213" ref="X75"/>
    <hyperlink r:id="rId214" ref="R76"/>
    <hyperlink r:id="rId215" ref="S76"/>
    <hyperlink r:id="rId216" ref="X76"/>
    <hyperlink r:id="rId217" ref="R77"/>
    <hyperlink r:id="rId218" ref="S77"/>
    <hyperlink r:id="rId219" ref="X77"/>
    <hyperlink r:id="rId220" ref="R78"/>
    <hyperlink r:id="rId221" ref="S78"/>
    <hyperlink r:id="rId222" ref="X78"/>
    <hyperlink r:id="rId223" ref="R79"/>
    <hyperlink r:id="rId224" ref="S79"/>
    <hyperlink r:id="rId225" ref="X79"/>
    <hyperlink r:id="rId226" ref="R80"/>
    <hyperlink r:id="rId227" ref="S80"/>
    <hyperlink r:id="rId228" ref="X80"/>
    <hyperlink r:id="rId229" ref="R81"/>
    <hyperlink r:id="rId230" ref="S81"/>
    <hyperlink r:id="rId231" ref="X81"/>
    <hyperlink r:id="rId232" ref="R82"/>
    <hyperlink r:id="rId233" ref="S82"/>
    <hyperlink r:id="rId234" ref="X82"/>
    <hyperlink r:id="rId235" ref="R83"/>
    <hyperlink r:id="rId236" ref="S83"/>
    <hyperlink r:id="rId237" ref="X83"/>
    <hyperlink r:id="rId238" ref="R84"/>
    <hyperlink r:id="rId239" ref="S84"/>
    <hyperlink r:id="rId240" ref="X84"/>
    <hyperlink r:id="rId241" ref="R85"/>
    <hyperlink r:id="rId242" ref="S85"/>
    <hyperlink r:id="rId243" ref="X85"/>
    <hyperlink r:id="rId244" ref="R86"/>
    <hyperlink r:id="rId245" ref="S86"/>
    <hyperlink r:id="rId246" ref="X86"/>
    <hyperlink r:id="rId247" ref="R87"/>
    <hyperlink r:id="rId248" ref="S87"/>
    <hyperlink r:id="rId249" ref="X87"/>
    <hyperlink r:id="rId250" ref="R88"/>
    <hyperlink r:id="rId251" ref="S88"/>
    <hyperlink r:id="rId252" ref="X88"/>
    <hyperlink r:id="rId253" ref="R89"/>
    <hyperlink r:id="rId254" ref="S89"/>
    <hyperlink r:id="rId255" ref="X89"/>
    <hyperlink r:id="rId256" ref="R90"/>
    <hyperlink r:id="rId257" ref="S90"/>
    <hyperlink r:id="rId258" ref="X90"/>
    <hyperlink r:id="rId259" ref="R91"/>
    <hyperlink r:id="rId260" ref="S91"/>
    <hyperlink r:id="rId261" ref="X91"/>
    <hyperlink r:id="rId262" ref="R92"/>
    <hyperlink r:id="rId263" ref="S92"/>
    <hyperlink r:id="rId264" ref="X92"/>
    <hyperlink r:id="rId265" ref="R93"/>
    <hyperlink r:id="rId266" ref="S93"/>
    <hyperlink r:id="rId267" ref="X93"/>
    <hyperlink r:id="rId268" ref="R94"/>
    <hyperlink r:id="rId269" ref="S94"/>
    <hyperlink r:id="rId270" ref="X94"/>
    <hyperlink r:id="rId271" ref="R95"/>
    <hyperlink r:id="rId272" ref="S95"/>
    <hyperlink r:id="rId273" ref="X95"/>
    <hyperlink r:id="rId274" ref="R96"/>
    <hyperlink r:id="rId275" ref="S96"/>
    <hyperlink r:id="rId276" ref="X96"/>
    <hyperlink r:id="rId277" ref="R97"/>
    <hyperlink r:id="rId278" ref="S97"/>
    <hyperlink r:id="rId279" ref="X97"/>
    <hyperlink r:id="rId280" ref="R98"/>
    <hyperlink r:id="rId281" ref="S98"/>
    <hyperlink r:id="rId282" ref="X98"/>
    <hyperlink r:id="rId283" ref="R99"/>
    <hyperlink r:id="rId284" ref="S99"/>
    <hyperlink r:id="rId285" ref="X99"/>
    <hyperlink r:id="rId286" ref="R100"/>
    <hyperlink r:id="rId287" ref="S100"/>
    <hyperlink r:id="rId288" ref="X100"/>
    <hyperlink r:id="rId289" ref="R102"/>
    <hyperlink r:id="rId290" ref="S102"/>
    <hyperlink r:id="rId291" ref="X102"/>
    <hyperlink r:id="rId292" ref="R104"/>
    <hyperlink r:id="rId293" ref="S104"/>
    <hyperlink r:id="rId294" ref="X104"/>
    <hyperlink r:id="rId295" ref="R105"/>
    <hyperlink r:id="rId296" ref="S105"/>
    <hyperlink r:id="rId297" ref="X105"/>
    <hyperlink r:id="rId298" ref="R106"/>
    <hyperlink r:id="rId299" ref="S106"/>
    <hyperlink r:id="rId300" ref="X106"/>
    <hyperlink r:id="rId301" ref="R107"/>
    <hyperlink r:id="rId302" ref="S107"/>
    <hyperlink r:id="rId303" ref="X107"/>
    <hyperlink r:id="rId304" ref="R108"/>
    <hyperlink r:id="rId305" ref="S108"/>
    <hyperlink r:id="rId306" ref="X108"/>
    <hyperlink r:id="rId307" ref="R109"/>
    <hyperlink r:id="rId308" ref="S109"/>
    <hyperlink r:id="rId309" ref="X109"/>
    <hyperlink r:id="rId310" ref="R110"/>
    <hyperlink r:id="rId311" ref="S110"/>
    <hyperlink r:id="rId312" ref="X110"/>
    <hyperlink r:id="rId313" ref="R112"/>
    <hyperlink r:id="rId314" ref="S112"/>
    <hyperlink r:id="rId315" ref="X112"/>
    <hyperlink r:id="rId316" ref="R113"/>
    <hyperlink r:id="rId317" ref="S113"/>
    <hyperlink r:id="rId318" ref="X113"/>
    <hyperlink r:id="rId319" ref="R115"/>
    <hyperlink r:id="rId320" ref="S115"/>
    <hyperlink r:id="rId321" ref="X115"/>
    <hyperlink r:id="rId322" ref="R116"/>
    <hyperlink r:id="rId323" ref="S116"/>
    <hyperlink r:id="rId324" ref="X116"/>
    <hyperlink r:id="rId325" ref="R117"/>
    <hyperlink r:id="rId326" ref="S117"/>
    <hyperlink r:id="rId327" ref="X117"/>
    <hyperlink r:id="rId328" ref="R118"/>
    <hyperlink r:id="rId329" ref="S118"/>
    <hyperlink r:id="rId330" ref="X118"/>
    <hyperlink r:id="rId331" ref="R119"/>
    <hyperlink r:id="rId332" ref="S119"/>
    <hyperlink r:id="rId333" ref="X119"/>
    <hyperlink r:id="rId334" ref="R120"/>
    <hyperlink r:id="rId335" ref="S120"/>
    <hyperlink r:id="rId336" ref="X120"/>
    <hyperlink r:id="rId337" ref="R121"/>
    <hyperlink r:id="rId338" ref="S121"/>
    <hyperlink r:id="rId339" ref="X121"/>
    <hyperlink r:id="rId340" ref="R122"/>
    <hyperlink r:id="rId341" ref="S122"/>
    <hyperlink r:id="rId342" ref="X122"/>
    <hyperlink r:id="rId343" ref="R125"/>
    <hyperlink r:id="rId344" ref="S125"/>
    <hyperlink r:id="rId345" ref="X125"/>
    <hyperlink r:id="rId346" ref="R127"/>
    <hyperlink r:id="rId347" ref="S127"/>
    <hyperlink r:id="rId348" ref="X127"/>
    <hyperlink r:id="rId349" ref="R128"/>
    <hyperlink r:id="rId350" ref="S128"/>
    <hyperlink r:id="rId351" ref="X128"/>
    <hyperlink r:id="rId352" ref="R129"/>
    <hyperlink r:id="rId353" ref="S129"/>
    <hyperlink r:id="rId354" ref="X129"/>
    <hyperlink r:id="rId355" ref="R134"/>
    <hyperlink r:id="rId356" ref="S134"/>
    <hyperlink r:id="rId357" ref="X134"/>
    <hyperlink r:id="rId358" ref="R138"/>
    <hyperlink r:id="rId359" ref="S138"/>
    <hyperlink r:id="rId360" ref="X138"/>
  </hyperlinks>
  <drawing r:id="rId3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2.63" defaultRowHeight="15.75"/>
  <cols>
    <col customWidth="1" min="1" max="1" width="5.13"/>
    <col customWidth="1" min="2" max="2" width="27.63"/>
    <col customWidth="1" min="3" max="5" width="5.75"/>
    <col customWidth="1" min="6" max="6" width="7.0"/>
    <col customWidth="1" min="7" max="9" width="15.13"/>
    <col customWidth="1" min="10" max="10" width="10.13"/>
    <col customWidth="1" min="11" max="11" width="9.5"/>
    <col customWidth="1" hidden="1" min="12" max="12" width="9.5"/>
    <col customWidth="1" min="13" max="13" width="9.5"/>
    <col customWidth="1" min="14" max="14" width="8.88"/>
    <col customWidth="1" hidden="1" min="15" max="16" width="8.88"/>
    <col customWidth="1" hidden="1" min="17" max="17" width="16.38"/>
    <col customWidth="1" hidden="1" min="18" max="18" width="18.88"/>
    <col customWidth="1" min="19" max="19" width="25.13"/>
  </cols>
  <sheetData>
    <row r="1">
      <c r="A1" s="50"/>
      <c r="B1" s="51" t="s">
        <v>2395</v>
      </c>
      <c r="C1" s="50"/>
      <c r="D1" s="50"/>
      <c r="E1" s="50"/>
      <c r="F1" s="50"/>
      <c r="G1" s="50"/>
      <c r="H1" s="52"/>
      <c r="I1" s="53"/>
      <c r="J1" s="54"/>
      <c r="K1" s="55"/>
      <c r="L1" s="55"/>
      <c r="M1" s="55"/>
      <c r="N1" s="55"/>
      <c r="O1" s="56" t="s">
        <v>2396</v>
      </c>
      <c r="P1" s="57"/>
      <c r="Q1" s="57"/>
      <c r="R1" s="58" t="s">
        <v>2397</v>
      </c>
      <c r="S1" s="59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</row>
    <row r="2">
      <c r="A2" s="60"/>
      <c r="B2" s="51" t="s">
        <v>2398</v>
      </c>
      <c r="C2" s="50"/>
      <c r="D2" s="50"/>
      <c r="E2" s="50"/>
      <c r="F2" s="50"/>
      <c r="G2" s="50"/>
      <c r="H2" s="52"/>
      <c r="I2" s="53"/>
      <c r="J2" s="54"/>
      <c r="K2" s="55"/>
      <c r="L2" s="55"/>
      <c r="M2" s="55"/>
      <c r="N2" s="55"/>
      <c r="P2" s="57"/>
      <c r="Q2" s="57"/>
      <c r="S2" s="59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</row>
    <row r="3">
      <c r="A3" s="60"/>
      <c r="B3" s="61" t="s">
        <v>2399</v>
      </c>
      <c r="C3" s="62"/>
      <c r="D3" s="62"/>
      <c r="E3" s="62"/>
      <c r="F3" s="62"/>
      <c r="G3" s="62"/>
      <c r="H3" s="63"/>
      <c r="I3" s="64"/>
      <c r="J3" s="62"/>
      <c r="K3" s="63"/>
      <c r="L3" s="55"/>
      <c r="M3" s="55"/>
      <c r="N3" s="55"/>
      <c r="P3" s="57"/>
      <c r="Q3" s="57"/>
      <c r="S3" s="59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</row>
    <row r="4">
      <c r="A4" s="60"/>
      <c r="B4" s="65"/>
      <c r="C4" s="62"/>
      <c r="D4" s="62"/>
      <c r="E4" s="62"/>
      <c r="F4" s="62"/>
      <c r="G4" s="62"/>
      <c r="H4" s="66" t="s">
        <v>2400</v>
      </c>
      <c r="I4" s="66" t="s">
        <v>2401</v>
      </c>
      <c r="J4" s="52"/>
      <c r="K4" s="66" t="s">
        <v>2402</v>
      </c>
      <c r="P4" s="52"/>
      <c r="Q4" s="52"/>
      <c r="S4" s="6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>
      <c r="A5" s="60"/>
      <c r="B5" s="65" t="s">
        <v>2403</v>
      </c>
      <c r="C5" s="62"/>
      <c r="D5" s="62"/>
      <c r="E5" s="62"/>
      <c r="F5" s="62"/>
      <c r="G5" s="62"/>
      <c r="J5" s="52"/>
      <c r="P5" s="52"/>
      <c r="Q5" s="52"/>
      <c r="S5" s="6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>
      <c r="A6" s="68"/>
      <c r="B6" s="69" t="s">
        <v>2404</v>
      </c>
      <c r="C6" s="70"/>
      <c r="D6" s="70"/>
      <c r="E6" s="70"/>
      <c r="F6" s="70"/>
      <c r="G6" s="70"/>
      <c r="H6" s="70"/>
      <c r="I6" s="71" t="s">
        <v>2405</v>
      </c>
      <c r="J6" s="72" t="s">
        <v>2406</v>
      </c>
      <c r="K6" s="72" t="s">
        <v>2407</v>
      </c>
      <c r="L6" s="72" t="s">
        <v>2408</v>
      </c>
      <c r="M6" s="73"/>
      <c r="N6" s="74"/>
      <c r="O6" s="75" t="s">
        <v>2409</v>
      </c>
      <c r="P6" s="75" t="s">
        <v>2410</v>
      </c>
      <c r="Q6" s="75" t="s">
        <v>2411</v>
      </c>
      <c r="R6" s="76" t="s">
        <v>2412</v>
      </c>
      <c r="S6" s="75" t="s">
        <v>2413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>
      <c r="A7" s="78"/>
      <c r="C7" s="70"/>
      <c r="D7" s="70"/>
      <c r="E7" s="70"/>
      <c r="F7" s="70"/>
      <c r="G7" s="70"/>
      <c r="H7" s="70"/>
      <c r="J7" s="79" t="s">
        <v>2414</v>
      </c>
      <c r="K7" s="80" t="s">
        <v>2415</v>
      </c>
      <c r="L7" s="78"/>
      <c r="M7" s="81" t="s">
        <v>2416</v>
      </c>
      <c r="N7" s="82" t="s">
        <v>2417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>
      <c r="A8" s="83"/>
      <c r="B8" s="84"/>
      <c r="C8" s="70" t="s">
        <v>2418</v>
      </c>
      <c r="D8" s="70" t="s">
        <v>2419</v>
      </c>
      <c r="E8" s="70" t="s">
        <v>2420</v>
      </c>
      <c r="F8" s="70" t="s">
        <v>2421</v>
      </c>
      <c r="G8" s="70" t="s">
        <v>2422</v>
      </c>
      <c r="H8" s="70" t="s">
        <v>2423</v>
      </c>
      <c r="I8" s="84"/>
      <c r="J8" s="85"/>
      <c r="K8" s="78"/>
      <c r="L8" s="78"/>
      <c r="M8" s="81" t="s">
        <v>2424</v>
      </c>
      <c r="N8" s="82" t="s">
        <v>2425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>
      <c r="A9" s="86"/>
      <c r="B9" s="87" t="s">
        <v>2426</v>
      </c>
      <c r="C9" s="88" t="s">
        <v>2427</v>
      </c>
      <c r="D9" s="88">
        <v>1.0</v>
      </c>
      <c r="E9" s="88" t="s">
        <v>2428</v>
      </c>
      <c r="F9" s="88" t="s">
        <v>2361</v>
      </c>
      <c r="G9" s="89" t="s">
        <v>2429</v>
      </c>
      <c r="H9" s="86"/>
      <c r="I9" s="90"/>
      <c r="J9" s="91"/>
      <c r="K9" s="92"/>
      <c r="L9" s="93"/>
      <c r="M9" s="93"/>
      <c r="N9" s="94"/>
      <c r="O9" s="94"/>
      <c r="P9" s="94"/>
      <c r="Q9" s="94"/>
      <c r="R9" s="95"/>
      <c r="S9" s="95"/>
      <c r="T9" s="96"/>
      <c r="U9" s="96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86"/>
      <c r="B10" s="87" t="s">
        <v>2430</v>
      </c>
      <c r="C10" s="88" t="s">
        <v>2427</v>
      </c>
      <c r="D10" s="88">
        <v>1.0</v>
      </c>
      <c r="E10" s="88" t="s">
        <v>2431</v>
      </c>
      <c r="F10" s="88" t="s">
        <v>2361</v>
      </c>
      <c r="G10" s="89" t="s">
        <v>2429</v>
      </c>
      <c r="H10" s="97"/>
      <c r="I10" s="90"/>
      <c r="J10" s="91"/>
      <c r="K10" s="92"/>
      <c r="L10" s="93"/>
      <c r="M10" s="93"/>
      <c r="N10" s="94"/>
      <c r="O10" s="94"/>
      <c r="P10" s="94"/>
      <c r="Q10" s="94"/>
      <c r="R10" s="95"/>
      <c r="S10" s="95"/>
      <c r="T10" s="96"/>
      <c r="U10" s="96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86"/>
      <c r="B11" s="98" t="s">
        <v>2432</v>
      </c>
      <c r="C11" s="89" t="s">
        <v>2433</v>
      </c>
      <c r="D11" s="89">
        <v>1.0</v>
      </c>
      <c r="E11" s="89" t="s">
        <v>2434</v>
      </c>
      <c r="F11" s="89" t="s">
        <v>2361</v>
      </c>
      <c r="G11" s="89"/>
      <c r="H11" s="97"/>
      <c r="I11" s="90"/>
      <c r="J11" s="91"/>
      <c r="K11" s="92"/>
      <c r="L11" s="93"/>
      <c r="M11" s="93"/>
      <c r="N11" s="94"/>
      <c r="O11" s="94"/>
      <c r="P11" s="94"/>
      <c r="Q11" s="94"/>
      <c r="R11" s="95"/>
      <c r="S11" s="95"/>
      <c r="T11" s="96"/>
      <c r="U11" s="96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86"/>
      <c r="B12" s="98"/>
      <c r="C12" s="89"/>
      <c r="D12" s="89"/>
      <c r="E12" s="89"/>
      <c r="F12" s="89"/>
      <c r="G12" s="99"/>
      <c r="H12" s="97"/>
      <c r="I12" s="90"/>
      <c r="J12" s="91"/>
      <c r="K12" s="92"/>
      <c r="L12" s="93"/>
      <c r="M12" s="93"/>
      <c r="N12" s="94"/>
      <c r="O12" s="94"/>
      <c r="P12" s="94"/>
      <c r="Q12" s="94"/>
      <c r="R12" s="95"/>
      <c r="S12" s="100"/>
      <c r="T12" s="96"/>
      <c r="U12" s="96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86">
        <v>51.0</v>
      </c>
      <c r="B13" s="87" t="s">
        <v>2435</v>
      </c>
      <c r="C13" s="88" t="s">
        <v>2433</v>
      </c>
      <c r="D13" s="88">
        <v>1.0</v>
      </c>
      <c r="E13" s="88" t="s">
        <v>2436</v>
      </c>
      <c r="F13" s="88" t="s">
        <v>2366</v>
      </c>
      <c r="G13" s="89" t="s">
        <v>2437</v>
      </c>
      <c r="H13" s="97"/>
      <c r="I13" s="90"/>
      <c r="J13" s="91"/>
      <c r="K13" s="92"/>
      <c r="L13" s="93"/>
      <c r="M13" s="93"/>
      <c r="N13" s="94"/>
      <c r="O13" s="94"/>
      <c r="P13" s="94"/>
      <c r="Q13" s="94"/>
      <c r="R13" s="95"/>
      <c r="S13" s="100"/>
      <c r="T13" s="96"/>
      <c r="U13" s="96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86">
        <v>52.0</v>
      </c>
      <c r="B14" s="98" t="s">
        <v>2438</v>
      </c>
      <c r="C14" s="89" t="s">
        <v>2433</v>
      </c>
      <c r="D14" s="89">
        <v>1.0</v>
      </c>
      <c r="E14" s="89" t="s">
        <v>2436</v>
      </c>
      <c r="F14" s="89" t="s">
        <v>2366</v>
      </c>
      <c r="G14" s="89" t="s">
        <v>2437</v>
      </c>
      <c r="H14" s="97"/>
      <c r="I14" s="90"/>
      <c r="J14" s="91"/>
      <c r="K14" s="92"/>
      <c r="L14" s="93"/>
      <c r="M14" s="93"/>
      <c r="N14" s="94"/>
      <c r="O14" s="94"/>
      <c r="P14" s="94"/>
      <c r="Q14" s="94"/>
      <c r="R14" s="101"/>
      <c r="S14" s="100"/>
      <c r="T14" s="96"/>
      <c r="U14" s="96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86">
        <v>14.0</v>
      </c>
      <c r="B15" s="87" t="s">
        <v>2439</v>
      </c>
      <c r="C15" s="88" t="s">
        <v>2433</v>
      </c>
      <c r="D15" s="88">
        <v>2.0</v>
      </c>
      <c r="E15" s="88" t="s">
        <v>2434</v>
      </c>
      <c r="F15" s="88" t="s">
        <v>2366</v>
      </c>
      <c r="G15" s="89"/>
      <c r="H15" s="97"/>
      <c r="I15" s="90"/>
      <c r="J15" s="91"/>
      <c r="K15" s="92"/>
      <c r="L15" s="93"/>
      <c r="M15" s="93"/>
      <c r="N15" s="94"/>
      <c r="O15" s="94"/>
      <c r="P15" s="94"/>
      <c r="Q15" s="94"/>
      <c r="R15" s="95"/>
      <c r="S15" s="95"/>
      <c r="T15" s="96"/>
      <c r="U15" s="96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86">
        <v>56.0</v>
      </c>
      <c r="B16" s="87" t="s">
        <v>2440</v>
      </c>
      <c r="C16" s="88" t="s">
        <v>2427</v>
      </c>
      <c r="D16" s="88">
        <v>1.0</v>
      </c>
      <c r="E16" s="88" t="s">
        <v>2436</v>
      </c>
      <c r="F16" s="88" t="s">
        <v>2366</v>
      </c>
      <c r="G16" s="89" t="s">
        <v>2441</v>
      </c>
      <c r="H16" s="97"/>
      <c r="I16" s="90"/>
      <c r="J16" s="91"/>
      <c r="K16" s="92"/>
      <c r="L16" s="93"/>
      <c r="M16" s="93"/>
      <c r="N16" s="94"/>
      <c r="O16" s="94"/>
      <c r="P16" s="94"/>
      <c r="Q16" s="94"/>
      <c r="R16" s="95"/>
      <c r="S16" s="95"/>
      <c r="T16" s="96"/>
      <c r="U16" s="96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86">
        <v>66.0</v>
      </c>
      <c r="B17" s="98" t="s">
        <v>2442</v>
      </c>
      <c r="C17" s="89" t="s">
        <v>2427</v>
      </c>
      <c r="D17" s="89">
        <v>2.0</v>
      </c>
      <c r="E17" s="89" t="s">
        <v>2443</v>
      </c>
      <c r="F17" s="89" t="s">
        <v>2366</v>
      </c>
      <c r="G17" s="89" t="s">
        <v>2441</v>
      </c>
      <c r="H17" s="97"/>
      <c r="I17" s="90"/>
      <c r="J17" s="91"/>
      <c r="K17" s="92"/>
      <c r="L17" s="93"/>
      <c r="M17" s="93"/>
      <c r="N17" s="94"/>
      <c r="O17" s="94"/>
      <c r="P17" s="94"/>
      <c r="Q17" s="94"/>
      <c r="R17" s="95"/>
      <c r="S17" s="100"/>
      <c r="T17" s="96"/>
      <c r="U17" s="96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86">
        <v>47.0</v>
      </c>
      <c r="B18" s="87" t="s">
        <v>2444</v>
      </c>
      <c r="C18" s="88" t="s">
        <v>2427</v>
      </c>
      <c r="D18" s="88">
        <v>3.0</v>
      </c>
      <c r="E18" s="88" t="s">
        <v>2434</v>
      </c>
      <c r="F18" s="88" t="s">
        <v>2366</v>
      </c>
      <c r="G18" s="89"/>
      <c r="H18" s="97"/>
      <c r="I18" s="90"/>
      <c r="J18" s="91"/>
      <c r="K18" s="92"/>
      <c r="L18" s="93"/>
      <c r="M18" s="93"/>
      <c r="N18" s="94"/>
      <c r="O18" s="94"/>
      <c r="P18" s="94"/>
      <c r="Q18" s="94"/>
      <c r="R18" s="95"/>
      <c r="S18" s="100"/>
      <c r="T18" s="96"/>
      <c r="U18" s="96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86"/>
      <c r="B19" s="98"/>
      <c r="C19" s="89"/>
      <c r="D19" s="89"/>
      <c r="E19" s="89"/>
      <c r="F19" s="89"/>
      <c r="G19" s="89"/>
      <c r="H19" s="97"/>
      <c r="I19" s="90"/>
      <c r="J19" s="91"/>
      <c r="K19" s="92"/>
      <c r="L19" s="93"/>
      <c r="M19" s="93"/>
      <c r="N19" s="94"/>
      <c r="O19" s="94"/>
      <c r="P19" s="94"/>
      <c r="Q19" s="94"/>
      <c r="R19" s="95"/>
      <c r="S19" s="100"/>
      <c r="T19" s="96"/>
      <c r="U19" s="96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86"/>
      <c r="B20" s="98"/>
      <c r="C20" s="89"/>
      <c r="D20" s="89"/>
      <c r="E20" s="89"/>
      <c r="F20" s="89"/>
      <c r="G20" s="89"/>
      <c r="H20" s="97"/>
      <c r="I20" s="90"/>
      <c r="J20" s="91"/>
      <c r="K20" s="92"/>
      <c r="L20" s="93"/>
      <c r="M20" s="93"/>
      <c r="N20" s="94"/>
      <c r="O20" s="94"/>
      <c r="P20" s="94"/>
      <c r="Q20" s="94"/>
      <c r="R20" s="95"/>
      <c r="S20" s="100"/>
      <c r="T20" s="96"/>
      <c r="U20" s="96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86">
        <v>18.0</v>
      </c>
      <c r="B21" s="98" t="s">
        <v>2445</v>
      </c>
      <c r="C21" s="102" t="s">
        <v>2433</v>
      </c>
      <c r="D21" s="89">
        <v>2.0</v>
      </c>
      <c r="E21" s="89" t="s">
        <v>2434</v>
      </c>
      <c r="F21" s="89" t="s">
        <v>2446</v>
      </c>
      <c r="G21" s="89"/>
      <c r="H21" s="97"/>
      <c r="I21" s="90"/>
      <c r="J21" s="91"/>
      <c r="K21" s="92"/>
      <c r="L21" s="93"/>
      <c r="M21" s="93"/>
      <c r="N21" s="94"/>
      <c r="O21" s="94"/>
      <c r="P21" s="94"/>
      <c r="Q21" s="94"/>
      <c r="R21" s="95"/>
      <c r="S21" s="100"/>
      <c r="T21" s="96"/>
      <c r="U21" s="96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86">
        <v>32.0</v>
      </c>
      <c r="B22" s="98" t="s">
        <v>2328</v>
      </c>
      <c r="C22" s="89" t="s">
        <v>2433</v>
      </c>
      <c r="D22" s="89">
        <v>3.0</v>
      </c>
      <c r="E22" s="89" t="s">
        <v>2434</v>
      </c>
      <c r="F22" s="89" t="s">
        <v>2446</v>
      </c>
      <c r="G22" s="89"/>
      <c r="H22" s="97"/>
      <c r="I22" s="90"/>
      <c r="J22" s="91"/>
      <c r="K22" s="92"/>
      <c r="L22" s="93"/>
      <c r="M22" s="93"/>
      <c r="N22" s="94"/>
      <c r="O22" s="94"/>
      <c r="P22" s="94"/>
      <c r="Q22" s="94"/>
      <c r="R22" s="95"/>
      <c r="S22" s="100"/>
      <c r="T22" s="96"/>
      <c r="U22" s="96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86">
        <v>61.0</v>
      </c>
      <c r="B23" s="87" t="s">
        <v>2447</v>
      </c>
      <c r="C23" s="88" t="s">
        <v>2427</v>
      </c>
      <c r="D23" s="88">
        <v>2.0</v>
      </c>
      <c r="E23" s="88" t="s">
        <v>2436</v>
      </c>
      <c r="F23" s="88" t="s">
        <v>2446</v>
      </c>
      <c r="G23" s="89" t="s">
        <v>2448</v>
      </c>
      <c r="H23" s="97"/>
      <c r="I23" s="90"/>
      <c r="J23" s="91"/>
      <c r="K23" s="92"/>
      <c r="L23" s="93"/>
      <c r="M23" s="93"/>
      <c r="N23" s="94"/>
      <c r="O23" s="94"/>
      <c r="P23" s="94"/>
      <c r="Q23" s="94"/>
      <c r="R23" s="95"/>
      <c r="S23" s="100"/>
      <c r="T23" s="96"/>
      <c r="U23" s="96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86">
        <v>53.0</v>
      </c>
      <c r="B24" s="87" t="s">
        <v>2262</v>
      </c>
      <c r="C24" s="88" t="s">
        <v>2427</v>
      </c>
      <c r="D24" s="88">
        <v>3.0</v>
      </c>
      <c r="E24" s="88" t="s">
        <v>2434</v>
      </c>
      <c r="F24" s="88" t="s">
        <v>2446</v>
      </c>
      <c r="G24" s="89"/>
      <c r="H24" s="97"/>
      <c r="I24" s="90"/>
      <c r="J24" s="91"/>
      <c r="K24" s="92"/>
      <c r="L24" s="93"/>
      <c r="M24" s="93"/>
      <c r="N24" s="94"/>
      <c r="O24" s="94"/>
      <c r="P24" s="94"/>
      <c r="Q24" s="94"/>
      <c r="R24" s="95"/>
      <c r="S24" s="100"/>
      <c r="T24" s="96"/>
      <c r="U24" s="96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103"/>
      <c r="B25" s="98"/>
      <c r="C25" s="89"/>
      <c r="D25" s="89"/>
      <c r="E25" s="89"/>
      <c r="F25" s="89"/>
      <c r="G25" s="89"/>
      <c r="H25" s="97"/>
      <c r="I25" s="90"/>
      <c r="J25" s="91"/>
      <c r="K25" s="92"/>
      <c r="L25" s="93"/>
      <c r="M25" s="93"/>
      <c r="N25" s="94"/>
      <c r="O25" s="94"/>
      <c r="P25" s="94"/>
      <c r="Q25" s="94"/>
      <c r="R25" s="95"/>
      <c r="S25" s="100"/>
      <c r="T25" s="96"/>
      <c r="U25" s="96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103">
        <v>67.0</v>
      </c>
      <c r="B26" s="87" t="s">
        <v>2449</v>
      </c>
      <c r="C26" s="88" t="s">
        <v>2433</v>
      </c>
      <c r="D26" s="88">
        <v>1.0</v>
      </c>
      <c r="E26" s="88" t="s">
        <v>2450</v>
      </c>
      <c r="F26" s="88" t="s">
        <v>2357</v>
      </c>
      <c r="G26" s="89"/>
      <c r="H26" s="97"/>
      <c r="I26" s="90"/>
      <c r="J26" s="91"/>
      <c r="K26" s="92"/>
      <c r="L26" s="93"/>
      <c r="M26" s="93"/>
      <c r="N26" s="94"/>
      <c r="O26" s="94"/>
      <c r="P26" s="94"/>
      <c r="Q26" s="94"/>
      <c r="R26" s="95"/>
      <c r="S26" s="100"/>
      <c r="T26" s="96"/>
      <c r="U26" s="96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86">
        <v>32.0</v>
      </c>
      <c r="B27" s="87" t="s">
        <v>2451</v>
      </c>
      <c r="C27" s="88" t="s">
        <v>2427</v>
      </c>
      <c r="D27" s="88">
        <v>1.0</v>
      </c>
      <c r="E27" s="88" t="s">
        <v>2428</v>
      </c>
      <c r="F27" s="88" t="s">
        <v>2357</v>
      </c>
      <c r="G27" s="89" t="s">
        <v>2452</v>
      </c>
      <c r="H27" s="97"/>
      <c r="I27" s="90"/>
      <c r="J27" s="91"/>
      <c r="K27" s="92"/>
      <c r="L27" s="93"/>
      <c r="M27" s="93"/>
      <c r="N27" s="94"/>
      <c r="O27" s="94"/>
      <c r="P27" s="94"/>
      <c r="Q27" s="94"/>
      <c r="R27" s="95"/>
      <c r="S27" s="100"/>
      <c r="T27" s="96"/>
      <c r="U27" s="96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86">
        <v>64.0</v>
      </c>
      <c r="B28" s="87" t="s">
        <v>2453</v>
      </c>
      <c r="C28" s="88" t="s">
        <v>2427</v>
      </c>
      <c r="D28" s="88">
        <v>1.0</v>
      </c>
      <c r="E28" s="88" t="s">
        <v>2443</v>
      </c>
      <c r="F28" s="88" t="s">
        <v>2357</v>
      </c>
      <c r="G28" s="89" t="s">
        <v>2454</v>
      </c>
      <c r="H28" s="97"/>
      <c r="I28" s="90"/>
      <c r="J28" s="91"/>
      <c r="K28" s="92"/>
      <c r="L28" s="93"/>
      <c r="M28" s="93"/>
      <c r="N28" s="94"/>
      <c r="O28" s="94"/>
      <c r="P28" s="94"/>
      <c r="Q28" s="94"/>
      <c r="R28" s="95"/>
      <c r="S28" s="100"/>
      <c r="T28" s="96"/>
      <c r="U28" s="96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86">
        <v>65.0</v>
      </c>
      <c r="B29" s="87" t="s">
        <v>2455</v>
      </c>
      <c r="C29" s="88" t="s">
        <v>2427</v>
      </c>
      <c r="D29" s="88">
        <v>1.0</v>
      </c>
      <c r="E29" s="88" t="s">
        <v>2443</v>
      </c>
      <c r="F29" s="88" t="s">
        <v>2357</v>
      </c>
      <c r="G29" s="89" t="s">
        <v>2452</v>
      </c>
      <c r="H29" s="97"/>
      <c r="I29" s="90"/>
      <c r="J29" s="91"/>
      <c r="K29" s="92"/>
      <c r="L29" s="93"/>
      <c r="M29" s="93"/>
      <c r="N29" s="94"/>
      <c r="O29" s="94"/>
      <c r="P29" s="94"/>
      <c r="Q29" s="94"/>
      <c r="R29" s="95"/>
      <c r="S29" s="100"/>
      <c r="T29" s="96"/>
      <c r="U29" s="96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104">
        <v>56.0</v>
      </c>
      <c r="B30" s="105" t="s">
        <v>2456</v>
      </c>
      <c r="C30" s="106" t="s">
        <v>2427</v>
      </c>
      <c r="D30" s="106">
        <v>3.0</v>
      </c>
      <c r="E30" s="106" t="s">
        <v>2434</v>
      </c>
      <c r="F30" s="106" t="s">
        <v>2357</v>
      </c>
      <c r="G30" s="97"/>
      <c r="H30" s="97"/>
      <c r="I30" s="90"/>
      <c r="J30" s="91"/>
      <c r="K30" s="92"/>
      <c r="L30" s="93"/>
      <c r="M30" s="93"/>
      <c r="N30" s="94"/>
      <c r="O30" s="94"/>
      <c r="P30" s="94"/>
      <c r="Q30" s="94"/>
      <c r="R30" s="95"/>
      <c r="S30" s="100"/>
      <c r="T30" s="96"/>
      <c r="U30" s="96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103"/>
      <c r="B31" s="98"/>
      <c r="C31" s="89"/>
      <c r="D31" s="89"/>
      <c r="E31" s="89"/>
      <c r="F31" s="89"/>
      <c r="G31" s="97"/>
      <c r="H31" s="97"/>
      <c r="I31" s="90"/>
      <c r="J31" s="91"/>
      <c r="K31" s="92"/>
      <c r="L31" s="93"/>
      <c r="M31" s="93"/>
      <c r="N31" s="94"/>
      <c r="O31" s="94"/>
      <c r="P31" s="94"/>
      <c r="Q31" s="94"/>
      <c r="R31" s="95"/>
      <c r="S31" s="100"/>
      <c r="T31" s="96"/>
      <c r="U31" s="96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86">
        <v>9.0</v>
      </c>
      <c r="B32" s="87" t="s">
        <v>2457</v>
      </c>
      <c r="C32" s="88" t="s">
        <v>2433</v>
      </c>
      <c r="D32" s="88">
        <v>1.0</v>
      </c>
      <c r="E32" s="88" t="s">
        <v>2434</v>
      </c>
      <c r="F32" s="88" t="s">
        <v>2458</v>
      </c>
      <c r="G32" s="97" t="s">
        <v>2459</v>
      </c>
      <c r="H32" s="97"/>
      <c r="I32" s="90"/>
      <c r="J32" s="91"/>
      <c r="K32" s="92"/>
      <c r="L32" s="93"/>
      <c r="M32" s="93"/>
      <c r="N32" s="94"/>
      <c r="O32" s="94"/>
      <c r="P32" s="94"/>
      <c r="Q32" s="94"/>
      <c r="R32" s="95"/>
      <c r="S32" s="100"/>
      <c r="T32" s="96"/>
      <c r="U32" s="96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86"/>
      <c r="B33" s="98"/>
      <c r="C33" s="89"/>
      <c r="D33" s="89"/>
      <c r="E33" s="89"/>
      <c r="F33" s="89"/>
      <c r="G33" s="97"/>
      <c r="H33" s="97"/>
      <c r="I33" s="90"/>
      <c r="J33" s="91"/>
      <c r="K33" s="92"/>
      <c r="L33" s="93"/>
      <c r="M33" s="93"/>
      <c r="N33" s="94"/>
      <c r="O33" s="94"/>
      <c r="P33" s="94"/>
      <c r="Q33" s="94"/>
      <c r="R33" s="95"/>
      <c r="S33" s="100"/>
      <c r="T33" s="96"/>
      <c r="U33" s="96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86">
        <v>13.0</v>
      </c>
      <c r="B34" s="87" t="s">
        <v>2460</v>
      </c>
      <c r="C34" s="88" t="s">
        <v>2433</v>
      </c>
      <c r="D34" s="88">
        <v>2.0</v>
      </c>
      <c r="E34" s="88" t="s">
        <v>2434</v>
      </c>
      <c r="F34" s="88" t="s">
        <v>2461</v>
      </c>
      <c r="G34" s="97"/>
      <c r="H34" s="97"/>
      <c r="I34" s="90"/>
      <c r="J34" s="91"/>
      <c r="K34" s="92"/>
      <c r="L34" s="93"/>
      <c r="M34" s="93"/>
      <c r="N34" s="94"/>
      <c r="O34" s="94"/>
      <c r="P34" s="94"/>
      <c r="Q34" s="94"/>
      <c r="R34" s="95"/>
      <c r="S34" s="100"/>
      <c r="T34" s="96"/>
      <c r="U34" s="96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86"/>
      <c r="B35" s="98"/>
      <c r="C35" s="89"/>
      <c r="D35" s="89"/>
      <c r="E35" s="89"/>
      <c r="F35" s="89"/>
      <c r="G35" s="97"/>
      <c r="H35" s="97"/>
      <c r="I35" s="90"/>
      <c r="J35" s="91"/>
      <c r="K35" s="92"/>
      <c r="L35" s="93"/>
      <c r="M35" s="93"/>
      <c r="N35" s="94"/>
      <c r="O35" s="94"/>
      <c r="P35" s="94"/>
      <c r="Q35" s="94"/>
      <c r="R35" s="95"/>
      <c r="S35" s="100"/>
      <c r="T35" s="96"/>
      <c r="U35" s="96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86">
        <v>23.0</v>
      </c>
      <c r="B36" s="87" t="s">
        <v>2462</v>
      </c>
      <c r="C36" s="88" t="s">
        <v>2427</v>
      </c>
      <c r="D36" s="88">
        <v>2.0</v>
      </c>
      <c r="E36" s="88" t="s">
        <v>2434</v>
      </c>
      <c r="F36" s="88" t="s">
        <v>2374</v>
      </c>
      <c r="G36" s="97"/>
      <c r="H36" s="97"/>
      <c r="I36" s="90"/>
      <c r="J36" s="91"/>
      <c r="K36" s="92"/>
      <c r="L36" s="93"/>
      <c r="M36" s="93"/>
      <c r="N36" s="94"/>
      <c r="O36" s="94"/>
      <c r="P36" s="94"/>
      <c r="Q36" s="94"/>
      <c r="R36" s="95"/>
      <c r="S36" s="100"/>
      <c r="T36" s="96"/>
      <c r="U36" s="96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86">
        <v>27.0</v>
      </c>
      <c r="B37" s="87" t="s">
        <v>2463</v>
      </c>
      <c r="C37" s="88" t="s">
        <v>2433</v>
      </c>
      <c r="D37" s="88">
        <v>3.0</v>
      </c>
      <c r="E37" s="88" t="s">
        <v>2434</v>
      </c>
      <c r="F37" s="88" t="s">
        <v>2374</v>
      </c>
      <c r="G37" s="97"/>
      <c r="H37" s="97"/>
      <c r="I37" s="90"/>
      <c r="J37" s="91"/>
      <c r="K37" s="92"/>
      <c r="L37" s="93"/>
      <c r="M37" s="93"/>
      <c r="N37" s="94"/>
      <c r="O37" s="94"/>
      <c r="P37" s="94"/>
      <c r="Q37" s="94"/>
      <c r="R37" s="95"/>
      <c r="S37" s="100"/>
      <c r="T37" s="96"/>
      <c r="U37" s="96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86">
        <v>42.0</v>
      </c>
      <c r="B38" s="87" t="s">
        <v>2464</v>
      </c>
      <c r="C38" s="88" t="s">
        <v>2427</v>
      </c>
      <c r="D38" s="88">
        <v>3.0</v>
      </c>
      <c r="E38" s="88" t="s">
        <v>2434</v>
      </c>
      <c r="F38" s="88" t="s">
        <v>2374</v>
      </c>
      <c r="G38" s="97"/>
      <c r="H38" s="97"/>
      <c r="I38" s="90"/>
      <c r="J38" s="91"/>
      <c r="K38" s="92"/>
      <c r="L38" s="93"/>
      <c r="M38" s="93"/>
      <c r="N38" s="94"/>
      <c r="O38" s="94"/>
      <c r="P38" s="94"/>
      <c r="Q38" s="94"/>
      <c r="R38" s="95"/>
      <c r="S38" s="100"/>
      <c r="T38" s="96"/>
      <c r="U38" s="96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86"/>
      <c r="B39" s="98"/>
      <c r="C39" s="89"/>
      <c r="D39" s="89"/>
      <c r="E39" s="89"/>
      <c r="F39" s="89"/>
      <c r="G39" s="97"/>
      <c r="H39" s="97"/>
      <c r="I39" s="90"/>
      <c r="J39" s="91"/>
      <c r="K39" s="92"/>
      <c r="L39" s="93"/>
      <c r="M39" s="93"/>
      <c r="N39" s="94"/>
      <c r="O39" s="94"/>
      <c r="P39" s="94"/>
      <c r="Q39" s="94"/>
      <c r="R39" s="95"/>
      <c r="S39" s="100"/>
      <c r="T39" s="96"/>
      <c r="U39" s="96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104"/>
      <c r="B40" s="107"/>
      <c r="C40" s="104"/>
      <c r="D40" s="104"/>
      <c r="E40" s="104"/>
      <c r="F40" s="104"/>
      <c r="G40" s="97"/>
      <c r="H40" s="108"/>
      <c r="I40" s="90"/>
      <c r="J40" s="91"/>
      <c r="K40" s="92"/>
      <c r="L40" s="93"/>
      <c r="M40" s="93"/>
      <c r="N40" s="94"/>
      <c r="O40" s="94"/>
      <c r="P40" s="94"/>
      <c r="Q40" s="94"/>
      <c r="R40" s="95"/>
      <c r="S40" s="100"/>
      <c r="T40" s="96"/>
      <c r="U40" s="96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86">
        <v>58.0</v>
      </c>
      <c r="B41" s="87" t="s">
        <v>2465</v>
      </c>
      <c r="C41" s="88" t="s">
        <v>2433</v>
      </c>
      <c r="D41" s="88">
        <v>1.0</v>
      </c>
      <c r="E41" s="88" t="s">
        <v>2450</v>
      </c>
      <c r="F41" s="88" t="s">
        <v>2466</v>
      </c>
      <c r="G41" s="97" t="s">
        <v>2467</v>
      </c>
      <c r="H41" s="97"/>
      <c r="I41" s="90"/>
      <c r="J41" s="91"/>
      <c r="K41" s="92"/>
      <c r="L41" s="93"/>
      <c r="M41" s="93"/>
      <c r="N41" s="94"/>
      <c r="O41" s="94"/>
      <c r="P41" s="94"/>
      <c r="Q41" s="94"/>
      <c r="R41" s="95"/>
      <c r="S41" s="100"/>
      <c r="T41" s="96"/>
      <c r="U41" s="96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86">
        <v>60.0</v>
      </c>
      <c r="B42" s="87" t="s">
        <v>2468</v>
      </c>
      <c r="C42" s="88" t="s">
        <v>2433</v>
      </c>
      <c r="D42" s="88">
        <v>1.0</v>
      </c>
      <c r="E42" s="88" t="s">
        <v>2450</v>
      </c>
      <c r="F42" s="88" t="s">
        <v>2466</v>
      </c>
      <c r="G42" s="97"/>
      <c r="H42" s="97"/>
      <c r="I42" s="90"/>
      <c r="J42" s="91"/>
      <c r="K42" s="92"/>
      <c r="L42" s="93"/>
      <c r="M42" s="93"/>
      <c r="N42" s="94"/>
      <c r="O42" s="94"/>
      <c r="P42" s="94"/>
      <c r="Q42" s="94"/>
      <c r="R42" s="95"/>
      <c r="S42" s="100"/>
      <c r="T42" s="96"/>
      <c r="U42" s="96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103"/>
      <c r="B43" s="98"/>
      <c r="C43" s="89"/>
      <c r="D43" s="89"/>
      <c r="E43" s="89"/>
      <c r="F43" s="89"/>
      <c r="G43" s="97"/>
      <c r="H43" s="97"/>
      <c r="I43" s="90"/>
      <c r="J43" s="91"/>
      <c r="K43" s="92"/>
      <c r="L43" s="93"/>
      <c r="M43" s="93"/>
      <c r="N43" s="94"/>
      <c r="O43" s="94"/>
      <c r="P43" s="94"/>
      <c r="Q43" s="94"/>
      <c r="R43" s="95"/>
      <c r="S43" s="95"/>
      <c r="T43" s="96"/>
      <c r="U43" s="96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103">
        <v>61.0</v>
      </c>
      <c r="B44" s="87" t="s">
        <v>2469</v>
      </c>
      <c r="C44" s="88" t="s">
        <v>2433</v>
      </c>
      <c r="D44" s="88">
        <v>1.0</v>
      </c>
      <c r="E44" s="88" t="s">
        <v>2450</v>
      </c>
      <c r="F44" s="88" t="s">
        <v>2348</v>
      </c>
      <c r="G44" s="97"/>
      <c r="H44" s="97"/>
      <c r="I44" s="90"/>
      <c r="J44" s="91"/>
      <c r="K44" s="92"/>
      <c r="L44" s="93"/>
      <c r="M44" s="93"/>
      <c r="N44" s="94"/>
      <c r="O44" s="94"/>
      <c r="P44" s="94"/>
      <c r="Q44" s="94"/>
      <c r="R44" s="95"/>
      <c r="S44" s="95"/>
      <c r="T44" s="96"/>
      <c r="U44" s="96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86">
        <v>62.0</v>
      </c>
      <c r="B45" s="87" t="s">
        <v>2470</v>
      </c>
      <c r="C45" s="88" t="s">
        <v>2433</v>
      </c>
      <c r="D45" s="88">
        <v>1.0</v>
      </c>
      <c r="E45" s="88" t="s">
        <v>2450</v>
      </c>
      <c r="F45" s="88" t="s">
        <v>2348</v>
      </c>
      <c r="G45" s="97"/>
      <c r="H45" s="97"/>
      <c r="I45" s="90"/>
      <c r="J45" s="91"/>
      <c r="K45" s="92"/>
      <c r="L45" s="93"/>
      <c r="M45" s="93"/>
      <c r="N45" s="94"/>
      <c r="O45" s="94"/>
      <c r="P45" s="94"/>
      <c r="Q45" s="94"/>
      <c r="R45" s="95"/>
      <c r="S45" s="100"/>
      <c r="T45" s="96"/>
      <c r="U45" s="96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86"/>
      <c r="B46" s="98"/>
      <c r="C46" s="89"/>
      <c r="D46" s="89"/>
      <c r="E46" s="89"/>
      <c r="F46" s="89"/>
      <c r="G46" s="97"/>
      <c r="H46" s="97"/>
      <c r="I46" s="90"/>
      <c r="J46" s="91"/>
      <c r="K46" s="92"/>
      <c r="L46" s="93"/>
      <c r="M46" s="93"/>
      <c r="N46" s="94"/>
      <c r="O46" s="94"/>
      <c r="P46" s="94"/>
      <c r="Q46" s="94"/>
      <c r="R46" s="95"/>
      <c r="S46" s="100"/>
      <c r="T46" s="96"/>
      <c r="U46" s="96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86"/>
      <c r="B47" s="98"/>
      <c r="C47" s="89"/>
      <c r="D47" s="89"/>
      <c r="E47" s="89"/>
      <c r="F47" s="89"/>
      <c r="G47" s="97"/>
      <c r="H47" s="97"/>
      <c r="I47" s="90"/>
      <c r="J47" s="91"/>
      <c r="K47" s="92"/>
      <c r="L47" s="93"/>
      <c r="M47" s="93"/>
      <c r="N47" s="94"/>
      <c r="O47" s="94"/>
      <c r="P47" s="94"/>
      <c r="Q47" s="94"/>
      <c r="R47" s="95"/>
      <c r="S47" s="100"/>
      <c r="T47" s="96"/>
      <c r="U47" s="96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86"/>
      <c r="B48" s="87" t="s">
        <v>2471</v>
      </c>
      <c r="C48" s="88" t="s">
        <v>2433</v>
      </c>
      <c r="D48" s="88">
        <v>2.0</v>
      </c>
      <c r="E48" s="88" t="s">
        <v>2450</v>
      </c>
      <c r="F48" s="88" t="s">
        <v>2387</v>
      </c>
      <c r="G48" s="97"/>
      <c r="H48" s="97"/>
      <c r="I48" s="90"/>
      <c r="J48" s="91"/>
      <c r="K48" s="92"/>
      <c r="L48" s="93"/>
      <c r="M48" s="93"/>
      <c r="N48" s="94"/>
      <c r="O48" s="94"/>
      <c r="P48" s="94"/>
      <c r="Q48" s="94"/>
      <c r="R48" s="95"/>
      <c r="S48" s="100"/>
      <c r="T48" s="96"/>
      <c r="U48" s="96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103"/>
      <c r="B49" s="87" t="s">
        <v>2472</v>
      </c>
      <c r="C49" s="88" t="s">
        <v>2433</v>
      </c>
      <c r="D49" s="88">
        <v>2.0</v>
      </c>
      <c r="E49" s="88" t="s">
        <v>2450</v>
      </c>
      <c r="F49" s="88" t="s">
        <v>2387</v>
      </c>
      <c r="G49" s="97"/>
      <c r="H49" s="97"/>
      <c r="I49" s="90"/>
      <c r="J49" s="91"/>
      <c r="K49" s="92"/>
      <c r="L49" s="93"/>
      <c r="M49" s="93"/>
      <c r="N49" s="94"/>
      <c r="O49" s="94"/>
      <c r="P49" s="94"/>
      <c r="Q49" s="94"/>
      <c r="R49" s="95"/>
      <c r="S49" s="100"/>
      <c r="T49" s="96"/>
      <c r="U49" s="96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86"/>
      <c r="B50" s="87" t="s">
        <v>2473</v>
      </c>
      <c r="C50" s="88" t="s">
        <v>2427</v>
      </c>
      <c r="D50" s="88">
        <v>1.0</v>
      </c>
      <c r="E50" s="88" t="s">
        <v>2431</v>
      </c>
      <c r="F50" s="88" t="s">
        <v>2387</v>
      </c>
      <c r="G50" s="97"/>
      <c r="H50" s="97"/>
      <c r="I50" s="90"/>
      <c r="J50" s="91"/>
      <c r="K50" s="92"/>
      <c r="L50" s="93"/>
      <c r="M50" s="93"/>
      <c r="N50" s="94"/>
      <c r="O50" s="94"/>
      <c r="P50" s="94"/>
      <c r="Q50" s="94"/>
      <c r="R50" s="95"/>
      <c r="S50" s="100"/>
      <c r="T50" s="96"/>
      <c r="U50" s="96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103"/>
      <c r="B51" s="87" t="s">
        <v>2474</v>
      </c>
      <c r="C51" s="88" t="s">
        <v>2427</v>
      </c>
      <c r="D51" s="88">
        <v>2.0</v>
      </c>
      <c r="E51" s="88" t="s">
        <v>2450</v>
      </c>
      <c r="F51" s="88" t="s">
        <v>2387</v>
      </c>
      <c r="G51" s="97"/>
      <c r="H51" s="97"/>
      <c r="I51" s="90"/>
      <c r="J51" s="91"/>
      <c r="K51" s="92"/>
      <c r="L51" s="93"/>
      <c r="M51" s="93"/>
      <c r="N51" s="94"/>
      <c r="O51" s="94"/>
      <c r="P51" s="94"/>
      <c r="Q51" s="94"/>
      <c r="R51" s="95"/>
      <c r="S51" s="100"/>
      <c r="T51" s="96"/>
      <c r="U51" s="96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103"/>
      <c r="B52" s="87" t="s">
        <v>2475</v>
      </c>
      <c r="C52" s="88" t="s">
        <v>2427</v>
      </c>
      <c r="D52" s="88">
        <v>3.0</v>
      </c>
      <c r="E52" s="88" t="s">
        <v>2450</v>
      </c>
      <c r="F52" s="88" t="s">
        <v>2387</v>
      </c>
      <c r="G52" s="97"/>
      <c r="H52" s="97"/>
      <c r="I52" s="90"/>
      <c r="J52" s="91"/>
      <c r="K52" s="92"/>
      <c r="L52" s="93"/>
      <c r="M52" s="93"/>
      <c r="N52" s="94"/>
      <c r="O52" s="94"/>
      <c r="P52" s="94"/>
      <c r="Q52" s="94"/>
      <c r="R52" s="95"/>
      <c r="S52" s="100"/>
      <c r="T52" s="96"/>
      <c r="U52" s="96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103"/>
      <c r="B53" s="98"/>
      <c r="C53" s="89"/>
      <c r="D53" s="89"/>
      <c r="E53" s="89"/>
      <c r="F53" s="89"/>
      <c r="G53" s="97"/>
      <c r="H53" s="97"/>
      <c r="I53" s="90"/>
      <c r="J53" s="91"/>
      <c r="K53" s="92"/>
      <c r="L53" s="93"/>
      <c r="M53" s="93"/>
      <c r="N53" s="94"/>
      <c r="O53" s="94"/>
      <c r="P53" s="94"/>
      <c r="Q53" s="94"/>
      <c r="R53" s="95"/>
      <c r="S53" s="100"/>
      <c r="T53" s="96"/>
      <c r="U53" s="96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86">
        <v>70.0</v>
      </c>
      <c r="B54" s="98" t="s">
        <v>2476</v>
      </c>
      <c r="C54" s="89" t="s">
        <v>2433</v>
      </c>
      <c r="D54" s="89">
        <v>2.0</v>
      </c>
      <c r="E54" s="89" t="s">
        <v>2450</v>
      </c>
      <c r="F54" s="89" t="s">
        <v>2446</v>
      </c>
      <c r="G54" s="97"/>
      <c r="H54" s="97"/>
      <c r="I54" s="90"/>
      <c r="J54" s="91"/>
      <c r="K54" s="92"/>
      <c r="L54" s="93"/>
      <c r="M54" s="93"/>
      <c r="N54" s="94"/>
      <c r="O54" s="94"/>
      <c r="P54" s="94"/>
      <c r="Q54" s="94"/>
      <c r="R54" s="95"/>
      <c r="S54" s="100"/>
      <c r="T54" s="96"/>
      <c r="U54" s="96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103">
        <v>71.0</v>
      </c>
      <c r="B55" s="98" t="s">
        <v>2283</v>
      </c>
      <c r="C55" s="89" t="s">
        <v>2433</v>
      </c>
      <c r="D55" s="89">
        <v>2.0</v>
      </c>
      <c r="E55" s="89" t="s">
        <v>2450</v>
      </c>
      <c r="F55" s="89" t="s">
        <v>2446</v>
      </c>
      <c r="G55" s="97"/>
      <c r="H55" s="97"/>
      <c r="I55" s="90"/>
      <c r="J55" s="91"/>
      <c r="K55" s="92"/>
      <c r="L55" s="93"/>
      <c r="M55" s="93"/>
      <c r="N55" s="94"/>
      <c r="O55" s="94"/>
      <c r="P55" s="94"/>
      <c r="Q55" s="94"/>
      <c r="R55" s="95"/>
      <c r="S55" s="100"/>
      <c r="T55" s="96"/>
      <c r="U55" s="96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86">
        <v>72.0</v>
      </c>
      <c r="B56" s="98" t="s">
        <v>2477</v>
      </c>
      <c r="C56" s="89" t="s">
        <v>2433</v>
      </c>
      <c r="D56" s="89">
        <v>2.0</v>
      </c>
      <c r="E56" s="89" t="s">
        <v>2450</v>
      </c>
      <c r="F56" s="89" t="s">
        <v>2446</v>
      </c>
      <c r="G56" s="97"/>
      <c r="H56" s="97"/>
      <c r="I56" s="90"/>
      <c r="J56" s="91"/>
      <c r="K56" s="92"/>
      <c r="L56" s="93"/>
      <c r="M56" s="93"/>
      <c r="N56" s="94"/>
      <c r="O56" s="94"/>
      <c r="P56" s="94"/>
      <c r="Q56" s="94"/>
      <c r="R56" s="95"/>
      <c r="S56" s="100"/>
      <c r="T56" s="96"/>
      <c r="U56" s="96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103"/>
      <c r="B57" s="98"/>
      <c r="C57" s="89"/>
      <c r="D57" s="89"/>
      <c r="E57" s="89"/>
      <c r="F57" s="89"/>
      <c r="G57" s="89"/>
      <c r="H57" s="97"/>
      <c r="I57" s="90"/>
      <c r="J57" s="91"/>
      <c r="K57" s="92"/>
      <c r="L57" s="93"/>
      <c r="M57" s="93"/>
      <c r="N57" s="94"/>
      <c r="O57" s="94"/>
      <c r="P57" s="94"/>
      <c r="Q57" s="94"/>
      <c r="R57" s="95"/>
      <c r="S57" s="100"/>
      <c r="T57" s="96"/>
      <c r="U57" s="96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103">
        <v>73.0</v>
      </c>
      <c r="B58" s="98" t="s">
        <v>2478</v>
      </c>
      <c r="C58" s="89" t="s">
        <v>2433</v>
      </c>
      <c r="D58" s="89">
        <v>2.0</v>
      </c>
      <c r="E58" s="89" t="s">
        <v>2450</v>
      </c>
      <c r="F58" s="89" t="s">
        <v>2348</v>
      </c>
      <c r="G58" s="89" t="s">
        <v>2479</v>
      </c>
      <c r="H58" s="97" t="s">
        <v>2480</v>
      </c>
      <c r="I58" s="90"/>
      <c r="J58" s="91"/>
      <c r="K58" s="92"/>
      <c r="L58" s="93"/>
      <c r="M58" s="93"/>
      <c r="N58" s="94"/>
      <c r="O58" s="94"/>
      <c r="P58" s="94"/>
      <c r="Q58" s="94"/>
      <c r="R58" s="95"/>
      <c r="S58" s="100"/>
      <c r="T58" s="96"/>
      <c r="U58" s="96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86">
        <v>74.0</v>
      </c>
      <c r="B59" s="98" t="s">
        <v>2481</v>
      </c>
      <c r="C59" s="89" t="s">
        <v>2433</v>
      </c>
      <c r="D59" s="89">
        <v>2.0</v>
      </c>
      <c r="E59" s="89" t="s">
        <v>2450</v>
      </c>
      <c r="F59" s="89" t="s">
        <v>2348</v>
      </c>
      <c r="G59" s="89" t="s">
        <v>2479</v>
      </c>
      <c r="H59" s="97" t="s">
        <v>2480</v>
      </c>
      <c r="I59" s="90" t="s">
        <v>2482</v>
      </c>
      <c r="J59" s="91" t="s">
        <v>2433</v>
      </c>
      <c r="K59" s="92"/>
      <c r="L59" s="93"/>
      <c r="M59" s="93"/>
      <c r="N59" s="94"/>
      <c r="O59" s="94"/>
      <c r="P59" s="94"/>
      <c r="Q59" s="94"/>
      <c r="R59" s="95"/>
      <c r="S59" s="100"/>
      <c r="T59" s="96"/>
      <c r="U59" s="96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103"/>
      <c r="B60" s="98"/>
      <c r="C60" s="89"/>
      <c r="D60" s="89"/>
      <c r="E60" s="89"/>
      <c r="F60" s="89"/>
      <c r="G60" s="97"/>
      <c r="H60" s="97"/>
      <c r="I60" s="90"/>
      <c r="J60" s="91"/>
      <c r="K60" s="92"/>
      <c r="L60" s="93"/>
      <c r="M60" s="93"/>
      <c r="N60" s="94"/>
      <c r="O60" s="94"/>
      <c r="P60" s="94"/>
      <c r="Q60" s="94"/>
      <c r="R60" s="95"/>
      <c r="S60" s="100"/>
      <c r="T60" s="96"/>
      <c r="U60" s="96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103">
        <v>75.0</v>
      </c>
      <c r="B61" s="87" t="s">
        <v>2483</v>
      </c>
      <c r="C61" s="88" t="s">
        <v>2433</v>
      </c>
      <c r="D61" s="88">
        <v>2.0</v>
      </c>
      <c r="E61" s="88" t="s">
        <v>2450</v>
      </c>
      <c r="F61" s="88" t="s">
        <v>2357</v>
      </c>
      <c r="G61" s="97"/>
      <c r="H61" s="97"/>
      <c r="I61" s="90"/>
      <c r="J61" s="91"/>
      <c r="K61" s="92"/>
      <c r="L61" s="93"/>
      <c r="M61" s="93"/>
      <c r="N61" s="94"/>
      <c r="O61" s="94"/>
      <c r="P61" s="94"/>
      <c r="Q61" s="94"/>
      <c r="R61" s="95"/>
      <c r="S61" s="100"/>
      <c r="T61" s="96"/>
      <c r="U61" s="96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103"/>
      <c r="B62" s="98"/>
      <c r="C62" s="89"/>
      <c r="D62" s="89"/>
      <c r="E62" s="89"/>
      <c r="F62" s="89"/>
      <c r="G62" s="97"/>
      <c r="H62" s="97"/>
      <c r="I62" s="90"/>
      <c r="J62" s="91"/>
      <c r="K62" s="92"/>
      <c r="L62" s="93"/>
      <c r="M62" s="93"/>
      <c r="N62" s="94"/>
      <c r="O62" s="94"/>
      <c r="P62" s="94"/>
      <c r="Q62" s="94"/>
      <c r="R62" s="95"/>
      <c r="S62" s="100"/>
      <c r="T62" s="96"/>
      <c r="U62" s="96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86">
        <v>78.0</v>
      </c>
      <c r="B63" s="87" t="s">
        <v>2484</v>
      </c>
      <c r="C63" s="88" t="s">
        <v>2427</v>
      </c>
      <c r="D63" s="88">
        <v>2.0</v>
      </c>
      <c r="E63" s="88" t="s">
        <v>2450</v>
      </c>
      <c r="F63" s="88" t="s">
        <v>2366</v>
      </c>
      <c r="G63" s="97"/>
      <c r="H63" s="97"/>
      <c r="I63" s="90"/>
      <c r="J63" s="91"/>
      <c r="K63" s="92"/>
      <c r="L63" s="93"/>
      <c r="M63" s="93"/>
      <c r="N63" s="94"/>
      <c r="O63" s="94"/>
      <c r="P63" s="94"/>
      <c r="Q63" s="94"/>
      <c r="R63" s="95"/>
      <c r="S63" s="100"/>
      <c r="T63" s="96"/>
      <c r="U63" s="96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103"/>
      <c r="B64" s="98"/>
      <c r="C64" s="89"/>
      <c r="D64" s="89"/>
      <c r="E64" s="89"/>
      <c r="F64" s="89"/>
      <c r="G64" s="97"/>
      <c r="H64" s="97"/>
      <c r="I64" s="90"/>
      <c r="J64" s="91"/>
      <c r="K64" s="92"/>
      <c r="L64" s="93"/>
      <c r="M64" s="93"/>
      <c r="N64" s="94"/>
      <c r="O64" s="94"/>
      <c r="P64" s="94"/>
      <c r="Q64" s="94"/>
      <c r="R64" s="95"/>
      <c r="S64" s="100"/>
      <c r="T64" s="96"/>
      <c r="U64" s="96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103">
        <v>79.0</v>
      </c>
      <c r="B65" s="98" t="s">
        <v>2268</v>
      </c>
      <c r="C65" s="89" t="s">
        <v>2427</v>
      </c>
      <c r="D65" s="89">
        <v>2.0</v>
      </c>
      <c r="E65" s="89" t="s">
        <v>2450</v>
      </c>
      <c r="F65" s="89" t="s">
        <v>2348</v>
      </c>
      <c r="G65" s="97" t="s">
        <v>2479</v>
      </c>
      <c r="H65" s="97" t="s">
        <v>2480</v>
      </c>
      <c r="I65" s="90"/>
      <c r="J65" s="91"/>
      <c r="K65" s="92"/>
      <c r="L65" s="93"/>
      <c r="M65" s="93"/>
      <c r="N65" s="94"/>
      <c r="O65" s="94"/>
      <c r="P65" s="94"/>
      <c r="Q65" s="94"/>
      <c r="R65" s="95"/>
      <c r="S65" s="100"/>
      <c r="T65" s="96"/>
      <c r="U65" s="96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86">
        <v>80.0</v>
      </c>
      <c r="B66" s="98" t="s">
        <v>2485</v>
      </c>
      <c r="C66" s="89" t="s">
        <v>2427</v>
      </c>
      <c r="D66" s="89">
        <v>2.0</v>
      </c>
      <c r="E66" s="89" t="s">
        <v>2450</v>
      </c>
      <c r="F66" s="89" t="s">
        <v>2348</v>
      </c>
      <c r="G66" s="89" t="s">
        <v>2479</v>
      </c>
      <c r="H66" s="97" t="s">
        <v>2480</v>
      </c>
      <c r="I66" s="90"/>
      <c r="J66" s="91"/>
      <c r="K66" s="92"/>
      <c r="L66" s="93"/>
      <c r="M66" s="93"/>
      <c r="N66" s="94"/>
      <c r="O66" s="94"/>
      <c r="P66" s="94"/>
      <c r="Q66" s="94"/>
      <c r="R66" s="95"/>
      <c r="S66" s="100"/>
      <c r="T66" s="96"/>
      <c r="U66" s="96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103"/>
      <c r="B67" s="98"/>
      <c r="C67" s="89"/>
      <c r="D67" s="89"/>
      <c r="E67" s="89"/>
      <c r="F67" s="89"/>
      <c r="G67" s="97"/>
      <c r="H67" s="97"/>
      <c r="I67" s="90"/>
      <c r="J67" s="91"/>
      <c r="K67" s="92"/>
      <c r="L67" s="93"/>
      <c r="M67" s="93"/>
      <c r="N67" s="94"/>
      <c r="O67" s="94"/>
      <c r="P67" s="94"/>
      <c r="Q67" s="94"/>
      <c r="R67" s="95"/>
      <c r="S67" s="100"/>
      <c r="T67" s="96"/>
      <c r="U67" s="96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103">
        <v>85.0</v>
      </c>
      <c r="B68" s="87" t="s">
        <v>2486</v>
      </c>
      <c r="C68" s="88" t="s">
        <v>2433</v>
      </c>
      <c r="D68" s="88">
        <v>3.0</v>
      </c>
      <c r="E68" s="88" t="s">
        <v>2450</v>
      </c>
      <c r="F68" s="88" t="s">
        <v>2366</v>
      </c>
      <c r="G68" s="97"/>
      <c r="H68" s="97"/>
      <c r="I68" s="90"/>
      <c r="J68" s="91"/>
      <c r="K68" s="92"/>
      <c r="L68" s="93"/>
      <c r="M68" s="93"/>
      <c r="N68" s="94"/>
      <c r="O68" s="94"/>
      <c r="P68" s="94"/>
      <c r="Q68" s="94"/>
      <c r="R68" s="95"/>
      <c r="S68" s="100"/>
      <c r="T68" s="96"/>
      <c r="U68" s="96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103"/>
      <c r="B69" s="98"/>
      <c r="C69" s="89"/>
      <c r="D69" s="89"/>
      <c r="E69" s="89"/>
      <c r="F69" s="89"/>
      <c r="G69" s="97"/>
      <c r="H69" s="97"/>
      <c r="I69" s="90"/>
      <c r="J69" s="91"/>
      <c r="K69" s="92"/>
      <c r="L69" s="93"/>
      <c r="M69" s="93"/>
      <c r="N69" s="94"/>
      <c r="O69" s="94"/>
      <c r="P69" s="94"/>
      <c r="Q69" s="94"/>
      <c r="R69" s="95"/>
      <c r="S69" s="100"/>
      <c r="T69" s="96"/>
      <c r="U69" s="96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86">
        <v>86.0</v>
      </c>
      <c r="B70" s="98" t="s">
        <v>2487</v>
      </c>
      <c r="C70" s="89" t="s">
        <v>2433</v>
      </c>
      <c r="D70" s="89">
        <v>3.0</v>
      </c>
      <c r="E70" s="89" t="s">
        <v>2450</v>
      </c>
      <c r="F70" s="89" t="s">
        <v>2446</v>
      </c>
      <c r="G70" s="97"/>
      <c r="H70" s="97"/>
      <c r="I70" s="90"/>
      <c r="J70" s="91"/>
      <c r="K70" s="92"/>
      <c r="L70" s="93"/>
      <c r="M70" s="93"/>
      <c r="N70" s="94"/>
      <c r="O70" s="94"/>
      <c r="P70" s="94"/>
      <c r="Q70" s="94"/>
      <c r="R70" s="95"/>
      <c r="S70" s="100"/>
      <c r="T70" s="96"/>
      <c r="U70" s="96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103"/>
      <c r="B71" s="98"/>
      <c r="C71" s="89"/>
      <c r="D71" s="89"/>
      <c r="E71" s="89"/>
      <c r="F71" s="89"/>
      <c r="G71" s="97"/>
      <c r="H71" s="97"/>
      <c r="I71" s="90"/>
      <c r="J71" s="91"/>
      <c r="K71" s="92"/>
      <c r="L71" s="93"/>
      <c r="M71" s="93"/>
      <c r="N71" s="94"/>
      <c r="O71" s="94"/>
      <c r="P71" s="94"/>
      <c r="Q71" s="94"/>
      <c r="R71" s="95"/>
      <c r="S71" s="100"/>
      <c r="T71" s="96"/>
      <c r="U71" s="96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103">
        <v>87.0</v>
      </c>
      <c r="B72" s="98" t="s">
        <v>2488</v>
      </c>
      <c r="C72" s="89" t="s">
        <v>2433</v>
      </c>
      <c r="D72" s="89">
        <v>3.0</v>
      </c>
      <c r="E72" s="89" t="s">
        <v>2450</v>
      </c>
      <c r="F72" s="89" t="s">
        <v>2348</v>
      </c>
      <c r="G72" s="97"/>
      <c r="H72" s="97"/>
      <c r="I72" s="90"/>
      <c r="J72" s="91"/>
      <c r="K72" s="92"/>
      <c r="L72" s="93"/>
      <c r="M72" s="93"/>
      <c r="N72" s="94"/>
      <c r="O72" s="94"/>
      <c r="P72" s="94"/>
      <c r="Q72" s="94"/>
      <c r="R72" s="95"/>
      <c r="S72" s="100"/>
      <c r="T72" s="96"/>
      <c r="U72" s="96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103"/>
      <c r="B73" s="98"/>
      <c r="C73" s="89"/>
      <c r="D73" s="89"/>
      <c r="E73" s="89"/>
      <c r="F73" s="89"/>
      <c r="G73" s="97"/>
      <c r="H73" s="97"/>
      <c r="I73" s="90"/>
      <c r="J73" s="91"/>
      <c r="K73" s="92"/>
      <c r="L73" s="93"/>
      <c r="M73" s="93"/>
      <c r="N73" s="94"/>
      <c r="O73" s="94"/>
      <c r="P73" s="94"/>
      <c r="Q73" s="94"/>
      <c r="R73" s="95"/>
      <c r="S73" s="100"/>
      <c r="T73" s="96"/>
      <c r="U73" s="96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103">
        <v>95.0</v>
      </c>
      <c r="B74" s="98" t="s">
        <v>2489</v>
      </c>
      <c r="C74" s="89" t="s">
        <v>2427</v>
      </c>
      <c r="D74" s="89">
        <v>3.0</v>
      </c>
      <c r="E74" s="89" t="s">
        <v>2450</v>
      </c>
      <c r="F74" s="89" t="s">
        <v>2446</v>
      </c>
      <c r="G74" s="97"/>
      <c r="H74" s="97"/>
      <c r="I74" s="90"/>
      <c r="J74" s="91"/>
      <c r="K74" s="92"/>
      <c r="L74" s="93"/>
      <c r="M74" s="93"/>
      <c r="N74" s="94"/>
      <c r="O74" s="94"/>
      <c r="P74" s="94"/>
      <c r="Q74" s="94"/>
      <c r="R74" s="95"/>
      <c r="S74" s="100"/>
      <c r="T74" s="96"/>
      <c r="U74" s="96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103"/>
      <c r="B75" s="98"/>
      <c r="C75" s="89"/>
      <c r="D75" s="89"/>
      <c r="E75" s="89"/>
      <c r="F75" s="89"/>
      <c r="G75" s="89"/>
      <c r="H75" s="97"/>
      <c r="I75" s="90"/>
      <c r="J75" s="91"/>
      <c r="K75" s="92"/>
      <c r="L75" s="93"/>
      <c r="M75" s="93"/>
      <c r="N75" s="94"/>
      <c r="O75" s="94"/>
      <c r="P75" s="94"/>
      <c r="Q75" s="94"/>
      <c r="R75" s="95"/>
      <c r="S75" s="100"/>
      <c r="T75" s="96"/>
      <c r="U75" s="96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86">
        <v>96.0</v>
      </c>
      <c r="B76" s="98" t="s">
        <v>2490</v>
      </c>
      <c r="C76" s="89" t="s">
        <v>2427</v>
      </c>
      <c r="D76" s="89">
        <v>3.0</v>
      </c>
      <c r="E76" s="89" t="s">
        <v>2450</v>
      </c>
      <c r="F76" s="89" t="s">
        <v>2348</v>
      </c>
      <c r="G76" s="89" t="s">
        <v>2479</v>
      </c>
      <c r="H76" s="97" t="s">
        <v>2480</v>
      </c>
      <c r="I76" s="90"/>
      <c r="J76" s="91"/>
      <c r="K76" s="92"/>
      <c r="L76" s="93"/>
      <c r="M76" s="93"/>
      <c r="N76" s="94"/>
      <c r="O76" s="94"/>
      <c r="P76" s="94"/>
      <c r="Q76" s="94"/>
      <c r="R76" s="95"/>
      <c r="S76" s="100"/>
      <c r="T76" s="96"/>
      <c r="U76" s="96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109"/>
      <c r="B77" s="110"/>
      <c r="C77" s="109"/>
      <c r="D77" s="109"/>
      <c r="E77" s="109"/>
      <c r="F77" s="109"/>
      <c r="G77" s="109"/>
      <c r="H77" s="109"/>
      <c r="I77" s="111"/>
      <c r="J77" s="112"/>
      <c r="K77" s="113"/>
      <c r="L77" s="113"/>
      <c r="M77" s="113"/>
      <c r="N77" s="112"/>
      <c r="O77" s="112"/>
      <c r="P77" s="112"/>
      <c r="Q77" s="112"/>
      <c r="R77" s="114"/>
      <c r="S77" s="115"/>
      <c r="T77" s="116"/>
      <c r="U77" s="116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117"/>
      <c r="B78" s="118"/>
      <c r="C78" s="117"/>
      <c r="D78" s="117"/>
      <c r="E78" s="117"/>
      <c r="F78" s="117"/>
      <c r="G78" s="117"/>
      <c r="H78" s="117"/>
      <c r="I78" s="119"/>
      <c r="J78" s="117"/>
      <c r="K78" s="120"/>
      <c r="L78" s="120"/>
      <c r="M78" s="120"/>
      <c r="N78" s="117"/>
      <c r="O78" s="117"/>
      <c r="P78" s="117"/>
      <c r="Q78" s="117"/>
      <c r="R78" s="121"/>
      <c r="S78" s="121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117"/>
      <c r="B79" s="120" t="str">
        <f>CONCATENATE(COUNTIF($C$9:$C$76, "M"), "/", COUNTA($A$9:A76), " MALE")</f>
        <v>25/38 MALE</v>
      </c>
      <c r="C79" s="121" t="str">
        <f>CONCATENATE(COUNTIF($D$9:$D76,"1"), "/", COUNTA($A$9:$A$76), " GRP 1")</f>
        <v>16/38 GRP 1</v>
      </c>
      <c r="D79" s="117"/>
      <c r="E79" s="121" t="str">
        <f>CONCATENATE(COUNTIF($E$9:$E$76,"A1"), "/", COUNTA($A$9:$A$76), " CAT A1")</f>
        <v>0/38 CAT A1</v>
      </c>
      <c r="F79" s="121"/>
      <c r="G79" s="117"/>
      <c r="H79" s="117"/>
      <c r="I79" s="122" t="str">
        <f>CONCATENATE(COUNTblank($I$9:$I$76), " NOT RESPONDED")</f>
        <v>67 NOT RESPONDED</v>
      </c>
      <c r="J79" s="117" t="str">
        <f>CONCATENATE(COUNTIF($J$9:$J$77,"S"), " S")</f>
        <v>0 S</v>
      </c>
      <c r="K79" s="117" t="str">
        <f>CONCATENATE(COUNTIF($K$9:$K$77,"Y"), " YES")</f>
        <v>0 YES</v>
      </c>
      <c r="L79" s="117"/>
      <c r="M79" s="120"/>
      <c r="N79" s="117" t="str">
        <f>CONCATENATE(COUNTIF($N$9:$N$77,"0"), " -0")</f>
        <v>0 -0</v>
      </c>
      <c r="O79" s="117" t="str">
        <f>CONCATENATE(COUNTIF($O$9:$O$77,"0"), " -0")</f>
        <v>0 -0</v>
      </c>
      <c r="P79" s="117" t="str">
        <f>CONCATENATE(COUNTIF($P$9:$P$77,"Y"), " YES")</f>
        <v>0 YES</v>
      </c>
      <c r="Q79" s="117" t="str">
        <f>CONCATENATE(COUNTIF($Q$9:$Q$77,"TRANSPORT FROM BJ"), " -BJ")</f>
        <v>0 -BJ</v>
      </c>
      <c r="R79" s="121" t="str">
        <f>CONCATENATE(COUNTIF($R$9:$R$77,"FOLLOW PARENTS - RELEASE ON 28th Jun 2025 at SIN (1-way only)"), " -1-WAY (PARENTS PICKUP AT SIN)")</f>
        <v>0 -1-WAY (PARENTS PICKUP AT SIN)</v>
      </c>
      <c r="S79" s="121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117"/>
      <c r="B80" s="118" t="str">
        <f>CONCATENATE(COUNTIF($C$9:$C$76,"F"), "/", COUNTA($A$9:$A$76), " FEMALE")</f>
        <v>21/38 FEMALE</v>
      </c>
      <c r="C80" s="121" t="str">
        <f>CONCATENATE(COUNTIF($D$9:$D$76,"2"), "/", COUNTA($A$9:$A$76), " GRP 2")</f>
        <v>18/38 GRP 2</v>
      </c>
      <c r="D80" s="117"/>
      <c r="E80" s="121" t="str">
        <f>CONCATENATE(COUNTIF($E$9:$E$76,"A2"), "/", COUNTA($A$9:$A$76), " CAT A2")</f>
        <v>0/38 CAT A2</v>
      </c>
      <c r="F80" s="121"/>
      <c r="G80" s="117"/>
      <c r="H80" s="117"/>
      <c r="I80" s="119"/>
      <c r="J80" s="117" t="str">
        <f>CONCATENATE(COUNTIF($J$9:$J$77,"M"), " M")</f>
        <v>1 M</v>
      </c>
      <c r="K80" s="117" t="str">
        <f>CONCATENATE(COUNTIF($K$9:$K$77,"N"), " NO")</f>
        <v>0 NO</v>
      </c>
      <c r="L80" s="117"/>
      <c r="M80" s="120"/>
      <c r="N80" s="117" t="str">
        <f>CONCATENATE(COUNTIF($N$9:$N$77,"1"), " -1")</f>
        <v>0 -1</v>
      </c>
      <c r="O80" s="117" t="str">
        <f>CONCATENATE(COUNTIF($O$9:$O$77,"1"), " -1")</f>
        <v>0 -1</v>
      </c>
      <c r="P80" s="117" t="str">
        <f>CONCATENATE(COUNTIF($P$9:$P$77,"N"), " NO")</f>
        <v>0 NO</v>
      </c>
      <c r="Q80" s="117" t="str">
        <f>CONCATENATE(COUNTIF($Q$9:$Q$77,"MEET AT KLIA"), " -KLIA")</f>
        <v>0 -KLIA</v>
      </c>
      <c r="R80" s="121" t="str">
        <f>CONCATENATE(COUNTIF($R$9:$R$77,"Follow Coach - release on 28th Jun at SIN (1-way only)"), "  -1-WAY (FOLLOW COACH AT SIN)")</f>
        <v>0  -1-WAY (FOLLOW COACH AT SIN)</v>
      </c>
      <c r="S80" s="121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117"/>
      <c r="B81" s="120"/>
      <c r="C81" s="121" t="str">
        <f>CONCATENATE(COUNTIF($D$9:$D$76,"3"), "/", COUNTA($A$9:$A$76), " GRP 3")</f>
        <v>12/38 GRP 3</v>
      </c>
      <c r="D81" s="117"/>
      <c r="E81" s="121" t="str">
        <f>CONCATENATE(COUNTIF($E$9:$E$76,"A3"), "/", COUNTA($A$9:$A$76), " CAT A3")</f>
        <v>0/38 CAT A3</v>
      </c>
      <c r="F81" s="121"/>
      <c r="G81" s="117"/>
      <c r="H81" s="117"/>
      <c r="I81" s="119"/>
      <c r="J81" s="117" t="str">
        <f>CONCATENATE(COUNTIF($J$9:$J$77,"L"), " L")</f>
        <v>0 L</v>
      </c>
      <c r="K81" s="117"/>
      <c r="L81" s="117"/>
      <c r="M81" s="120"/>
      <c r="N81" s="117" t="str">
        <f>CONCATENATE(COUNTIF($N$9:$N$77,"2"), " -2")</f>
        <v>0 -2</v>
      </c>
      <c r="O81" s="117" t="str">
        <f>CONCATENATE(COUNTIF($O$9:$O$77,"2"), " -2")</f>
        <v>0 -2</v>
      </c>
      <c r="P81" s="117"/>
      <c r="Q81" s="117" t="str">
        <f>CONCATENATE(COUNTIF($Q$9:$Q$77,"OTHER"), " -OTHER")</f>
        <v>0 -OTHER</v>
      </c>
      <c r="R81" s="121" t="str">
        <f>CONCATENATE(COUNTIF($R$9:$R$77,"Transit through KLIA"), "  -TRANSIT AT KLIA")</f>
        <v>0  -TRANSIT AT KLIA</v>
      </c>
      <c r="S81" s="121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117"/>
      <c r="B82" s="120" t="str">
        <f>CONCATENATE(COUNTIF($F$9:$F$76,"WPKL"), "-WPKL")</f>
        <v>6-WPKL</v>
      </c>
      <c r="C82" s="121"/>
      <c r="D82" s="117"/>
      <c r="E82" s="121" t="str">
        <f>CONCATENATE(COUNTIF($E$9:$E$76,"B1"), "/", COUNTA($A$9:$A$76), " CAT B1")</f>
        <v>2/38 CAT B1</v>
      </c>
      <c r="F82" s="121"/>
      <c r="G82" s="123"/>
      <c r="H82" s="123"/>
      <c r="I82" s="53"/>
      <c r="J82" s="117" t="str">
        <f>CONCATENATE(COUNTIF($J$9:$J$77,"XL"), " XL")</f>
        <v>0 XL</v>
      </c>
      <c r="K82" s="117"/>
      <c r="L82" s="117"/>
      <c r="M82" s="120"/>
      <c r="N82" s="117" t="str">
        <f>CONCATENATE(COUNTIF($N$9:$N$77,"3"), " -3")</f>
        <v>0 -3</v>
      </c>
      <c r="O82" s="117" t="str">
        <f>CONCATENATE(COUNTIF($O$9:$O$77,"3"), " -3")</f>
        <v>0 -3</v>
      </c>
      <c r="P82" s="117"/>
      <c r="Q82" s="117"/>
      <c r="R82" s="121" t="str">
        <f>CONCATENATE(COUNTIF($R$9:$R$77,"Parent pickup from BJ"), "  -PARENT PICKUP FROM BJ")</f>
        <v>0  -PARENT PICKUP FROM BJ</v>
      </c>
      <c r="S82" s="121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117"/>
      <c r="B83" s="120" t="str">
        <f>CONCATENATE(COUNTIF($F$9:$F$76,"SGR"), "-SGR")</f>
        <v>8-SGR</v>
      </c>
      <c r="C83" s="121"/>
      <c r="D83" s="117"/>
      <c r="E83" s="121" t="str">
        <f>CONCATENATE(COUNTIF($E$9:$E$76,"B1R"), "/", COUNTA($A$9:$A$76), " CAT B1 RESERVE")</f>
        <v>2/38 CAT B1 RESERVE</v>
      </c>
      <c r="F83" s="121"/>
      <c r="G83" s="123"/>
      <c r="H83" s="123"/>
      <c r="I83" s="53"/>
      <c r="J83" s="117" t="str">
        <f>CONCATENATE(COUNTIF($J$9:$J$77,"2XL"), " 2XL")</f>
        <v>0 2XL</v>
      </c>
      <c r="K83" s="120"/>
      <c r="L83" s="120"/>
      <c r="M83" s="120"/>
      <c r="N83" s="123" t="s">
        <v>2491</v>
      </c>
      <c r="O83" s="123" t="s">
        <v>2491</v>
      </c>
      <c r="P83" s="117"/>
      <c r="Q83" s="117"/>
      <c r="R83" s="121" t="str">
        <f>CONCATENATE(COUNTIF($R$9:$R$77,"Parent pickup from KLIA"), " -PARENT PICKUP FROM KLIA")</f>
        <v>0 -PARENT PICKUP FROM KLIA</v>
      </c>
      <c r="S83" s="121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117"/>
      <c r="B84" s="120" t="str">
        <f>CONCATENATE(COUNTIF($F$9:$F$76,"SWK"), "-SWK")</f>
        <v>9-SWK</v>
      </c>
      <c r="C84" s="117"/>
      <c r="D84" s="117"/>
      <c r="E84" s="121" t="str">
        <f>CONCATENATE(COUNTIF($E$9:$E$76,"B2"), "/", COUNTA($A$9:$A$76), " CAT B2")</f>
        <v>4/38 CAT B2</v>
      </c>
      <c r="F84" s="117"/>
      <c r="G84" s="123"/>
      <c r="H84" s="123"/>
      <c r="I84" s="119"/>
      <c r="J84" s="117"/>
      <c r="K84" s="120"/>
      <c r="L84" s="120"/>
      <c r="M84" s="120"/>
      <c r="N84" s="117">
        <f t="shared" ref="N84:O84" si="1">SUM(N9:N29)</f>
        <v>0</v>
      </c>
      <c r="O84" s="117">
        <f t="shared" si="1"/>
        <v>0</v>
      </c>
      <c r="P84" s="117"/>
      <c r="Q84" s="117"/>
      <c r="R84" s="121" t="str">
        <f>CONCATENATE(COUNTIF($R$9:$R$77,"OTHER"), "  -OTHER")</f>
        <v>0  -OTHER</v>
      </c>
      <c r="S84" s="121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117"/>
      <c r="B85" s="120" t="str">
        <f>CONCATENATE(COUNTIF($F$9:$F$76,"SBH"), "-SBH")</f>
        <v>2-SBH</v>
      </c>
      <c r="C85" s="117"/>
      <c r="D85" s="117"/>
      <c r="E85" s="124" t="str">
        <f>CONCATENATE(COUNTIF($E$9:$E$76,"B2R"), "/", COUNTA($A$9:$A$76), " CAT B2R")</f>
        <v>3/38 CAT B2R</v>
      </c>
      <c r="F85" s="117"/>
      <c r="G85" s="123"/>
      <c r="H85" s="123"/>
      <c r="I85" s="119"/>
      <c r="J85" s="117"/>
      <c r="K85" s="120"/>
      <c r="L85" s="120"/>
      <c r="M85" s="120"/>
      <c r="N85" s="117"/>
      <c r="O85" s="117"/>
      <c r="P85" s="117"/>
      <c r="Q85" s="117"/>
      <c r="R85" s="121"/>
      <c r="S85" s="121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117"/>
      <c r="B86" s="120" t="str">
        <f>CONCATENATE(COUNTIF($F$9:$F$76,"PRK"), "-PRK")</f>
        <v>3-PRK</v>
      </c>
      <c r="C86" s="117"/>
      <c r="D86" s="117"/>
      <c r="E86" s="124" t="str">
        <f>CONCATENATE(COUNTIF($E$9:$E$76,"C"), "/", COUNTA($A$9:$A$76), " CAT C")</f>
        <v>12/38 CAT C</v>
      </c>
      <c r="F86" s="117"/>
      <c r="G86" s="123"/>
      <c r="H86" s="123"/>
      <c r="I86" s="53"/>
      <c r="J86" s="117"/>
      <c r="K86" s="120"/>
      <c r="L86" s="120"/>
      <c r="M86" s="120"/>
      <c r="N86" s="117"/>
      <c r="O86" s="117"/>
      <c r="P86" s="117"/>
      <c r="Q86" s="117"/>
      <c r="R86" s="121"/>
      <c r="S86" s="121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17"/>
      <c r="B87" s="120" t="str">
        <f>CONCATENATE(COUNTIF($F$9:$F$76,"PEN"), "-PEN")</f>
        <v>8-PEN</v>
      </c>
      <c r="C87" s="117"/>
      <c r="D87" s="117"/>
      <c r="E87" s="124" t="str">
        <f>CONCATENATE(COUNTIF($E$9:$E$76,"CR"), "/", COUNTA($A$9:$A$76), " CAT C RESERVE")</f>
        <v>23/38 CAT C RESERVE</v>
      </c>
      <c r="F87" s="117"/>
      <c r="G87" s="123"/>
      <c r="H87" s="123"/>
      <c r="I87" s="119"/>
      <c r="J87" s="117"/>
      <c r="K87" s="120"/>
      <c r="L87" s="120"/>
      <c r="M87" s="120"/>
      <c r="N87" s="117"/>
      <c r="O87" s="117"/>
      <c r="P87" s="117"/>
      <c r="Q87" s="117"/>
      <c r="R87" s="121"/>
      <c r="S87" s="121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17"/>
      <c r="B88" s="120" t="str">
        <f>CONCATENATE(COUNTIF($F$9:$F$76,"NSE"), "-NSE")</f>
        <v>5-NSE</v>
      </c>
      <c r="C88" s="117"/>
      <c r="D88" s="117"/>
      <c r="E88" s="124"/>
      <c r="F88" s="117"/>
      <c r="G88" s="123"/>
      <c r="H88" s="123"/>
      <c r="I88" s="119"/>
      <c r="J88" s="117"/>
      <c r="K88" s="120"/>
      <c r="L88" s="120"/>
      <c r="M88" s="120"/>
      <c r="N88" s="117"/>
      <c r="O88" s="117"/>
      <c r="P88" s="117"/>
      <c r="Q88" s="117"/>
      <c r="R88" s="121"/>
      <c r="S88" s="121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117"/>
      <c r="B89" s="120" t="str">
        <f>CONCATENATE(COUNTIF($F$9:$F$76,"MLK"), "-MLK")</f>
        <v>0-MLK</v>
      </c>
      <c r="C89" s="117"/>
      <c r="D89" s="117"/>
      <c r="E89" s="124" t="s">
        <v>2492</v>
      </c>
      <c r="F89" s="117"/>
      <c r="G89" s="123"/>
      <c r="H89" s="123"/>
      <c r="I89" s="119"/>
      <c r="J89" s="117"/>
      <c r="K89" s="120"/>
      <c r="L89" s="120"/>
      <c r="M89" s="120"/>
      <c r="N89" s="117"/>
      <c r="O89" s="117"/>
      <c r="P89" s="117"/>
      <c r="Q89" s="117"/>
      <c r="R89" s="121"/>
      <c r="S89" s="121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117"/>
      <c r="B90" s="120" t="str">
        <f>CONCATENATE(COUNTIF($F$9:$F$76,"KDH"), "-KDH")</f>
        <v>1-KDH</v>
      </c>
      <c r="C90" s="117"/>
      <c r="D90" s="117"/>
      <c r="E90" s="124" t="s">
        <v>2493</v>
      </c>
      <c r="F90" s="117"/>
      <c r="G90" s="123"/>
      <c r="H90" s="123"/>
      <c r="I90" s="119"/>
      <c r="J90" s="117"/>
      <c r="K90" s="120"/>
      <c r="L90" s="120"/>
      <c r="M90" s="120"/>
      <c r="N90" s="117"/>
      <c r="O90" s="117"/>
      <c r="P90" s="117"/>
      <c r="Q90" s="117"/>
      <c r="R90" s="121"/>
      <c r="S90" s="121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117"/>
      <c r="B91" s="120" t="str">
        <f>CONCATENATE(COUNTIF($F$9:$F$76,"JHR"), "-JHR")</f>
        <v>3-JHR</v>
      </c>
      <c r="C91" s="117"/>
      <c r="D91" s="117"/>
      <c r="E91" s="124" t="s">
        <v>2494</v>
      </c>
      <c r="F91" s="117"/>
      <c r="G91" s="117"/>
      <c r="H91" s="117"/>
      <c r="I91" s="119"/>
      <c r="J91" s="117"/>
      <c r="K91" s="120"/>
      <c r="L91" s="120"/>
      <c r="M91" s="120"/>
      <c r="N91" s="117"/>
      <c r="O91" s="117"/>
      <c r="P91" s="117"/>
      <c r="Q91" s="117"/>
      <c r="R91" s="121"/>
      <c r="S91" s="12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117"/>
      <c r="B92" s="120"/>
      <c r="C92" s="117"/>
      <c r="D92" s="117"/>
      <c r="E92" s="124" t="s">
        <v>2495</v>
      </c>
      <c r="F92" s="117"/>
      <c r="G92" s="117"/>
      <c r="H92" s="117"/>
      <c r="I92" s="119"/>
      <c r="J92" s="117"/>
      <c r="K92" s="120"/>
      <c r="L92" s="120"/>
      <c r="M92" s="120"/>
      <c r="N92" s="117"/>
      <c r="O92" s="117"/>
      <c r="P92" s="117"/>
      <c r="Q92" s="117"/>
      <c r="R92" s="121"/>
      <c r="S92" s="121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117"/>
      <c r="B93" s="120"/>
      <c r="C93" s="117"/>
      <c r="D93" s="117"/>
      <c r="E93" s="117"/>
      <c r="F93" s="117"/>
      <c r="G93" s="117"/>
      <c r="H93" s="117"/>
      <c r="I93" s="119"/>
      <c r="J93" s="117"/>
      <c r="K93" s="120"/>
      <c r="L93" s="120"/>
      <c r="M93" s="120"/>
      <c r="N93" s="117"/>
      <c r="O93" s="117"/>
      <c r="P93" s="117"/>
      <c r="Q93" s="117"/>
      <c r="R93" s="121"/>
      <c r="S93" s="121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16"/>
      <c r="B94" s="13"/>
      <c r="C94" s="16"/>
      <c r="D94" s="16"/>
      <c r="E94" s="16"/>
      <c r="F94" s="16"/>
      <c r="G94" s="16"/>
      <c r="H94" s="16"/>
      <c r="I94" s="125"/>
      <c r="J94" s="16"/>
      <c r="K94" s="13"/>
      <c r="L94" s="13"/>
      <c r="M94" s="13"/>
      <c r="N94" s="16"/>
      <c r="O94" s="16"/>
      <c r="P94" s="16"/>
      <c r="Q94" s="16"/>
      <c r="R94" s="96"/>
      <c r="S94" s="96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16"/>
      <c r="B95" s="13"/>
      <c r="C95" s="16"/>
      <c r="D95" s="16"/>
      <c r="E95" s="16"/>
      <c r="F95" s="16"/>
      <c r="G95" s="16"/>
      <c r="H95" s="16"/>
      <c r="I95" s="125"/>
      <c r="J95" s="16"/>
      <c r="K95" s="13"/>
      <c r="L95" s="13"/>
      <c r="M95" s="13"/>
      <c r="N95" s="16"/>
      <c r="O95" s="16"/>
      <c r="P95" s="16"/>
      <c r="Q95" s="16"/>
      <c r="R95" s="96"/>
      <c r="S95" s="96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16"/>
      <c r="B96" s="13"/>
      <c r="C96" s="16"/>
      <c r="D96" s="16"/>
      <c r="E96" s="16"/>
      <c r="F96" s="16"/>
      <c r="G96" s="16"/>
      <c r="H96" s="16"/>
      <c r="I96" s="125"/>
      <c r="J96" s="16"/>
      <c r="K96" s="13"/>
      <c r="L96" s="13"/>
      <c r="M96" s="13"/>
      <c r="N96" s="16"/>
      <c r="O96" s="16"/>
      <c r="P96" s="16"/>
      <c r="Q96" s="16"/>
      <c r="R96" s="96"/>
      <c r="S96" s="96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6"/>
      <c r="B97" s="13"/>
      <c r="C97" s="16"/>
      <c r="D97" s="16"/>
      <c r="E97" s="16"/>
      <c r="F97" s="16"/>
      <c r="G97" s="16"/>
      <c r="H97" s="16"/>
      <c r="I97" s="125"/>
      <c r="J97" s="16"/>
      <c r="K97" s="13"/>
      <c r="L97" s="13"/>
      <c r="M97" s="13"/>
      <c r="N97" s="16"/>
      <c r="O97" s="16"/>
      <c r="P97" s="16"/>
      <c r="Q97" s="16"/>
      <c r="R97" s="96"/>
      <c r="S97" s="96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16"/>
      <c r="B98" s="13"/>
      <c r="C98" s="16"/>
      <c r="D98" s="16"/>
      <c r="E98" s="16"/>
      <c r="F98" s="16"/>
      <c r="G98" s="16"/>
      <c r="H98" s="16"/>
      <c r="I98" s="125"/>
      <c r="J98" s="16"/>
      <c r="K98" s="13"/>
      <c r="L98" s="13"/>
      <c r="M98" s="13"/>
      <c r="N98" s="16"/>
      <c r="O98" s="16"/>
      <c r="P98" s="16"/>
      <c r="Q98" s="16"/>
      <c r="R98" s="96"/>
      <c r="S98" s="96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16"/>
      <c r="B99" s="13"/>
      <c r="C99" s="16"/>
      <c r="D99" s="16"/>
      <c r="E99" s="16"/>
      <c r="F99" s="16"/>
      <c r="G99" s="16"/>
      <c r="H99" s="16"/>
      <c r="I99" s="125"/>
      <c r="J99" s="16"/>
      <c r="K99" s="13"/>
      <c r="L99" s="13"/>
      <c r="M99" s="13"/>
      <c r="N99" s="16"/>
      <c r="O99" s="16"/>
      <c r="P99" s="16"/>
      <c r="Q99" s="16"/>
      <c r="R99" s="96"/>
      <c r="S99" s="96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16"/>
      <c r="B100" s="13"/>
      <c r="C100" s="16"/>
      <c r="D100" s="16"/>
      <c r="E100" s="16"/>
      <c r="F100" s="16"/>
      <c r="G100" s="16"/>
      <c r="H100" s="16"/>
      <c r="I100" s="125"/>
      <c r="J100" s="16"/>
      <c r="K100" s="13"/>
      <c r="L100" s="13"/>
      <c r="M100" s="13"/>
      <c r="N100" s="16"/>
      <c r="O100" s="16"/>
      <c r="P100" s="16"/>
      <c r="Q100" s="16"/>
      <c r="R100" s="96"/>
      <c r="S100" s="96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16"/>
      <c r="B101" s="13"/>
      <c r="C101" s="16"/>
      <c r="D101" s="16"/>
      <c r="E101" s="16"/>
      <c r="F101" s="16"/>
      <c r="G101" s="16"/>
      <c r="H101" s="16"/>
      <c r="I101" s="125"/>
      <c r="J101" s="16"/>
      <c r="K101" s="13"/>
      <c r="L101" s="13"/>
      <c r="M101" s="13"/>
      <c r="N101" s="16"/>
      <c r="O101" s="16"/>
      <c r="P101" s="16"/>
      <c r="Q101" s="16"/>
      <c r="R101" s="96"/>
      <c r="S101" s="96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16"/>
      <c r="B102" s="13"/>
      <c r="C102" s="16"/>
      <c r="D102" s="16"/>
      <c r="E102" s="16"/>
      <c r="F102" s="16"/>
      <c r="G102" s="16"/>
      <c r="H102" s="16"/>
      <c r="I102" s="125"/>
      <c r="J102" s="16"/>
      <c r="K102" s="13"/>
      <c r="L102" s="13"/>
      <c r="M102" s="13"/>
      <c r="N102" s="16"/>
      <c r="O102" s="16"/>
      <c r="P102" s="16"/>
      <c r="Q102" s="16"/>
      <c r="R102" s="96"/>
      <c r="S102" s="96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16"/>
      <c r="B103" s="13"/>
      <c r="C103" s="16"/>
      <c r="D103" s="16"/>
      <c r="E103" s="16"/>
      <c r="F103" s="16"/>
      <c r="G103" s="16"/>
      <c r="H103" s="16"/>
      <c r="I103" s="125"/>
      <c r="J103" s="16"/>
      <c r="K103" s="13"/>
      <c r="L103" s="13"/>
      <c r="M103" s="13"/>
      <c r="N103" s="16"/>
      <c r="O103" s="16"/>
      <c r="P103" s="16"/>
      <c r="Q103" s="16"/>
      <c r="R103" s="96"/>
      <c r="S103" s="96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16"/>
      <c r="B104" s="13"/>
      <c r="C104" s="16"/>
      <c r="D104" s="16"/>
      <c r="E104" s="16"/>
      <c r="F104" s="16"/>
      <c r="G104" s="16"/>
      <c r="H104" s="16"/>
      <c r="I104" s="125"/>
      <c r="J104" s="16"/>
      <c r="K104" s="13"/>
      <c r="L104" s="13"/>
      <c r="M104" s="13"/>
      <c r="N104" s="16"/>
      <c r="O104" s="16"/>
      <c r="P104" s="16"/>
      <c r="Q104" s="16"/>
      <c r="R104" s="96"/>
      <c r="S104" s="96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6"/>
      <c r="B105" s="13"/>
      <c r="C105" s="16"/>
      <c r="D105" s="16"/>
      <c r="E105" s="16"/>
      <c r="F105" s="16"/>
      <c r="G105" s="16"/>
      <c r="H105" s="16"/>
      <c r="I105" s="125"/>
      <c r="J105" s="16"/>
      <c r="K105" s="13"/>
      <c r="L105" s="13"/>
      <c r="M105" s="13"/>
      <c r="N105" s="16"/>
      <c r="O105" s="16"/>
      <c r="P105" s="16"/>
      <c r="Q105" s="16"/>
      <c r="R105" s="96"/>
      <c r="S105" s="96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6"/>
      <c r="B106" s="13"/>
      <c r="C106" s="16"/>
      <c r="D106" s="16"/>
      <c r="E106" s="16"/>
      <c r="F106" s="16"/>
      <c r="G106" s="16"/>
      <c r="H106" s="16"/>
      <c r="I106" s="125"/>
      <c r="J106" s="16"/>
      <c r="K106" s="13"/>
      <c r="L106" s="13"/>
      <c r="M106" s="13"/>
      <c r="N106" s="16"/>
      <c r="O106" s="16"/>
      <c r="P106" s="16"/>
      <c r="Q106" s="16"/>
      <c r="R106" s="96"/>
      <c r="S106" s="96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16"/>
      <c r="B107" s="13"/>
      <c r="C107" s="16"/>
      <c r="D107" s="16"/>
      <c r="E107" s="16"/>
      <c r="F107" s="16"/>
      <c r="G107" s="16"/>
      <c r="H107" s="16"/>
      <c r="I107" s="125"/>
      <c r="J107" s="16"/>
      <c r="K107" s="13"/>
      <c r="L107" s="13"/>
      <c r="M107" s="13"/>
      <c r="N107" s="16"/>
      <c r="O107" s="16"/>
      <c r="P107" s="16"/>
      <c r="Q107" s="16"/>
      <c r="R107" s="96"/>
      <c r="S107" s="96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16"/>
      <c r="B108" s="13"/>
      <c r="C108" s="16"/>
      <c r="D108" s="16"/>
      <c r="E108" s="16"/>
      <c r="F108" s="16"/>
      <c r="G108" s="16"/>
      <c r="H108" s="16"/>
      <c r="I108" s="125"/>
      <c r="J108" s="16"/>
      <c r="K108" s="13"/>
      <c r="L108" s="13"/>
      <c r="M108" s="13"/>
      <c r="N108" s="16"/>
      <c r="O108" s="16"/>
      <c r="P108" s="16"/>
      <c r="Q108" s="16"/>
      <c r="R108" s="96"/>
      <c r="S108" s="96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16"/>
      <c r="B109" s="13"/>
      <c r="C109" s="16"/>
      <c r="D109" s="16"/>
      <c r="E109" s="16"/>
      <c r="F109" s="16"/>
      <c r="G109" s="16"/>
      <c r="H109" s="16"/>
      <c r="I109" s="125"/>
      <c r="J109" s="16"/>
      <c r="K109" s="13"/>
      <c r="L109" s="13"/>
      <c r="M109" s="13"/>
      <c r="N109" s="16"/>
      <c r="O109" s="16"/>
      <c r="P109" s="16"/>
      <c r="Q109" s="16"/>
      <c r="R109" s="96"/>
      <c r="S109" s="96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16"/>
      <c r="B110" s="13"/>
      <c r="C110" s="16"/>
      <c r="D110" s="16"/>
      <c r="E110" s="16"/>
      <c r="F110" s="16"/>
      <c r="G110" s="16"/>
      <c r="H110" s="16"/>
      <c r="I110" s="125"/>
      <c r="J110" s="16"/>
      <c r="K110" s="13"/>
      <c r="L110" s="13"/>
      <c r="M110" s="13"/>
      <c r="N110" s="16"/>
      <c r="O110" s="16"/>
      <c r="P110" s="16"/>
      <c r="Q110" s="16"/>
      <c r="R110" s="96"/>
      <c r="S110" s="96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16"/>
      <c r="B111" s="13"/>
      <c r="C111" s="16"/>
      <c r="D111" s="16"/>
      <c r="E111" s="16"/>
      <c r="F111" s="16"/>
      <c r="G111" s="16"/>
      <c r="H111" s="16"/>
      <c r="I111" s="125"/>
      <c r="J111" s="16"/>
      <c r="K111" s="13"/>
      <c r="L111" s="13"/>
      <c r="M111" s="13"/>
      <c r="N111" s="16"/>
      <c r="O111" s="16"/>
      <c r="P111" s="16"/>
      <c r="Q111" s="16"/>
      <c r="R111" s="96"/>
      <c r="S111" s="96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16"/>
      <c r="B112" s="13"/>
      <c r="C112" s="16"/>
      <c r="D112" s="16"/>
      <c r="E112" s="16"/>
      <c r="F112" s="16"/>
      <c r="G112" s="16"/>
      <c r="H112" s="16"/>
      <c r="I112" s="125"/>
      <c r="J112" s="16"/>
      <c r="K112" s="13"/>
      <c r="L112" s="13"/>
      <c r="M112" s="13"/>
      <c r="N112" s="16"/>
      <c r="O112" s="16"/>
      <c r="P112" s="16"/>
      <c r="Q112" s="16"/>
      <c r="R112" s="96"/>
      <c r="S112" s="96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16"/>
      <c r="B113" s="13"/>
      <c r="C113" s="16"/>
      <c r="D113" s="16"/>
      <c r="E113" s="16"/>
      <c r="F113" s="16"/>
      <c r="G113" s="16"/>
      <c r="H113" s="16"/>
      <c r="I113" s="125"/>
      <c r="J113" s="16"/>
      <c r="K113" s="13"/>
      <c r="L113" s="13"/>
      <c r="M113" s="13"/>
      <c r="N113" s="16"/>
      <c r="O113" s="16"/>
      <c r="P113" s="16"/>
      <c r="Q113" s="16"/>
      <c r="R113" s="96"/>
      <c r="S113" s="96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16"/>
      <c r="B114" s="13"/>
      <c r="C114" s="16"/>
      <c r="D114" s="16"/>
      <c r="E114" s="16"/>
      <c r="F114" s="16"/>
      <c r="G114" s="16"/>
      <c r="H114" s="16"/>
      <c r="I114" s="125"/>
      <c r="J114" s="16"/>
      <c r="K114" s="13"/>
      <c r="L114" s="13"/>
      <c r="M114" s="13"/>
      <c r="N114" s="16"/>
      <c r="O114" s="16"/>
      <c r="P114" s="16"/>
      <c r="Q114" s="16"/>
      <c r="R114" s="96"/>
      <c r="S114" s="96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16"/>
      <c r="B115" s="13"/>
      <c r="C115" s="16"/>
      <c r="D115" s="16"/>
      <c r="E115" s="16"/>
      <c r="F115" s="16"/>
      <c r="G115" s="16"/>
      <c r="H115" s="16"/>
      <c r="I115" s="125"/>
      <c r="J115" s="16"/>
      <c r="K115" s="13"/>
      <c r="L115" s="13"/>
      <c r="M115" s="13"/>
      <c r="N115" s="16"/>
      <c r="O115" s="16"/>
      <c r="P115" s="16"/>
      <c r="Q115" s="16"/>
      <c r="R115" s="96"/>
      <c r="S115" s="96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6"/>
      <c r="B116" s="13"/>
      <c r="C116" s="16"/>
      <c r="D116" s="16"/>
      <c r="E116" s="16"/>
      <c r="F116" s="16"/>
      <c r="G116" s="16"/>
      <c r="H116" s="16"/>
      <c r="I116" s="125"/>
      <c r="J116" s="16"/>
      <c r="K116" s="13"/>
      <c r="L116" s="13"/>
      <c r="M116" s="13"/>
      <c r="N116" s="16"/>
      <c r="O116" s="16"/>
      <c r="P116" s="16"/>
      <c r="Q116" s="16"/>
      <c r="R116" s="96"/>
      <c r="S116" s="96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16"/>
      <c r="B117" s="13"/>
      <c r="C117" s="16"/>
      <c r="D117" s="16"/>
      <c r="E117" s="16"/>
      <c r="F117" s="16"/>
      <c r="G117" s="16"/>
      <c r="H117" s="16"/>
      <c r="I117" s="125"/>
      <c r="J117" s="16"/>
      <c r="K117" s="13"/>
      <c r="L117" s="13"/>
      <c r="M117" s="13"/>
      <c r="N117" s="16"/>
      <c r="O117" s="16"/>
      <c r="P117" s="16"/>
      <c r="Q117" s="16"/>
      <c r="R117" s="96"/>
      <c r="S117" s="96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16"/>
      <c r="B118" s="13"/>
      <c r="C118" s="16"/>
      <c r="D118" s="16"/>
      <c r="E118" s="16"/>
      <c r="F118" s="16"/>
      <c r="G118" s="16"/>
      <c r="H118" s="16"/>
      <c r="I118" s="125"/>
      <c r="J118" s="16"/>
      <c r="K118" s="13"/>
      <c r="L118" s="13"/>
      <c r="M118" s="13"/>
      <c r="N118" s="16"/>
      <c r="O118" s="16"/>
      <c r="P118" s="16"/>
      <c r="Q118" s="16"/>
      <c r="R118" s="96"/>
      <c r="S118" s="96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16"/>
      <c r="B119" s="13"/>
      <c r="C119" s="16"/>
      <c r="D119" s="16"/>
      <c r="E119" s="16"/>
      <c r="F119" s="16"/>
      <c r="G119" s="16"/>
      <c r="H119" s="16"/>
      <c r="I119" s="125"/>
      <c r="J119" s="16"/>
      <c r="K119" s="13"/>
      <c r="L119" s="13"/>
      <c r="M119" s="13"/>
      <c r="N119" s="16"/>
      <c r="O119" s="16"/>
      <c r="P119" s="16"/>
      <c r="Q119" s="16"/>
      <c r="R119" s="96"/>
      <c r="S119" s="96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16"/>
      <c r="B120" s="13"/>
      <c r="C120" s="16"/>
      <c r="D120" s="16"/>
      <c r="E120" s="16"/>
      <c r="F120" s="16"/>
      <c r="G120" s="16"/>
      <c r="H120" s="16"/>
      <c r="I120" s="125"/>
      <c r="J120" s="16"/>
      <c r="K120" s="13"/>
      <c r="L120" s="13"/>
      <c r="M120" s="13"/>
      <c r="N120" s="16"/>
      <c r="O120" s="16"/>
      <c r="P120" s="16"/>
      <c r="Q120" s="16"/>
      <c r="R120" s="96"/>
      <c r="S120" s="96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6"/>
      <c r="B121" s="13"/>
      <c r="C121" s="16"/>
      <c r="D121" s="16"/>
      <c r="E121" s="16"/>
      <c r="F121" s="16"/>
      <c r="G121" s="16"/>
      <c r="H121" s="16"/>
      <c r="I121" s="125"/>
      <c r="J121" s="16"/>
      <c r="K121" s="13"/>
      <c r="L121" s="13"/>
      <c r="M121" s="13"/>
      <c r="N121" s="16"/>
      <c r="O121" s="16"/>
      <c r="P121" s="16"/>
      <c r="Q121" s="16"/>
      <c r="R121" s="96"/>
      <c r="S121" s="96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16"/>
      <c r="B122" s="13"/>
      <c r="C122" s="16"/>
      <c r="D122" s="16"/>
      <c r="E122" s="16"/>
      <c r="F122" s="16"/>
      <c r="G122" s="16"/>
      <c r="H122" s="16"/>
      <c r="I122" s="125"/>
      <c r="J122" s="16"/>
      <c r="K122" s="13"/>
      <c r="L122" s="13"/>
      <c r="M122" s="13"/>
      <c r="N122" s="16"/>
      <c r="O122" s="16"/>
      <c r="P122" s="16"/>
      <c r="Q122" s="16"/>
      <c r="R122" s="96"/>
      <c r="S122" s="96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16"/>
      <c r="B123" s="13"/>
      <c r="C123" s="16"/>
      <c r="D123" s="16"/>
      <c r="E123" s="16"/>
      <c r="F123" s="16"/>
      <c r="G123" s="16"/>
      <c r="H123" s="16"/>
      <c r="I123" s="125"/>
      <c r="J123" s="16"/>
      <c r="K123" s="13"/>
      <c r="L123" s="13"/>
      <c r="M123" s="13"/>
      <c r="N123" s="16"/>
      <c r="O123" s="16"/>
      <c r="P123" s="16"/>
      <c r="Q123" s="16"/>
      <c r="R123" s="96"/>
      <c r="S123" s="96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16"/>
      <c r="B124" s="13"/>
      <c r="C124" s="16"/>
      <c r="D124" s="16"/>
      <c r="E124" s="16"/>
      <c r="F124" s="16"/>
      <c r="G124" s="16"/>
      <c r="H124" s="16"/>
      <c r="I124" s="125"/>
      <c r="J124" s="16"/>
      <c r="K124" s="13"/>
      <c r="L124" s="13"/>
      <c r="M124" s="13"/>
      <c r="N124" s="16"/>
      <c r="O124" s="16"/>
      <c r="P124" s="16"/>
      <c r="Q124" s="16"/>
      <c r="R124" s="96"/>
      <c r="S124" s="96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6"/>
      <c r="B125" s="13"/>
      <c r="C125" s="16"/>
      <c r="D125" s="16"/>
      <c r="E125" s="16"/>
      <c r="F125" s="16"/>
      <c r="G125" s="16"/>
      <c r="H125" s="16"/>
      <c r="I125" s="125"/>
      <c r="J125" s="16"/>
      <c r="K125" s="13"/>
      <c r="L125" s="13"/>
      <c r="M125" s="13"/>
      <c r="N125" s="16"/>
      <c r="O125" s="16"/>
      <c r="P125" s="16"/>
      <c r="Q125" s="16"/>
      <c r="R125" s="96"/>
      <c r="S125" s="96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6"/>
      <c r="B126" s="13"/>
      <c r="C126" s="16"/>
      <c r="D126" s="16"/>
      <c r="E126" s="16"/>
      <c r="F126" s="16"/>
      <c r="G126" s="16"/>
      <c r="H126" s="16"/>
      <c r="I126" s="125"/>
      <c r="J126" s="16"/>
      <c r="K126" s="13"/>
      <c r="L126" s="13"/>
      <c r="M126" s="13"/>
      <c r="N126" s="16"/>
      <c r="O126" s="16"/>
      <c r="P126" s="16"/>
      <c r="Q126" s="16"/>
      <c r="R126" s="96"/>
      <c r="S126" s="96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6"/>
      <c r="B127" s="13"/>
      <c r="C127" s="16"/>
      <c r="D127" s="16"/>
      <c r="E127" s="16"/>
      <c r="F127" s="16"/>
      <c r="G127" s="16"/>
      <c r="H127" s="16"/>
      <c r="I127" s="125"/>
      <c r="J127" s="16"/>
      <c r="K127" s="13"/>
      <c r="L127" s="13"/>
      <c r="M127" s="13"/>
      <c r="N127" s="16"/>
      <c r="O127" s="16"/>
      <c r="P127" s="16"/>
      <c r="Q127" s="16"/>
      <c r="R127" s="96"/>
      <c r="S127" s="96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6"/>
      <c r="B128" s="13"/>
      <c r="C128" s="16"/>
      <c r="D128" s="16"/>
      <c r="E128" s="16"/>
      <c r="F128" s="16"/>
      <c r="G128" s="16"/>
      <c r="H128" s="16"/>
      <c r="I128" s="125"/>
      <c r="J128" s="16"/>
      <c r="K128" s="13"/>
      <c r="L128" s="13"/>
      <c r="M128" s="13"/>
      <c r="N128" s="16"/>
      <c r="O128" s="16"/>
      <c r="P128" s="16"/>
      <c r="Q128" s="16"/>
      <c r="R128" s="96"/>
      <c r="S128" s="96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6"/>
      <c r="B129" s="13"/>
      <c r="C129" s="16"/>
      <c r="D129" s="16"/>
      <c r="E129" s="16"/>
      <c r="F129" s="16"/>
      <c r="G129" s="16"/>
      <c r="H129" s="16"/>
      <c r="I129" s="125"/>
      <c r="J129" s="16"/>
      <c r="K129" s="13"/>
      <c r="L129" s="13"/>
      <c r="M129" s="13"/>
      <c r="N129" s="16"/>
      <c r="O129" s="16"/>
      <c r="P129" s="16"/>
      <c r="Q129" s="16"/>
      <c r="R129" s="96"/>
      <c r="S129" s="96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6"/>
      <c r="B130" s="13"/>
      <c r="C130" s="16"/>
      <c r="D130" s="16"/>
      <c r="E130" s="16"/>
      <c r="F130" s="16"/>
      <c r="G130" s="16"/>
      <c r="H130" s="16"/>
      <c r="I130" s="125"/>
      <c r="J130" s="16"/>
      <c r="K130" s="13"/>
      <c r="L130" s="13"/>
      <c r="M130" s="13"/>
      <c r="N130" s="16"/>
      <c r="O130" s="16"/>
      <c r="P130" s="16"/>
      <c r="Q130" s="16"/>
      <c r="R130" s="96"/>
      <c r="S130" s="96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6"/>
      <c r="B131" s="13"/>
      <c r="C131" s="16"/>
      <c r="D131" s="16"/>
      <c r="E131" s="16"/>
      <c r="F131" s="16"/>
      <c r="G131" s="16"/>
      <c r="H131" s="16"/>
      <c r="I131" s="125"/>
      <c r="J131" s="16"/>
      <c r="K131" s="13"/>
      <c r="L131" s="13"/>
      <c r="M131" s="13"/>
      <c r="N131" s="16"/>
      <c r="O131" s="16"/>
      <c r="P131" s="16"/>
      <c r="Q131" s="16"/>
      <c r="R131" s="96"/>
      <c r="S131" s="96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6"/>
      <c r="B132" s="13"/>
      <c r="C132" s="16"/>
      <c r="D132" s="16"/>
      <c r="E132" s="16"/>
      <c r="F132" s="16"/>
      <c r="G132" s="16"/>
      <c r="H132" s="16"/>
      <c r="I132" s="125"/>
      <c r="J132" s="16"/>
      <c r="K132" s="13"/>
      <c r="L132" s="13"/>
      <c r="M132" s="13"/>
      <c r="N132" s="16"/>
      <c r="O132" s="16"/>
      <c r="P132" s="16"/>
      <c r="Q132" s="16"/>
      <c r="R132" s="96"/>
      <c r="S132" s="96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6"/>
      <c r="B133" s="13"/>
      <c r="C133" s="16"/>
      <c r="D133" s="16"/>
      <c r="E133" s="16"/>
      <c r="F133" s="16"/>
      <c r="G133" s="16"/>
      <c r="H133" s="16"/>
      <c r="I133" s="125"/>
      <c r="J133" s="16"/>
      <c r="K133" s="13"/>
      <c r="L133" s="13"/>
      <c r="M133" s="13"/>
      <c r="N133" s="16"/>
      <c r="O133" s="16"/>
      <c r="P133" s="16"/>
      <c r="Q133" s="16"/>
      <c r="R133" s="96"/>
      <c r="S133" s="96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6"/>
      <c r="B134" s="13"/>
      <c r="C134" s="16"/>
      <c r="D134" s="16"/>
      <c r="E134" s="16"/>
      <c r="F134" s="16"/>
      <c r="G134" s="16"/>
      <c r="H134" s="16"/>
      <c r="I134" s="125"/>
      <c r="J134" s="16"/>
      <c r="K134" s="13"/>
      <c r="L134" s="13"/>
      <c r="M134" s="13"/>
      <c r="N134" s="16"/>
      <c r="O134" s="16"/>
      <c r="P134" s="16"/>
      <c r="Q134" s="16"/>
      <c r="R134" s="96"/>
      <c r="S134" s="96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6"/>
      <c r="B135" s="13"/>
      <c r="C135" s="16"/>
      <c r="D135" s="16"/>
      <c r="E135" s="16"/>
      <c r="F135" s="16"/>
      <c r="G135" s="16"/>
      <c r="H135" s="16"/>
      <c r="I135" s="125"/>
      <c r="J135" s="16"/>
      <c r="K135" s="13"/>
      <c r="L135" s="13"/>
      <c r="M135" s="13"/>
      <c r="N135" s="16"/>
      <c r="O135" s="16"/>
      <c r="P135" s="16"/>
      <c r="Q135" s="16"/>
      <c r="R135" s="96"/>
      <c r="S135" s="96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6"/>
      <c r="B136" s="13"/>
      <c r="C136" s="16"/>
      <c r="D136" s="16"/>
      <c r="E136" s="16"/>
      <c r="F136" s="16"/>
      <c r="G136" s="16"/>
      <c r="H136" s="16"/>
      <c r="I136" s="125"/>
      <c r="J136" s="16"/>
      <c r="K136" s="13"/>
      <c r="L136" s="13"/>
      <c r="M136" s="13"/>
      <c r="N136" s="16"/>
      <c r="O136" s="16"/>
      <c r="P136" s="16"/>
      <c r="Q136" s="16"/>
      <c r="R136" s="96"/>
      <c r="S136" s="96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6"/>
      <c r="B137" s="13"/>
      <c r="C137" s="16"/>
      <c r="D137" s="16"/>
      <c r="E137" s="16"/>
      <c r="F137" s="16"/>
      <c r="G137" s="16"/>
      <c r="H137" s="16"/>
      <c r="I137" s="125"/>
      <c r="J137" s="16"/>
      <c r="K137" s="13"/>
      <c r="L137" s="13"/>
      <c r="M137" s="13"/>
      <c r="N137" s="16"/>
      <c r="O137" s="16"/>
      <c r="P137" s="16"/>
      <c r="Q137" s="16"/>
      <c r="R137" s="96"/>
      <c r="S137" s="96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16"/>
      <c r="B138" s="13"/>
      <c r="C138" s="16"/>
      <c r="D138" s="16"/>
      <c r="E138" s="16"/>
      <c r="F138" s="16"/>
      <c r="G138" s="16"/>
      <c r="H138" s="16"/>
      <c r="I138" s="125"/>
      <c r="J138" s="16"/>
      <c r="K138" s="13"/>
      <c r="L138" s="13"/>
      <c r="M138" s="13"/>
      <c r="N138" s="16"/>
      <c r="O138" s="16"/>
      <c r="P138" s="16"/>
      <c r="Q138" s="16"/>
      <c r="R138" s="96"/>
      <c r="S138" s="96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6"/>
      <c r="B139" s="13"/>
      <c r="C139" s="16"/>
      <c r="D139" s="16"/>
      <c r="E139" s="16"/>
      <c r="F139" s="16"/>
      <c r="G139" s="16"/>
      <c r="H139" s="16"/>
      <c r="I139" s="125"/>
      <c r="J139" s="16"/>
      <c r="K139" s="13"/>
      <c r="L139" s="13"/>
      <c r="M139" s="13"/>
      <c r="N139" s="16"/>
      <c r="O139" s="16"/>
      <c r="P139" s="16"/>
      <c r="Q139" s="16"/>
      <c r="R139" s="96"/>
      <c r="S139" s="96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6"/>
      <c r="B140" s="13"/>
      <c r="C140" s="16"/>
      <c r="D140" s="16"/>
      <c r="E140" s="16"/>
      <c r="F140" s="16"/>
      <c r="G140" s="16"/>
      <c r="H140" s="16"/>
      <c r="I140" s="125"/>
      <c r="J140" s="16"/>
      <c r="K140" s="13"/>
      <c r="L140" s="13"/>
      <c r="M140" s="13"/>
      <c r="N140" s="16"/>
      <c r="O140" s="16"/>
      <c r="P140" s="16"/>
      <c r="Q140" s="16"/>
      <c r="R140" s="96"/>
      <c r="S140" s="96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6"/>
      <c r="B141" s="13"/>
      <c r="C141" s="16"/>
      <c r="D141" s="16"/>
      <c r="E141" s="16"/>
      <c r="F141" s="16"/>
      <c r="G141" s="16"/>
      <c r="H141" s="16"/>
      <c r="I141" s="125"/>
      <c r="J141" s="16"/>
      <c r="K141" s="13"/>
      <c r="L141" s="13"/>
      <c r="M141" s="13"/>
      <c r="N141" s="16"/>
      <c r="O141" s="16"/>
      <c r="P141" s="16"/>
      <c r="Q141" s="16"/>
      <c r="R141" s="96"/>
      <c r="S141" s="96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6"/>
      <c r="B142" s="13"/>
      <c r="C142" s="16"/>
      <c r="D142" s="16"/>
      <c r="E142" s="16"/>
      <c r="F142" s="16"/>
      <c r="G142" s="16"/>
      <c r="H142" s="16"/>
      <c r="I142" s="125"/>
      <c r="J142" s="16"/>
      <c r="K142" s="13"/>
      <c r="L142" s="13"/>
      <c r="M142" s="13"/>
      <c r="N142" s="16"/>
      <c r="O142" s="16"/>
      <c r="P142" s="16"/>
      <c r="Q142" s="16"/>
      <c r="R142" s="96"/>
      <c r="S142" s="96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6"/>
      <c r="B143" s="13"/>
      <c r="C143" s="16"/>
      <c r="D143" s="16"/>
      <c r="E143" s="16"/>
      <c r="F143" s="16"/>
      <c r="G143" s="16"/>
      <c r="H143" s="16"/>
      <c r="I143" s="125"/>
      <c r="J143" s="16"/>
      <c r="K143" s="13"/>
      <c r="L143" s="13"/>
      <c r="M143" s="13"/>
      <c r="N143" s="16"/>
      <c r="O143" s="16"/>
      <c r="P143" s="16"/>
      <c r="Q143" s="16"/>
      <c r="R143" s="96"/>
      <c r="S143" s="96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6"/>
      <c r="B144" s="13"/>
      <c r="C144" s="16"/>
      <c r="D144" s="16"/>
      <c r="E144" s="16"/>
      <c r="F144" s="16"/>
      <c r="G144" s="16"/>
      <c r="H144" s="16"/>
      <c r="I144" s="125"/>
      <c r="J144" s="16"/>
      <c r="K144" s="13"/>
      <c r="L144" s="13"/>
      <c r="M144" s="13"/>
      <c r="N144" s="16"/>
      <c r="O144" s="16"/>
      <c r="P144" s="16"/>
      <c r="Q144" s="16"/>
      <c r="R144" s="96"/>
      <c r="S144" s="96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6"/>
      <c r="B145" s="13"/>
      <c r="C145" s="16"/>
      <c r="D145" s="16"/>
      <c r="E145" s="16"/>
      <c r="F145" s="16"/>
      <c r="G145" s="16"/>
      <c r="H145" s="16"/>
      <c r="I145" s="125"/>
      <c r="J145" s="16"/>
      <c r="K145" s="13"/>
      <c r="L145" s="13"/>
      <c r="M145" s="13"/>
      <c r="N145" s="16"/>
      <c r="O145" s="16"/>
      <c r="P145" s="16"/>
      <c r="Q145" s="16"/>
      <c r="R145" s="96"/>
      <c r="S145" s="96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6"/>
      <c r="B146" s="13"/>
      <c r="C146" s="16"/>
      <c r="D146" s="16"/>
      <c r="E146" s="16"/>
      <c r="F146" s="16"/>
      <c r="G146" s="16"/>
      <c r="H146" s="16"/>
      <c r="I146" s="125"/>
      <c r="J146" s="16"/>
      <c r="K146" s="13"/>
      <c r="L146" s="13"/>
      <c r="M146" s="13"/>
      <c r="N146" s="16"/>
      <c r="O146" s="16"/>
      <c r="P146" s="16"/>
      <c r="Q146" s="16"/>
      <c r="R146" s="96"/>
      <c r="S146" s="96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6"/>
      <c r="B147" s="13"/>
      <c r="C147" s="16"/>
      <c r="D147" s="16"/>
      <c r="E147" s="16"/>
      <c r="F147" s="16"/>
      <c r="G147" s="16"/>
      <c r="H147" s="16"/>
      <c r="I147" s="125"/>
      <c r="J147" s="16"/>
      <c r="K147" s="13"/>
      <c r="L147" s="13"/>
      <c r="M147" s="13"/>
      <c r="N147" s="16"/>
      <c r="O147" s="16"/>
      <c r="P147" s="16"/>
      <c r="Q147" s="16"/>
      <c r="R147" s="96"/>
      <c r="S147" s="96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6"/>
      <c r="B148" s="13"/>
      <c r="C148" s="16"/>
      <c r="D148" s="16"/>
      <c r="E148" s="16"/>
      <c r="F148" s="16"/>
      <c r="G148" s="16"/>
      <c r="H148" s="16"/>
      <c r="I148" s="125"/>
      <c r="J148" s="16"/>
      <c r="K148" s="13"/>
      <c r="L148" s="13"/>
      <c r="M148" s="13"/>
      <c r="N148" s="16"/>
      <c r="O148" s="16"/>
      <c r="P148" s="16"/>
      <c r="Q148" s="16"/>
      <c r="R148" s="96"/>
      <c r="S148" s="96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6"/>
      <c r="B149" s="13"/>
      <c r="C149" s="16"/>
      <c r="D149" s="16"/>
      <c r="E149" s="16"/>
      <c r="F149" s="16"/>
      <c r="G149" s="16"/>
      <c r="H149" s="16"/>
      <c r="I149" s="125"/>
      <c r="J149" s="16"/>
      <c r="K149" s="13"/>
      <c r="L149" s="13"/>
      <c r="M149" s="13"/>
      <c r="N149" s="16"/>
      <c r="O149" s="16"/>
      <c r="P149" s="16"/>
      <c r="Q149" s="16"/>
      <c r="R149" s="96"/>
      <c r="S149" s="96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6"/>
      <c r="B150" s="13"/>
      <c r="C150" s="16"/>
      <c r="D150" s="16"/>
      <c r="E150" s="16"/>
      <c r="F150" s="16"/>
      <c r="G150" s="16"/>
      <c r="H150" s="16"/>
      <c r="I150" s="125"/>
      <c r="J150" s="16"/>
      <c r="K150" s="13"/>
      <c r="L150" s="13"/>
      <c r="M150" s="13"/>
      <c r="N150" s="16"/>
      <c r="O150" s="16"/>
      <c r="P150" s="16"/>
      <c r="Q150" s="16"/>
      <c r="R150" s="96"/>
      <c r="S150" s="96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6"/>
      <c r="B151" s="13"/>
      <c r="C151" s="16"/>
      <c r="D151" s="16"/>
      <c r="E151" s="16"/>
      <c r="F151" s="16"/>
      <c r="G151" s="16"/>
      <c r="H151" s="16"/>
      <c r="I151" s="125"/>
      <c r="J151" s="16"/>
      <c r="K151" s="13"/>
      <c r="L151" s="13"/>
      <c r="M151" s="13"/>
      <c r="N151" s="16"/>
      <c r="O151" s="16"/>
      <c r="P151" s="16"/>
      <c r="Q151" s="16"/>
      <c r="R151" s="96"/>
      <c r="S151" s="96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6"/>
      <c r="B152" s="13"/>
      <c r="C152" s="16"/>
      <c r="D152" s="16"/>
      <c r="E152" s="16"/>
      <c r="F152" s="16"/>
      <c r="G152" s="16"/>
      <c r="H152" s="16"/>
      <c r="I152" s="125"/>
      <c r="J152" s="16"/>
      <c r="K152" s="13"/>
      <c r="L152" s="13"/>
      <c r="M152" s="13"/>
      <c r="N152" s="16"/>
      <c r="O152" s="16"/>
      <c r="P152" s="16"/>
      <c r="Q152" s="16"/>
      <c r="R152" s="96"/>
      <c r="S152" s="96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6"/>
      <c r="B153" s="13"/>
      <c r="C153" s="16"/>
      <c r="D153" s="16"/>
      <c r="E153" s="16"/>
      <c r="F153" s="16"/>
      <c r="G153" s="16"/>
      <c r="H153" s="16"/>
      <c r="I153" s="125"/>
      <c r="J153" s="16"/>
      <c r="K153" s="13"/>
      <c r="L153" s="13"/>
      <c r="M153" s="13"/>
      <c r="N153" s="16"/>
      <c r="O153" s="16"/>
      <c r="P153" s="16"/>
      <c r="Q153" s="16"/>
      <c r="R153" s="96"/>
      <c r="S153" s="96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6"/>
      <c r="B154" s="13"/>
      <c r="C154" s="16"/>
      <c r="D154" s="16"/>
      <c r="E154" s="16"/>
      <c r="F154" s="16"/>
      <c r="G154" s="16"/>
      <c r="H154" s="16"/>
      <c r="I154" s="125"/>
      <c r="J154" s="16"/>
      <c r="K154" s="13"/>
      <c r="L154" s="13"/>
      <c r="M154" s="13"/>
      <c r="N154" s="16"/>
      <c r="O154" s="16"/>
      <c r="P154" s="16"/>
      <c r="Q154" s="16"/>
      <c r="R154" s="96"/>
      <c r="S154" s="96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6"/>
      <c r="B155" s="13"/>
      <c r="C155" s="16"/>
      <c r="D155" s="16"/>
      <c r="E155" s="16"/>
      <c r="F155" s="16"/>
      <c r="G155" s="16"/>
      <c r="H155" s="16"/>
      <c r="I155" s="125"/>
      <c r="J155" s="16"/>
      <c r="K155" s="13"/>
      <c r="L155" s="13"/>
      <c r="M155" s="13"/>
      <c r="N155" s="16"/>
      <c r="O155" s="16"/>
      <c r="P155" s="16"/>
      <c r="Q155" s="16"/>
      <c r="R155" s="96"/>
      <c r="S155" s="96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6"/>
      <c r="B156" s="13"/>
      <c r="C156" s="16"/>
      <c r="D156" s="16"/>
      <c r="E156" s="16"/>
      <c r="F156" s="16"/>
      <c r="G156" s="16"/>
      <c r="H156" s="16"/>
      <c r="I156" s="125"/>
      <c r="J156" s="16"/>
      <c r="K156" s="13"/>
      <c r="L156" s="13"/>
      <c r="M156" s="13"/>
      <c r="N156" s="16"/>
      <c r="O156" s="16"/>
      <c r="P156" s="16"/>
      <c r="Q156" s="16"/>
      <c r="R156" s="96"/>
      <c r="S156" s="96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16"/>
      <c r="B157" s="13"/>
      <c r="C157" s="16"/>
      <c r="D157" s="16"/>
      <c r="E157" s="16"/>
      <c r="F157" s="16"/>
      <c r="G157" s="16"/>
      <c r="H157" s="16"/>
      <c r="I157" s="125"/>
      <c r="J157" s="16"/>
      <c r="K157" s="13"/>
      <c r="L157" s="13"/>
      <c r="M157" s="13"/>
      <c r="N157" s="16"/>
      <c r="O157" s="16"/>
      <c r="P157" s="16"/>
      <c r="Q157" s="16"/>
      <c r="R157" s="96"/>
      <c r="S157" s="96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16"/>
      <c r="B158" s="13"/>
      <c r="C158" s="16"/>
      <c r="D158" s="16"/>
      <c r="E158" s="16"/>
      <c r="F158" s="16"/>
      <c r="G158" s="16"/>
      <c r="H158" s="16"/>
      <c r="I158" s="125"/>
      <c r="J158" s="16"/>
      <c r="K158" s="13"/>
      <c r="L158" s="13"/>
      <c r="M158" s="13"/>
      <c r="N158" s="16"/>
      <c r="O158" s="16"/>
      <c r="P158" s="16"/>
      <c r="Q158" s="16"/>
      <c r="R158" s="96"/>
      <c r="S158" s="96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16"/>
      <c r="B159" s="13"/>
      <c r="C159" s="16"/>
      <c r="D159" s="16"/>
      <c r="E159" s="16"/>
      <c r="F159" s="16"/>
      <c r="G159" s="16"/>
      <c r="H159" s="16"/>
      <c r="I159" s="125"/>
      <c r="J159" s="16"/>
      <c r="K159" s="13"/>
      <c r="L159" s="13"/>
      <c r="M159" s="13"/>
      <c r="N159" s="16"/>
      <c r="O159" s="16"/>
      <c r="P159" s="16"/>
      <c r="Q159" s="16"/>
      <c r="R159" s="96"/>
      <c r="S159" s="96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16"/>
      <c r="B160" s="13"/>
      <c r="C160" s="16"/>
      <c r="D160" s="16"/>
      <c r="E160" s="16"/>
      <c r="F160" s="16"/>
      <c r="G160" s="16"/>
      <c r="H160" s="16"/>
      <c r="I160" s="125"/>
      <c r="J160" s="16"/>
      <c r="K160" s="13"/>
      <c r="L160" s="13"/>
      <c r="M160" s="13"/>
      <c r="N160" s="16"/>
      <c r="O160" s="16"/>
      <c r="P160" s="16"/>
      <c r="Q160" s="16"/>
      <c r="R160" s="96"/>
      <c r="S160" s="96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16"/>
      <c r="B161" s="13"/>
      <c r="C161" s="16"/>
      <c r="D161" s="16"/>
      <c r="E161" s="16"/>
      <c r="F161" s="16"/>
      <c r="G161" s="16"/>
      <c r="H161" s="16"/>
      <c r="I161" s="125"/>
      <c r="J161" s="16"/>
      <c r="K161" s="13"/>
      <c r="L161" s="13"/>
      <c r="M161" s="13"/>
      <c r="N161" s="16"/>
      <c r="O161" s="16"/>
      <c r="P161" s="16"/>
      <c r="Q161" s="16"/>
      <c r="R161" s="96"/>
      <c r="S161" s="96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16"/>
      <c r="B162" s="13"/>
      <c r="C162" s="16"/>
      <c r="D162" s="16"/>
      <c r="E162" s="16"/>
      <c r="F162" s="16"/>
      <c r="G162" s="16"/>
      <c r="H162" s="16"/>
      <c r="I162" s="125"/>
      <c r="J162" s="16"/>
      <c r="K162" s="13"/>
      <c r="L162" s="13"/>
      <c r="M162" s="13"/>
      <c r="N162" s="16"/>
      <c r="O162" s="16"/>
      <c r="P162" s="16"/>
      <c r="Q162" s="16"/>
      <c r="R162" s="96"/>
      <c r="S162" s="96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6"/>
      <c r="B163" s="13"/>
      <c r="C163" s="16"/>
      <c r="D163" s="16"/>
      <c r="E163" s="16"/>
      <c r="F163" s="16"/>
      <c r="G163" s="16"/>
      <c r="H163" s="16"/>
      <c r="I163" s="125"/>
      <c r="J163" s="16"/>
      <c r="K163" s="13"/>
      <c r="L163" s="13"/>
      <c r="M163" s="13"/>
      <c r="N163" s="16"/>
      <c r="O163" s="16"/>
      <c r="P163" s="16"/>
      <c r="Q163" s="16"/>
      <c r="R163" s="96"/>
      <c r="S163" s="96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6"/>
      <c r="B164" s="13"/>
      <c r="C164" s="16"/>
      <c r="D164" s="16"/>
      <c r="E164" s="16"/>
      <c r="F164" s="16"/>
      <c r="G164" s="16"/>
      <c r="H164" s="16"/>
      <c r="I164" s="125"/>
      <c r="J164" s="16"/>
      <c r="K164" s="13"/>
      <c r="L164" s="13"/>
      <c r="M164" s="13"/>
      <c r="N164" s="16"/>
      <c r="O164" s="16"/>
      <c r="P164" s="16"/>
      <c r="Q164" s="16"/>
      <c r="R164" s="96"/>
      <c r="S164" s="96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16"/>
      <c r="B165" s="13"/>
      <c r="C165" s="16"/>
      <c r="D165" s="16"/>
      <c r="E165" s="16"/>
      <c r="F165" s="16"/>
      <c r="G165" s="16"/>
      <c r="H165" s="16"/>
      <c r="I165" s="125"/>
      <c r="J165" s="16"/>
      <c r="K165" s="13"/>
      <c r="L165" s="13"/>
      <c r="M165" s="13"/>
      <c r="N165" s="16"/>
      <c r="O165" s="16"/>
      <c r="P165" s="16"/>
      <c r="Q165" s="16"/>
      <c r="R165" s="96"/>
      <c r="S165" s="96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16"/>
      <c r="B166" s="13"/>
      <c r="C166" s="16"/>
      <c r="D166" s="16"/>
      <c r="E166" s="16"/>
      <c r="F166" s="16"/>
      <c r="G166" s="16"/>
      <c r="H166" s="16"/>
      <c r="I166" s="125"/>
      <c r="J166" s="16"/>
      <c r="K166" s="13"/>
      <c r="L166" s="13"/>
      <c r="M166" s="13"/>
      <c r="N166" s="16"/>
      <c r="O166" s="16"/>
      <c r="P166" s="16"/>
      <c r="Q166" s="16"/>
      <c r="R166" s="96"/>
      <c r="S166" s="96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16"/>
      <c r="B167" s="13"/>
      <c r="C167" s="16"/>
      <c r="D167" s="16"/>
      <c r="E167" s="16"/>
      <c r="F167" s="16"/>
      <c r="G167" s="16"/>
      <c r="H167" s="16"/>
      <c r="I167" s="125"/>
      <c r="J167" s="16"/>
      <c r="K167" s="13"/>
      <c r="L167" s="13"/>
      <c r="M167" s="13"/>
      <c r="N167" s="16"/>
      <c r="O167" s="16"/>
      <c r="P167" s="16"/>
      <c r="Q167" s="16"/>
      <c r="R167" s="96"/>
      <c r="S167" s="96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16"/>
      <c r="B168" s="13"/>
      <c r="C168" s="16"/>
      <c r="D168" s="16"/>
      <c r="E168" s="16"/>
      <c r="F168" s="16"/>
      <c r="G168" s="16"/>
      <c r="H168" s="16"/>
      <c r="I168" s="125"/>
      <c r="J168" s="16"/>
      <c r="K168" s="13"/>
      <c r="L168" s="13"/>
      <c r="M168" s="13"/>
      <c r="N168" s="16"/>
      <c r="O168" s="16"/>
      <c r="P168" s="16"/>
      <c r="Q168" s="16"/>
      <c r="R168" s="96"/>
      <c r="S168" s="96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6"/>
      <c r="B169" s="13"/>
      <c r="C169" s="16"/>
      <c r="D169" s="16"/>
      <c r="E169" s="16"/>
      <c r="F169" s="16"/>
      <c r="G169" s="16"/>
      <c r="H169" s="16"/>
      <c r="I169" s="125"/>
      <c r="J169" s="16"/>
      <c r="K169" s="13"/>
      <c r="L169" s="13"/>
      <c r="M169" s="13"/>
      <c r="N169" s="16"/>
      <c r="O169" s="16"/>
      <c r="P169" s="16"/>
      <c r="Q169" s="16"/>
      <c r="R169" s="96"/>
      <c r="S169" s="96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16"/>
      <c r="B170" s="13"/>
      <c r="C170" s="16"/>
      <c r="D170" s="16"/>
      <c r="E170" s="16"/>
      <c r="F170" s="16"/>
      <c r="G170" s="16"/>
      <c r="H170" s="16"/>
      <c r="I170" s="125"/>
      <c r="J170" s="16"/>
      <c r="K170" s="13"/>
      <c r="L170" s="13"/>
      <c r="M170" s="13"/>
      <c r="N170" s="16"/>
      <c r="O170" s="16"/>
      <c r="P170" s="16"/>
      <c r="Q170" s="16"/>
      <c r="R170" s="96"/>
      <c r="S170" s="96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6"/>
      <c r="B171" s="13"/>
      <c r="C171" s="16"/>
      <c r="D171" s="16"/>
      <c r="E171" s="16"/>
      <c r="F171" s="16"/>
      <c r="G171" s="16"/>
      <c r="H171" s="16"/>
      <c r="I171" s="125"/>
      <c r="J171" s="16"/>
      <c r="K171" s="13"/>
      <c r="L171" s="13"/>
      <c r="M171" s="13"/>
      <c r="N171" s="16"/>
      <c r="O171" s="16"/>
      <c r="P171" s="16"/>
      <c r="Q171" s="16"/>
      <c r="R171" s="96"/>
      <c r="S171" s="96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16"/>
      <c r="B172" s="13"/>
      <c r="C172" s="16"/>
      <c r="D172" s="16"/>
      <c r="E172" s="16"/>
      <c r="F172" s="16"/>
      <c r="G172" s="16"/>
      <c r="H172" s="16"/>
      <c r="I172" s="125"/>
      <c r="J172" s="16"/>
      <c r="K172" s="13"/>
      <c r="L172" s="13"/>
      <c r="M172" s="13"/>
      <c r="N172" s="16"/>
      <c r="O172" s="16"/>
      <c r="P172" s="16"/>
      <c r="Q172" s="16"/>
      <c r="R172" s="96"/>
      <c r="S172" s="96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16"/>
      <c r="B173" s="13"/>
      <c r="C173" s="16"/>
      <c r="D173" s="16"/>
      <c r="E173" s="16"/>
      <c r="F173" s="16"/>
      <c r="G173" s="16"/>
      <c r="H173" s="16"/>
      <c r="I173" s="125"/>
      <c r="J173" s="16"/>
      <c r="K173" s="13"/>
      <c r="L173" s="13"/>
      <c r="M173" s="13"/>
      <c r="N173" s="16"/>
      <c r="O173" s="16"/>
      <c r="P173" s="16"/>
      <c r="Q173" s="16"/>
      <c r="R173" s="96"/>
      <c r="S173" s="96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16"/>
      <c r="B174" s="13"/>
      <c r="C174" s="16"/>
      <c r="D174" s="16"/>
      <c r="E174" s="16"/>
      <c r="F174" s="16"/>
      <c r="G174" s="16"/>
      <c r="H174" s="16"/>
      <c r="I174" s="125"/>
      <c r="J174" s="16"/>
      <c r="K174" s="13"/>
      <c r="L174" s="13"/>
      <c r="M174" s="13"/>
      <c r="N174" s="16"/>
      <c r="O174" s="16"/>
      <c r="P174" s="16"/>
      <c r="Q174" s="16"/>
      <c r="R174" s="96"/>
      <c r="S174" s="96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16"/>
      <c r="B175" s="13"/>
      <c r="C175" s="16"/>
      <c r="D175" s="16"/>
      <c r="E175" s="16"/>
      <c r="F175" s="16"/>
      <c r="G175" s="16"/>
      <c r="H175" s="16"/>
      <c r="I175" s="125"/>
      <c r="J175" s="16"/>
      <c r="K175" s="13"/>
      <c r="L175" s="13"/>
      <c r="M175" s="13"/>
      <c r="N175" s="16"/>
      <c r="O175" s="16"/>
      <c r="P175" s="16"/>
      <c r="Q175" s="16"/>
      <c r="R175" s="96"/>
      <c r="S175" s="96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16"/>
      <c r="B176" s="13"/>
      <c r="C176" s="16"/>
      <c r="D176" s="16"/>
      <c r="E176" s="16"/>
      <c r="F176" s="16"/>
      <c r="G176" s="16"/>
      <c r="H176" s="16"/>
      <c r="I176" s="125"/>
      <c r="J176" s="16"/>
      <c r="K176" s="13"/>
      <c r="L176" s="13"/>
      <c r="M176" s="13"/>
      <c r="N176" s="16"/>
      <c r="O176" s="16"/>
      <c r="P176" s="16"/>
      <c r="Q176" s="16"/>
      <c r="R176" s="96"/>
      <c r="S176" s="96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16"/>
      <c r="B177" s="13"/>
      <c r="C177" s="16"/>
      <c r="D177" s="16"/>
      <c r="E177" s="16"/>
      <c r="F177" s="16"/>
      <c r="G177" s="16"/>
      <c r="H177" s="16"/>
      <c r="I177" s="125"/>
      <c r="J177" s="16"/>
      <c r="K177" s="13"/>
      <c r="L177" s="13"/>
      <c r="M177" s="13"/>
      <c r="N177" s="16"/>
      <c r="O177" s="16"/>
      <c r="P177" s="16"/>
      <c r="Q177" s="16"/>
      <c r="R177" s="96"/>
      <c r="S177" s="96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16"/>
      <c r="B178" s="13"/>
      <c r="C178" s="16"/>
      <c r="D178" s="16"/>
      <c r="E178" s="16"/>
      <c r="F178" s="16"/>
      <c r="G178" s="16"/>
      <c r="H178" s="16"/>
      <c r="I178" s="125"/>
      <c r="J178" s="16"/>
      <c r="K178" s="13"/>
      <c r="L178" s="13"/>
      <c r="M178" s="13"/>
      <c r="N178" s="16"/>
      <c r="O178" s="16"/>
      <c r="P178" s="16"/>
      <c r="Q178" s="16"/>
      <c r="R178" s="96"/>
      <c r="S178" s="96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16"/>
      <c r="B179" s="13"/>
      <c r="C179" s="16"/>
      <c r="D179" s="16"/>
      <c r="E179" s="16"/>
      <c r="F179" s="16"/>
      <c r="G179" s="16"/>
      <c r="H179" s="16"/>
      <c r="I179" s="125"/>
      <c r="J179" s="16"/>
      <c r="K179" s="13"/>
      <c r="L179" s="13"/>
      <c r="M179" s="13"/>
      <c r="N179" s="16"/>
      <c r="O179" s="16"/>
      <c r="P179" s="16"/>
      <c r="Q179" s="16"/>
      <c r="R179" s="96"/>
      <c r="S179" s="96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16"/>
      <c r="B180" s="13"/>
      <c r="C180" s="16"/>
      <c r="D180" s="16"/>
      <c r="E180" s="16"/>
      <c r="F180" s="16"/>
      <c r="G180" s="16"/>
      <c r="H180" s="16"/>
      <c r="I180" s="125"/>
      <c r="J180" s="16"/>
      <c r="K180" s="13"/>
      <c r="L180" s="13"/>
      <c r="M180" s="13"/>
      <c r="N180" s="16"/>
      <c r="O180" s="16"/>
      <c r="P180" s="16"/>
      <c r="Q180" s="16"/>
      <c r="R180" s="96"/>
      <c r="S180" s="96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16"/>
      <c r="B181" s="13"/>
      <c r="C181" s="16"/>
      <c r="D181" s="16"/>
      <c r="E181" s="16"/>
      <c r="F181" s="16"/>
      <c r="G181" s="16"/>
      <c r="H181" s="16"/>
      <c r="I181" s="125"/>
      <c r="J181" s="16"/>
      <c r="K181" s="13"/>
      <c r="L181" s="13"/>
      <c r="M181" s="13"/>
      <c r="N181" s="16"/>
      <c r="O181" s="16"/>
      <c r="P181" s="16"/>
      <c r="Q181" s="16"/>
      <c r="R181" s="96"/>
      <c r="S181" s="96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6"/>
      <c r="B182" s="13"/>
      <c r="C182" s="16"/>
      <c r="D182" s="16"/>
      <c r="E182" s="16"/>
      <c r="F182" s="16"/>
      <c r="G182" s="16"/>
      <c r="H182" s="16"/>
      <c r="I182" s="125"/>
      <c r="J182" s="16"/>
      <c r="K182" s="13"/>
      <c r="L182" s="13"/>
      <c r="M182" s="13"/>
      <c r="N182" s="16"/>
      <c r="O182" s="16"/>
      <c r="P182" s="16"/>
      <c r="Q182" s="16"/>
      <c r="R182" s="96"/>
      <c r="S182" s="96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6"/>
      <c r="B183" s="13"/>
      <c r="C183" s="16"/>
      <c r="D183" s="16"/>
      <c r="E183" s="16"/>
      <c r="F183" s="16"/>
      <c r="G183" s="16"/>
      <c r="H183" s="16"/>
      <c r="I183" s="125"/>
      <c r="J183" s="16"/>
      <c r="K183" s="13"/>
      <c r="L183" s="13"/>
      <c r="M183" s="13"/>
      <c r="N183" s="16"/>
      <c r="O183" s="16"/>
      <c r="P183" s="16"/>
      <c r="Q183" s="16"/>
      <c r="R183" s="96"/>
      <c r="S183" s="96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6"/>
      <c r="B184" s="13"/>
      <c r="C184" s="16"/>
      <c r="D184" s="16"/>
      <c r="E184" s="16"/>
      <c r="F184" s="16"/>
      <c r="G184" s="16"/>
      <c r="H184" s="16"/>
      <c r="I184" s="125"/>
      <c r="J184" s="16"/>
      <c r="K184" s="13"/>
      <c r="L184" s="13"/>
      <c r="M184" s="13"/>
      <c r="N184" s="16"/>
      <c r="O184" s="16"/>
      <c r="P184" s="16"/>
      <c r="Q184" s="16"/>
      <c r="R184" s="96"/>
      <c r="S184" s="96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6"/>
      <c r="B185" s="13"/>
      <c r="C185" s="16"/>
      <c r="D185" s="16"/>
      <c r="E185" s="16"/>
      <c r="F185" s="16"/>
      <c r="G185" s="16"/>
      <c r="H185" s="16"/>
      <c r="I185" s="125"/>
      <c r="J185" s="16"/>
      <c r="K185" s="13"/>
      <c r="L185" s="13"/>
      <c r="M185" s="13"/>
      <c r="N185" s="16"/>
      <c r="O185" s="16"/>
      <c r="P185" s="16"/>
      <c r="Q185" s="16"/>
      <c r="R185" s="96"/>
      <c r="S185" s="96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6"/>
      <c r="B186" s="13"/>
      <c r="C186" s="16"/>
      <c r="D186" s="16"/>
      <c r="E186" s="16"/>
      <c r="F186" s="16"/>
      <c r="G186" s="16"/>
      <c r="H186" s="16"/>
      <c r="I186" s="125"/>
      <c r="J186" s="16"/>
      <c r="K186" s="13"/>
      <c r="L186" s="13"/>
      <c r="M186" s="13"/>
      <c r="N186" s="16"/>
      <c r="O186" s="16"/>
      <c r="P186" s="16"/>
      <c r="Q186" s="16"/>
      <c r="R186" s="96"/>
      <c r="S186" s="96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6"/>
      <c r="B187" s="13"/>
      <c r="C187" s="16"/>
      <c r="D187" s="16"/>
      <c r="E187" s="16"/>
      <c r="F187" s="16"/>
      <c r="G187" s="16"/>
      <c r="H187" s="16"/>
      <c r="I187" s="125"/>
      <c r="J187" s="16"/>
      <c r="K187" s="13"/>
      <c r="L187" s="13"/>
      <c r="M187" s="13"/>
      <c r="N187" s="16"/>
      <c r="O187" s="16"/>
      <c r="P187" s="16"/>
      <c r="Q187" s="16"/>
      <c r="R187" s="96"/>
      <c r="S187" s="96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6"/>
      <c r="B188" s="13"/>
      <c r="C188" s="16"/>
      <c r="D188" s="16"/>
      <c r="E188" s="16"/>
      <c r="F188" s="16"/>
      <c r="G188" s="16"/>
      <c r="H188" s="16"/>
      <c r="I188" s="125"/>
      <c r="J188" s="16"/>
      <c r="K188" s="13"/>
      <c r="L188" s="13"/>
      <c r="M188" s="13"/>
      <c r="N188" s="16"/>
      <c r="O188" s="16"/>
      <c r="P188" s="16"/>
      <c r="Q188" s="16"/>
      <c r="R188" s="96"/>
      <c r="S188" s="96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6"/>
      <c r="B189" s="13"/>
      <c r="C189" s="16"/>
      <c r="D189" s="16"/>
      <c r="E189" s="16"/>
      <c r="F189" s="16"/>
      <c r="G189" s="16"/>
      <c r="H189" s="16"/>
      <c r="I189" s="125"/>
      <c r="J189" s="16"/>
      <c r="K189" s="13"/>
      <c r="L189" s="13"/>
      <c r="M189" s="13"/>
      <c r="N189" s="16"/>
      <c r="O189" s="16"/>
      <c r="P189" s="16"/>
      <c r="Q189" s="16"/>
      <c r="R189" s="96"/>
      <c r="S189" s="96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6"/>
      <c r="B190" s="13"/>
      <c r="C190" s="16"/>
      <c r="D190" s="16"/>
      <c r="E190" s="16"/>
      <c r="F190" s="16"/>
      <c r="G190" s="16"/>
      <c r="H190" s="16"/>
      <c r="I190" s="125"/>
      <c r="J190" s="16"/>
      <c r="K190" s="13"/>
      <c r="L190" s="13"/>
      <c r="M190" s="13"/>
      <c r="N190" s="16"/>
      <c r="O190" s="16"/>
      <c r="P190" s="16"/>
      <c r="Q190" s="16"/>
      <c r="R190" s="96"/>
      <c r="S190" s="96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6"/>
      <c r="B191" s="13"/>
      <c r="C191" s="16"/>
      <c r="D191" s="16"/>
      <c r="E191" s="16"/>
      <c r="F191" s="16"/>
      <c r="G191" s="16"/>
      <c r="H191" s="16"/>
      <c r="I191" s="125"/>
      <c r="J191" s="16"/>
      <c r="K191" s="13"/>
      <c r="L191" s="13"/>
      <c r="M191" s="13"/>
      <c r="N191" s="16"/>
      <c r="O191" s="16"/>
      <c r="P191" s="16"/>
      <c r="Q191" s="16"/>
      <c r="R191" s="96"/>
      <c r="S191" s="96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6"/>
      <c r="B192" s="13"/>
      <c r="C192" s="16"/>
      <c r="D192" s="16"/>
      <c r="E192" s="16"/>
      <c r="F192" s="16"/>
      <c r="G192" s="16"/>
      <c r="H192" s="16"/>
      <c r="I192" s="125"/>
      <c r="J192" s="16"/>
      <c r="K192" s="13"/>
      <c r="L192" s="13"/>
      <c r="M192" s="13"/>
      <c r="N192" s="16"/>
      <c r="O192" s="16"/>
      <c r="P192" s="16"/>
      <c r="Q192" s="16"/>
      <c r="R192" s="96"/>
      <c r="S192" s="96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6"/>
      <c r="B193" s="13"/>
      <c r="C193" s="16"/>
      <c r="D193" s="16"/>
      <c r="E193" s="16"/>
      <c r="F193" s="16"/>
      <c r="G193" s="16"/>
      <c r="H193" s="16"/>
      <c r="I193" s="125"/>
      <c r="J193" s="16"/>
      <c r="K193" s="13"/>
      <c r="L193" s="13"/>
      <c r="M193" s="13"/>
      <c r="N193" s="16"/>
      <c r="O193" s="16"/>
      <c r="P193" s="16"/>
      <c r="Q193" s="16"/>
      <c r="R193" s="96"/>
      <c r="S193" s="96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6"/>
      <c r="B194" s="13"/>
      <c r="C194" s="16"/>
      <c r="D194" s="16"/>
      <c r="E194" s="16"/>
      <c r="F194" s="16"/>
      <c r="G194" s="16"/>
      <c r="H194" s="16"/>
      <c r="I194" s="125"/>
      <c r="J194" s="16"/>
      <c r="K194" s="13"/>
      <c r="L194" s="13"/>
      <c r="M194" s="13"/>
      <c r="N194" s="16"/>
      <c r="O194" s="16"/>
      <c r="P194" s="16"/>
      <c r="Q194" s="16"/>
      <c r="R194" s="96"/>
      <c r="S194" s="96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6"/>
      <c r="B195" s="13"/>
      <c r="C195" s="16"/>
      <c r="D195" s="16"/>
      <c r="E195" s="16"/>
      <c r="F195" s="16"/>
      <c r="G195" s="16"/>
      <c r="H195" s="16"/>
      <c r="I195" s="125"/>
      <c r="J195" s="16"/>
      <c r="K195" s="13"/>
      <c r="L195" s="13"/>
      <c r="M195" s="13"/>
      <c r="N195" s="16"/>
      <c r="O195" s="16"/>
      <c r="P195" s="16"/>
      <c r="Q195" s="16"/>
      <c r="R195" s="96"/>
      <c r="S195" s="96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6"/>
      <c r="B196" s="13"/>
      <c r="C196" s="16"/>
      <c r="D196" s="16"/>
      <c r="E196" s="16"/>
      <c r="F196" s="16"/>
      <c r="G196" s="16"/>
      <c r="H196" s="16"/>
      <c r="I196" s="125"/>
      <c r="J196" s="16"/>
      <c r="K196" s="13"/>
      <c r="L196" s="13"/>
      <c r="M196" s="13"/>
      <c r="N196" s="16"/>
      <c r="O196" s="16"/>
      <c r="P196" s="16"/>
      <c r="Q196" s="16"/>
      <c r="R196" s="96"/>
      <c r="S196" s="96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6"/>
      <c r="B197" s="13"/>
      <c r="C197" s="16"/>
      <c r="D197" s="16"/>
      <c r="E197" s="16"/>
      <c r="F197" s="16"/>
      <c r="G197" s="16"/>
      <c r="H197" s="16"/>
      <c r="I197" s="125"/>
      <c r="J197" s="16"/>
      <c r="K197" s="13"/>
      <c r="L197" s="13"/>
      <c r="M197" s="13"/>
      <c r="N197" s="16"/>
      <c r="O197" s="16"/>
      <c r="P197" s="16"/>
      <c r="Q197" s="16"/>
      <c r="R197" s="96"/>
      <c r="S197" s="96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6"/>
      <c r="B198" s="13"/>
      <c r="C198" s="16"/>
      <c r="D198" s="16"/>
      <c r="E198" s="16"/>
      <c r="F198" s="16"/>
      <c r="G198" s="16"/>
      <c r="H198" s="16"/>
      <c r="I198" s="125"/>
      <c r="J198" s="16"/>
      <c r="K198" s="13"/>
      <c r="L198" s="13"/>
      <c r="M198" s="13"/>
      <c r="N198" s="16"/>
      <c r="O198" s="16"/>
      <c r="P198" s="16"/>
      <c r="Q198" s="16"/>
      <c r="R198" s="96"/>
      <c r="S198" s="96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6"/>
      <c r="B199" s="13"/>
      <c r="C199" s="16"/>
      <c r="D199" s="16"/>
      <c r="E199" s="16"/>
      <c r="F199" s="16"/>
      <c r="G199" s="16"/>
      <c r="H199" s="16"/>
      <c r="I199" s="125"/>
      <c r="J199" s="16"/>
      <c r="K199" s="13"/>
      <c r="L199" s="13"/>
      <c r="M199" s="13"/>
      <c r="N199" s="16"/>
      <c r="O199" s="16"/>
      <c r="P199" s="16"/>
      <c r="Q199" s="16"/>
      <c r="R199" s="96"/>
      <c r="S199" s="96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6"/>
      <c r="B200" s="13"/>
      <c r="C200" s="16"/>
      <c r="D200" s="16"/>
      <c r="E200" s="16"/>
      <c r="F200" s="16"/>
      <c r="G200" s="16"/>
      <c r="H200" s="16"/>
      <c r="I200" s="125"/>
      <c r="J200" s="16"/>
      <c r="K200" s="13"/>
      <c r="L200" s="13"/>
      <c r="M200" s="13"/>
      <c r="N200" s="16"/>
      <c r="O200" s="16"/>
      <c r="P200" s="16"/>
      <c r="Q200" s="16"/>
      <c r="R200" s="96"/>
      <c r="S200" s="96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6"/>
      <c r="B201" s="13"/>
      <c r="C201" s="16"/>
      <c r="D201" s="16"/>
      <c r="E201" s="16"/>
      <c r="F201" s="16"/>
      <c r="G201" s="16"/>
      <c r="H201" s="16"/>
      <c r="I201" s="125"/>
      <c r="J201" s="16"/>
      <c r="K201" s="13"/>
      <c r="L201" s="13"/>
      <c r="M201" s="13"/>
      <c r="N201" s="16"/>
      <c r="O201" s="16"/>
      <c r="P201" s="16"/>
      <c r="Q201" s="16"/>
      <c r="R201" s="96"/>
      <c r="S201" s="96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6"/>
      <c r="B202" s="13"/>
      <c r="C202" s="16"/>
      <c r="D202" s="16"/>
      <c r="E202" s="16"/>
      <c r="F202" s="16"/>
      <c r="G202" s="16"/>
      <c r="H202" s="16"/>
      <c r="I202" s="125"/>
      <c r="J202" s="16"/>
      <c r="K202" s="13"/>
      <c r="L202" s="13"/>
      <c r="M202" s="13"/>
      <c r="N202" s="16"/>
      <c r="O202" s="16"/>
      <c r="P202" s="16"/>
      <c r="Q202" s="16"/>
      <c r="R202" s="96"/>
      <c r="S202" s="96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6"/>
      <c r="B203" s="13"/>
      <c r="C203" s="16"/>
      <c r="D203" s="16"/>
      <c r="E203" s="16"/>
      <c r="F203" s="16"/>
      <c r="G203" s="16"/>
      <c r="H203" s="16"/>
      <c r="I203" s="125"/>
      <c r="J203" s="16"/>
      <c r="K203" s="13"/>
      <c r="L203" s="13"/>
      <c r="M203" s="13"/>
      <c r="N203" s="16"/>
      <c r="O203" s="16"/>
      <c r="P203" s="16"/>
      <c r="Q203" s="16"/>
      <c r="R203" s="96"/>
      <c r="S203" s="96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6"/>
      <c r="B204" s="13"/>
      <c r="C204" s="16"/>
      <c r="D204" s="16"/>
      <c r="E204" s="16"/>
      <c r="F204" s="16"/>
      <c r="G204" s="16"/>
      <c r="H204" s="16"/>
      <c r="I204" s="125"/>
      <c r="J204" s="16"/>
      <c r="K204" s="13"/>
      <c r="L204" s="13"/>
      <c r="M204" s="13"/>
      <c r="N204" s="16"/>
      <c r="O204" s="16"/>
      <c r="P204" s="16"/>
      <c r="Q204" s="16"/>
      <c r="R204" s="96"/>
      <c r="S204" s="96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6"/>
      <c r="B205" s="13"/>
      <c r="C205" s="16"/>
      <c r="D205" s="16"/>
      <c r="E205" s="16"/>
      <c r="F205" s="16"/>
      <c r="G205" s="16"/>
      <c r="H205" s="16"/>
      <c r="I205" s="125"/>
      <c r="J205" s="16"/>
      <c r="K205" s="13"/>
      <c r="L205" s="13"/>
      <c r="M205" s="13"/>
      <c r="N205" s="16"/>
      <c r="O205" s="16"/>
      <c r="P205" s="16"/>
      <c r="Q205" s="16"/>
      <c r="R205" s="96"/>
      <c r="S205" s="96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6"/>
      <c r="B206" s="13"/>
      <c r="C206" s="16"/>
      <c r="D206" s="16"/>
      <c r="E206" s="16"/>
      <c r="F206" s="16"/>
      <c r="G206" s="16"/>
      <c r="H206" s="16"/>
      <c r="I206" s="125"/>
      <c r="J206" s="16"/>
      <c r="K206" s="13"/>
      <c r="L206" s="13"/>
      <c r="M206" s="13"/>
      <c r="N206" s="16"/>
      <c r="O206" s="16"/>
      <c r="P206" s="16"/>
      <c r="Q206" s="16"/>
      <c r="R206" s="96"/>
      <c r="S206" s="96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6"/>
      <c r="B207" s="13"/>
      <c r="C207" s="16"/>
      <c r="D207" s="16"/>
      <c r="E207" s="16"/>
      <c r="F207" s="16"/>
      <c r="G207" s="16"/>
      <c r="H207" s="16"/>
      <c r="I207" s="125"/>
      <c r="J207" s="16"/>
      <c r="K207" s="13"/>
      <c r="L207" s="13"/>
      <c r="M207" s="13"/>
      <c r="N207" s="16"/>
      <c r="O207" s="16"/>
      <c r="P207" s="16"/>
      <c r="Q207" s="16"/>
      <c r="R207" s="96"/>
      <c r="S207" s="96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6"/>
      <c r="B208" s="13"/>
      <c r="C208" s="16"/>
      <c r="D208" s="16"/>
      <c r="E208" s="16"/>
      <c r="F208" s="16"/>
      <c r="G208" s="16"/>
      <c r="H208" s="16"/>
      <c r="I208" s="125"/>
      <c r="J208" s="16"/>
      <c r="K208" s="13"/>
      <c r="L208" s="13"/>
      <c r="M208" s="13"/>
      <c r="N208" s="16"/>
      <c r="O208" s="16"/>
      <c r="P208" s="16"/>
      <c r="Q208" s="16"/>
      <c r="R208" s="96"/>
      <c r="S208" s="96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6"/>
      <c r="B209" s="13"/>
      <c r="C209" s="16"/>
      <c r="D209" s="16"/>
      <c r="E209" s="16"/>
      <c r="F209" s="16"/>
      <c r="G209" s="16"/>
      <c r="H209" s="16"/>
      <c r="I209" s="125"/>
      <c r="J209" s="16"/>
      <c r="K209" s="13"/>
      <c r="L209" s="13"/>
      <c r="M209" s="13"/>
      <c r="N209" s="16"/>
      <c r="O209" s="16"/>
      <c r="P209" s="16"/>
      <c r="Q209" s="16"/>
      <c r="R209" s="96"/>
      <c r="S209" s="96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6"/>
      <c r="B210" s="13"/>
      <c r="C210" s="16"/>
      <c r="D210" s="16"/>
      <c r="E210" s="16"/>
      <c r="F210" s="16"/>
      <c r="G210" s="16"/>
      <c r="H210" s="16"/>
      <c r="I210" s="125"/>
      <c r="J210" s="16"/>
      <c r="K210" s="13"/>
      <c r="L210" s="13"/>
      <c r="M210" s="13"/>
      <c r="N210" s="16"/>
      <c r="O210" s="16"/>
      <c r="P210" s="16"/>
      <c r="Q210" s="16"/>
      <c r="R210" s="96"/>
      <c r="S210" s="96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6"/>
      <c r="B211" s="13"/>
      <c r="C211" s="16"/>
      <c r="D211" s="16"/>
      <c r="E211" s="16"/>
      <c r="F211" s="16"/>
      <c r="G211" s="16"/>
      <c r="H211" s="16"/>
      <c r="I211" s="125"/>
      <c r="J211" s="16"/>
      <c r="K211" s="13"/>
      <c r="L211" s="13"/>
      <c r="M211" s="13"/>
      <c r="N211" s="16"/>
      <c r="O211" s="16"/>
      <c r="P211" s="16"/>
      <c r="Q211" s="16"/>
      <c r="R211" s="96"/>
      <c r="S211" s="96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6"/>
      <c r="B212" s="13"/>
      <c r="C212" s="16"/>
      <c r="D212" s="16"/>
      <c r="E212" s="16"/>
      <c r="F212" s="16"/>
      <c r="G212" s="16"/>
      <c r="H212" s="16"/>
      <c r="I212" s="125"/>
      <c r="J212" s="16"/>
      <c r="K212" s="13"/>
      <c r="L212" s="13"/>
      <c r="M212" s="13"/>
      <c r="N212" s="16"/>
      <c r="O212" s="16"/>
      <c r="P212" s="16"/>
      <c r="Q212" s="16"/>
      <c r="R212" s="96"/>
      <c r="S212" s="96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6"/>
      <c r="B213" s="13"/>
      <c r="C213" s="16"/>
      <c r="D213" s="16"/>
      <c r="E213" s="16"/>
      <c r="F213" s="16"/>
      <c r="G213" s="16"/>
      <c r="H213" s="16"/>
      <c r="I213" s="125"/>
      <c r="J213" s="16"/>
      <c r="K213" s="13"/>
      <c r="L213" s="13"/>
      <c r="M213" s="13"/>
      <c r="N213" s="16"/>
      <c r="O213" s="16"/>
      <c r="P213" s="16"/>
      <c r="Q213" s="16"/>
      <c r="R213" s="96"/>
      <c r="S213" s="96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6"/>
      <c r="B214" s="13"/>
      <c r="C214" s="16"/>
      <c r="D214" s="16"/>
      <c r="E214" s="16"/>
      <c r="F214" s="16"/>
      <c r="G214" s="16"/>
      <c r="H214" s="16"/>
      <c r="I214" s="125"/>
      <c r="J214" s="16"/>
      <c r="K214" s="13"/>
      <c r="L214" s="13"/>
      <c r="M214" s="13"/>
      <c r="N214" s="16"/>
      <c r="O214" s="16"/>
      <c r="P214" s="16"/>
      <c r="Q214" s="16"/>
      <c r="R214" s="96"/>
      <c r="S214" s="96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6"/>
      <c r="B215" s="13"/>
      <c r="C215" s="16"/>
      <c r="D215" s="16"/>
      <c r="E215" s="16"/>
      <c r="F215" s="16"/>
      <c r="G215" s="16"/>
      <c r="H215" s="16"/>
      <c r="I215" s="125"/>
      <c r="J215" s="16"/>
      <c r="K215" s="13"/>
      <c r="L215" s="13"/>
      <c r="M215" s="13"/>
      <c r="N215" s="16"/>
      <c r="O215" s="16"/>
      <c r="P215" s="16"/>
      <c r="Q215" s="16"/>
      <c r="R215" s="96"/>
      <c r="S215" s="96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6"/>
      <c r="B216" s="13"/>
      <c r="C216" s="16"/>
      <c r="D216" s="16"/>
      <c r="E216" s="16"/>
      <c r="F216" s="16"/>
      <c r="G216" s="16"/>
      <c r="H216" s="16"/>
      <c r="I216" s="125"/>
      <c r="J216" s="16"/>
      <c r="K216" s="13"/>
      <c r="L216" s="13"/>
      <c r="M216" s="13"/>
      <c r="N216" s="16"/>
      <c r="O216" s="16"/>
      <c r="P216" s="16"/>
      <c r="Q216" s="16"/>
      <c r="R216" s="96"/>
      <c r="S216" s="96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6"/>
      <c r="B217" s="13"/>
      <c r="C217" s="16"/>
      <c r="D217" s="16"/>
      <c r="E217" s="16"/>
      <c r="F217" s="16"/>
      <c r="G217" s="16"/>
      <c r="H217" s="16"/>
      <c r="I217" s="125"/>
      <c r="J217" s="16"/>
      <c r="K217" s="13"/>
      <c r="L217" s="13"/>
      <c r="M217" s="13"/>
      <c r="N217" s="16"/>
      <c r="O217" s="16"/>
      <c r="P217" s="16"/>
      <c r="Q217" s="16"/>
      <c r="R217" s="96"/>
      <c r="S217" s="96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6"/>
      <c r="B218" s="13"/>
      <c r="C218" s="16"/>
      <c r="D218" s="16"/>
      <c r="E218" s="16"/>
      <c r="F218" s="16"/>
      <c r="G218" s="16"/>
      <c r="H218" s="16"/>
      <c r="I218" s="125"/>
      <c r="J218" s="16"/>
      <c r="K218" s="13"/>
      <c r="L218" s="13"/>
      <c r="M218" s="13"/>
      <c r="N218" s="16"/>
      <c r="O218" s="16"/>
      <c r="P218" s="16"/>
      <c r="Q218" s="16"/>
      <c r="R218" s="96"/>
      <c r="S218" s="96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6"/>
      <c r="B219" s="13"/>
      <c r="C219" s="16"/>
      <c r="D219" s="16"/>
      <c r="E219" s="16"/>
      <c r="F219" s="16"/>
      <c r="G219" s="16"/>
      <c r="H219" s="16"/>
      <c r="I219" s="125"/>
      <c r="J219" s="16"/>
      <c r="K219" s="13"/>
      <c r="L219" s="13"/>
      <c r="M219" s="13"/>
      <c r="N219" s="16"/>
      <c r="O219" s="16"/>
      <c r="P219" s="16"/>
      <c r="Q219" s="16"/>
      <c r="R219" s="96"/>
      <c r="S219" s="96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6"/>
      <c r="B220" s="13"/>
      <c r="C220" s="16"/>
      <c r="D220" s="16"/>
      <c r="E220" s="16"/>
      <c r="F220" s="16"/>
      <c r="G220" s="16"/>
      <c r="H220" s="16"/>
      <c r="I220" s="125"/>
      <c r="J220" s="16"/>
      <c r="K220" s="13"/>
      <c r="L220" s="13"/>
      <c r="M220" s="13"/>
      <c r="N220" s="16"/>
      <c r="O220" s="16"/>
      <c r="P220" s="16"/>
      <c r="Q220" s="16"/>
      <c r="R220" s="96"/>
      <c r="S220" s="96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6"/>
      <c r="B221" s="13"/>
      <c r="C221" s="16"/>
      <c r="D221" s="16"/>
      <c r="E221" s="16"/>
      <c r="F221" s="16"/>
      <c r="G221" s="16"/>
      <c r="H221" s="16"/>
      <c r="I221" s="125"/>
      <c r="J221" s="16"/>
      <c r="K221" s="13"/>
      <c r="L221" s="13"/>
      <c r="M221" s="13"/>
      <c r="N221" s="16"/>
      <c r="O221" s="16"/>
      <c r="P221" s="16"/>
      <c r="Q221" s="16"/>
      <c r="R221" s="96"/>
      <c r="S221" s="96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6"/>
      <c r="B222" s="13"/>
      <c r="C222" s="16"/>
      <c r="D222" s="16"/>
      <c r="E222" s="16"/>
      <c r="F222" s="16"/>
      <c r="G222" s="16"/>
      <c r="H222" s="16"/>
      <c r="I222" s="125"/>
      <c r="J222" s="16"/>
      <c r="K222" s="13"/>
      <c r="L222" s="13"/>
      <c r="M222" s="13"/>
      <c r="N222" s="16"/>
      <c r="O222" s="16"/>
      <c r="P222" s="16"/>
      <c r="Q222" s="16"/>
      <c r="R222" s="96"/>
      <c r="S222" s="96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6"/>
      <c r="B223" s="13"/>
      <c r="C223" s="16"/>
      <c r="D223" s="16"/>
      <c r="E223" s="16"/>
      <c r="F223" s="16"/>
      <c r="G223" s="16"/>
      <c r="H223" s="16"/>
      <c r="I223" s="125"/>
      <c r="J223" s="16"/>
      <c r="K223" s="13"/>
      <c r="L223" s="13"/>
      <c r="M223" s="13"/>
      <c r="N223" s="16"/>
      <c r="O223" s="16"/>
      <c r="P223" s="16"/>
      <c r="Q223" s="16"/>
      <c r="R223" s="96"/>
      <c r="S223" s="96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6"/>
      <c r="B224" s="13"/>
      <c r="C224" s="16"/>
      <c r="D224" s="16"/>
      <c r="E224" s="16"/>
      <c r="F224" s="16"/>
      <c r="G224" s="16"/>
      <c r="H224" s="16"/>
      <c r="I224" s="125"/>
      <c r="J224" s="16"/>
      <c r="K224" s="13"/>
      <c r="L224" s="13"/>
      <c r="M224" s="13"/>
      <c r="N224" s="16"/>
      <c r="O224" s="16"/>
      <c r="P224" s="16"/>
      <c r="Q224" s="16"/>
      <c r="R224" s="96"/>
      <c r="S224" s="96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6"/>
      <c r="B225" s="13"/>
      <c r="C225" s="16"/>
      <c r="D225" s="16"/>
      <c r="E225" s="16"/>
      <c r="F225" s="16"/>
      <c r="G225" s="16"/>
      <c r="H225" s="16"/>
      <c r="I225" s="125"/>
      <c r="J225" s="16"/>
      <c r="K225" s="13"/>
      <c r="L225" s="13"/>
      <c r="M225" s="13"/>
      <c r="N225" s="16"/>
      <c r="O225" s="16"/>
      <c r="P225" s="16"/>
      <c r="Q225" s="16"/>
      <c r="R225" s="96"/>
      <c r="S225" s="96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6"/>
      <c r="B226" s="13"/>
      <c r="C226" s="16"/>
      <c r="D226" s="16"/>
      <c r="E226" s="16"/>
      <c r="F226" s="16"/>
      <c r="G226" s="16"/>
      <c r="H226" s="16"/>
      <c r="I226" s="125"/>
      <c r="J226" s="16"/>
      <c r="K226" s="13"/>
      <c r="L226" s="13"/>
      <c r="M226" s="13"/>
      <c r="N226" s="16"/>
      <c r="O226" s="16"/>
      <c r="P226" s="16"/>
      <c r="Q226" s="16"/>
      <c r="R226" s="96"/>
      <c r="S226" s="96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6"/>
      <c r="B227" s="13"/>
      <c r="C227" s="16"/>
      <c r="D227" s="16"/>
      <c r="E227" s="16"/>
      <c r="F227" s="16"/>
      <c r="G227" s="16"/>
      <c r="H227" s="16"/>
      <c r="I227" s="125"/>
      <c r="J227" s="16"/>
      <c r="K227" s="13"/>
      <c r="L227" s="13"/>
      <c r="M227" s="13"/>
      <c r="N227" s="16"/>
      <c r="O227" s="16"/>
      <c r="P227" s="16"/>
      <c r="Q227" s="16"/>
      <c r="R227" s="96"/>
      <c r="S227" s="96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6"/>
      <c r="B228" s="13"/>
      <c r="C228" s="16"/>
      <c r="D228" s="16"/>
      <c r="E228" s="16"/>
      <c r="F228" s="16"/>
      <c r="G228" s="16"/>
      <c r="H228" s="16"/>
      <c r="I228" s="125"/>
      <c r="J228" s="16"/>
      <c r="K228" s="13"/>
      <c r="L228" s="13"/>
      <c r="M228" s="13"/>
      <c r="N228" s="16"/>
      <c r="O228" s="16"/>
      <c r="P228" s="16"/>
      <c r="Q228" s="16"/>
      <c r="R228" s="96"/>
      <c r="S228" s="96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6"/>
      <c r="B229" s="13"/>
      <c r="C229" s="16"/>
      <c r="D229" s="16"/>
      <c r="E229" s="16"/>
      <c r="F229" s="16"/>
      <c r="G229" s="16"/>
      <c r="H229" s="16"/>
      <c r="I229" s="125"/>
      <c r="J229" s="16"/>
      <c r="K229" s="13"/>
      <c r="L229" s="13"/>
      <c r="M229" s="13"/>
      <c r="N229" s="16"/>
      <c r="O229" s="16"/>
      <c r="P229" s="16"/>
      <c r="Q229" s="16"/>
      <c r="R229" s="96"/>
      <c r="S229" s="96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6"/>
      <c r="B230" s="13"/>
      <c r="C230" s="16"/>
      <c r="D230" s="16"/>
      <c r="E230" s="16"/>
      <c r="F230" s="16"/>
      <c r="G230" s="16"/>
      <c r="H230" s="16"/>
      <c r="I230" s="125"/>
      <c r="J230" s="16"/>
      <c r="K230" s="13"/>
      <c r="L230" s="13"/>
      <c r="M230" s="13"/>
      <c r="N230" s="16"/>
      <c r="O230" s="16"/>
      <c r="P230" s="16"/>
      <c r="Q230" s="16"/>
      <c r="R230" s="96"/>
      <c r="S230" s="96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6"/>
      <c r="B231" s="13"/>
      <c r="C231" s="16"/>
      <c r="D231" s="16"/>
      <c r="E231" s="16"/>
      <c r="F231" s="16"/>
      <c r="G231" s="16"/>
      <c r="H231" s="16"/>
      <c r="I231" s="125"/>
      <c r="J231" s="16"/>
      <c r="K231" s="13"/>
      <c r="L231" s="13"/>
      <c r="M231" s="13"/>
      <c r="N231" s="16"/>
      <c r="O231" s="16"/>
      <c r="P231" s="16"/>
      <c r="Q231" s="16"/>
      <c r="R231" s="96"/>
      <c r="S231" s="96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6"/>
      <c r="B232" s="13"/>
      <c r="C232" s="16"/>
      <c r="D232" s="16"/>
      <c r="E232" s="16"/>
      <c r="F232" s="16"/>
      <c r="G232" s="16"/>
      <c r="H232" s="16"/>
      <c r="I232" s="125"/>
      <c r="J232" s="16"/>
      <c r="K232" s="13"/>
      <c r="L232" s="13"/>
      <c r="M232" s="13"/>
      <c r="N232" s="16"/>
      <c r="O232" s="16"/>
      <c r="P232" s="16"/>
      <c r="Q232" s="16"/>
      <c r="R232" s="96"/>
      <c r="S232" s="96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6"/>
      <c r="B233" s="13"/>
      <c r="C233" s="16"/>
      <c r="D233" s="16"/>
      <c r="E233" s="16"/>
      <c r="F233" s="16"/>
      <c r="G233" s="16"/>
      <c r="H233" s="16"/>
      <c r="I233" s="125"/>
      <c r="J233" s="16"/>
      <c r="K233" s="13"/>
      <c r="L233" s="13"/>
      <c r="M233" s="13"/>
      <c r="N233" s="16"/>
      <c r="O233" s="16"/>
      <c r="P233" s="16"/>
      <c r="Q233" s="16"/>
      <c r="R233" s="96"/>
      <c r="S233" s="96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6"/>
      <c r="B234" s="13"/>
      <c r="C234" s="16"/>
      <c r="D234" s="16"/>
      <c r="E234" s="16"/>
      <c r="F234" s="16"/>
      <c r="G234" s="16"/>
      <c r="H234" s="16"/>
      <c r="I234" s="125"/>
      <c r="J234" s="16"/>
      <c r="K234" s="13"/>
      <c r="L234" s="13"/>
      <c r="M234" s="13"/>
      <c r="N234" s="16"/>
      <c r="O234" s="16"/>
      <c r="P234" s="16"/>
      <c r="Q234" s="16"/>
      <c r="R234" s="96"/>
      <c r="S234" s="96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6"/>
      <c r="B235" s="13"/>
      <c r="C235" s="16"/>
      <c r="D235" s="16"/>
      <c r="E235" s="16"/>
      <c r="F235" s="16"/>
      <c r="G235" s="16"/>
      <c r="H235" s="16"/>
      <c r="I235" s="125"/>
      <c r="J235" s="16"/>
      <c r="K235" s="13"/>
      <c r="L235" s="13"/>
      <c r="M235" s="13"/>
      <c r="N235" s="16"/>
      <c r="O235" s="16"/>
      <c r="P235" s="16"/>
      <c r="Q235" s="16"/>
      <c r="R235" s="96"/>
      <c r="S235" s="96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6"/>
      <c r="B236" s="13"/>
      <c r="C236" s="16"/>
      <c r="D236" s="16"/>
      <c r="E236" s="16"/>
      <c r="F236" s="16"/>
      <c r="G236" s="16"/>
      <c r="H236" s="16"/>
      <c r="I236" s="125"/>
      <c r="J236" s="16"/>
      <c r="K236" s="13"/>
      <c r="L236" s="13"/>
      <c r="M236" s="13"/>
      <c r="N236" s="16"/>
      <c r="O236" s="16"/>
      <c r="P236" s="16"/>
      <c r="Q236" s="16"/>
      <c r="R236" s="96"/>
      <c r="S236" s="96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6"/>
      <c r="B237" s="13"/>
      <c r="C237" s="16"/>
      <c r="D237" s="16"/>
      <c r="E237" s="16"/>
      <c r="F237" s="16"/>
      <c r="G237" s="16"/>
      <c r="H237" s="16"/>
      <c r="I237" s="125"/>
      <c r="J237" s="16"/>
      <c r="K237" s="13"/>
      <c r="L237" s="13"/>
      <c r="M237" s="13"/>
      <c r="N237" s="16"/>
      <c r="O237" s="16"/>
      <c r="P237" s="16"/>
      <c r="Q237" s="16"/>
      <c r="R237" s="96"/>
      <c r="S237" s="96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6"/>
      <c r="B238" s="13"/>
      <c r="C238" s="16"/>
      <c r="D238" s="16"/>
      <c r="E238" s="16"/>
      <c r="F238" s="16"/>
      <c r="G238" s="16"/>
      <c r="H238" s="16"/>
      <c r="I238" s="125"/>
      <c r="J238" s="16"/>
      <c r="K238" s="13"/>
      <c r="L238" s="13"/>
      <c r="M238" s="13"/>
      <c r="N238" s="16"/>
      <c r="O238" s="16"/>
      <c r="P238" s="16"/>
      <c r="Q238" s="16"/>
      <c r="R238" s="96"/>
      <c r="S238" s="96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6"/>
      <c r="B239" s="13"/>
      <c r="C239" s="16"/>
      <c r="D239" s="16"/>
      <c r="E239" s="16"/>
      <c r="F239" s="16"/>
      <c r="G239" s="16"/>
      <c r="H239" s="16"/>
      <c r="I239" s="125"/>
      <c r="J239" s="16"/>
      <c r="K239" s="13"/>
      <c r="L239" s="13"/>
      <c r="M239" s="13"/>
      <c r="N239" s="16"/>
      <c r="O239" s="16"/>
      <c r="P239" s="16"/>
      <c r="Q239" s="16"/>
      <c r="R239" s="96"/>
      <c r="S239" s="96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6"/>
      <c r="B240" s="13"/>
      <c r="C240" s="16"/>
      <c r="D240" s="16"/>
      <c r="E240" s="16"/>
      <c r="F240" s="16"/>
      <c r="G240" s="16"/>
      <c r="H240" s="16"/>
      <c r="I240" s="125"/>
      <c r="J240" s="16"/>
      <c r="K240" s="13"/>
      <c r="L240" s="13"/>
      <c r="M240" s="13"/>
      <c r="N240" s="16"/>
      <c r="O240" s="16"/>
      <c r="P240" s="16"/>
      <c r="Q240" s="16"/>
      <c r="R240" s="96"/>
      <c r="S240" s="96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6"/>
      <c r="B241" s="13"/>
      <c r="C241" s="16"/>
      <c r="D241" s="16"/>
      <c r="E241" s="16"/>
      <c r="F241" s="16"/>
      <c r="G241" s="16"/>
      <c r="H241" s="16"/>
      <c r="I241" s="125"/>
      <c r="J241" s="16"/>
      <c r="K241" s="13"/>
      <c r="L241" s="13"/>
      <c r="M241" s="13"/>
      <c r="N241" s="16"/>
      <c r="O241" s="16"/>
      <c r="P241" s="16"/>
      <c r="Q241" s="16"/>
      <c r="R241" s="96"/>
      <c r="S241" s="96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6"/>
      <c r="B242" s="13"/>
      <c r="C242" s="16"/>
      <c r="D242" s="16"/>
      <c r="E242" s="16"/>
      <c r="F242" s="16"/>
      <c r="G242" s="16"/>
      <c r="H242" s="16"/>
      <c r="I242" s="125"/>
      <c r="J242" s="16"/>
      <c r="K242" s="13"/>
      <c r="L242" s="13"/>
      <c r="M242" s="13"/>
      <c r="N242" s="16"/>
      <c r="O242" s="16"/>
      <c r="P242" s="16"/>
      <c r="Q242" s="16"/>
      <c r="R242" s="96"/>
      <c r="S242" s="96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6"/>
      <c r="B243" s="13"/>
      <c r="C243" s="16"/>
      <c r="D243" s="16"/>
      <c r="E243" s="16"/>
      <c r="F243" s="16"/>
      <c r="G243" s="16"/>
      <c r="H243" s="16"/>
      <c r="I243" s="125"/>
      <c r="J243" s="16"/>
      <c r="K243" s="13"/>
      <c r="L243" s="13"/>
      <c r="M243" s="13"/>
      <c r="N243" s="16"/>
      <c r="O243" s="16"/>
      <c r="P243" s="16"/>
      <c r="Q243" s="16"/>
      <c r="R243" s="96"/>
      <c r="S243" s="96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6"/>
      <c r="B244" s="13"/>
      <c r="C244" s="16"/>
      <c r="D244" s="16"/>
      <c r="E244" s="16"/>
      <c r="F244" s="16"/>
      <c r="G244" s="16"/>
      <c r="H244" s="16"/>
      <c r="I244" s="125"/>
      <c r="J244" s="16"/>
      <c r="K244" s="13"/>
      <c r="L244" s="13"/>
      <c r="M244" s="13"/>
      <c r="N244" s="16"/>
      <c r="O244" s="16"/>
      <c r="P244" s="16"/>
      <c r="Q244" s="16"/>
      <c r="R244" s="96"/>
      <c r="S244" s="96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6"/>
      <c r="B245" s="13"/>
      <c r="C245" s="16"/>
      <c r="D245" s="16"/>
      <c r="E245" s="16"/>
      <c r="F245" s="16"/>
      <c r="G245" s="16"/>
      <c r="H245" s="16"/>
      <c r="I245" s="125"/>
      <c r="J245" s="16"/>
      <c r="K245" s="13"/>
      <c r="L245" s="13"/>
      <c r="M245" s="13"/>
      <c r="N245" s="16"/>
      <c r="O245" s="16"/>
      <c r="P245" s="16"/>
      <c r="Q245" s="16"/>
      <c r="R245" s="96"/>
      <c r="S245" s="96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6"/>
      <c r="B246" s="13"/>
      <c r="C246" s="16"/>
      <c r="D246" s="16"/>
      <c r="E246" s="16"/>
      <c r="F246" s="16"/>
      <c r="G246" s="16"/>
      <c r="H246" s="16"/>
      <c r="I246" s="125"/>
      <c r="J246" s="16"/>
      <c r="K246" s="13"/>
      <c r="L246" s="13"/>
      <c r="M246" s="13"/>
      <c r="N246" s="16"/>
      <c r="O246" s="16"/>
      <c r="P246" s="16"/>
      <c r="Q246" s="16"/>
      <c r="R246" s="96"/>
      <c r="S246" s="96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6"/>
      <c r="B247" s="13"/>
      <c r="C247" s="16"/>
      <c r="D247" s="16"/>
      <c r="E247" s="16"/>
      <c r="F247" s="16"/>
      <c r="G247" s="16"/>
      <c r="H247" s="16"/>
      <c r="I247" s="125"/>
      <c r="J247" s="16"/>
      <c r="K247" s="13"/>
      <c r="L247" s="13"/>
      <c r="M247" s="13"/>
      <c r="N247" s="16"/>
      <c r="O247" s="16"/>
      <c r="P247" s="16"/>
      <c r="Q247" s="16"/>
      <c r="R247" s="96"/>
      <c r="S247" s="96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6"/>
      <c r="B248" s="13"/>
      <c r="C248" s="16"/>
      <c r="D248" s="16"/>
      <c r="E248" s="16"/>
      <c r="F248" s="16"/>
      <c r="G248" s="16"/>
      <c r="H248" s="16"/>
      <c r="I248" s="125"/>
      <c r="J248" s="16"/>
      <c r="K248" s="13"/>
      <c r="L248" s="13"/>
      <c r="M248" s="13"/>
      <c r="N248" s="16"/>
      <c r="O248" s="16"/>
      <c r="P248" s="16"/>
      <c r="Q248" s="16"/>
      <c r="R248" s="96"/>
      <c r="S248" s="96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6"/>
      <c r="B249" s="13"/>
      <c r="C249" s="16"/>
      <c r="D249" s="16"/>
      <c r="E249" s="16"/>
      <c r="F249" s="16"/>
      <c r="G249" s="16"/>
      <c r="H249" s="16"/>
      <c r="I249" s="125"/>
      <c r="J249" s="16"/>
      <c r="K249" s="13"/>
      <c r="L249" s="13"/>
      <c r="M249" s="13"/>
      <c r="N249" s="16"/>
      <c r="O249" s="16"/>
      <c r="P249" s="16"/>
      <c r="Q249" s="16"/>
      <c r="R249" s="96"/>
      <c r="S249" s="96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6"/>
      <c r="B250" s="13"/>
      <c r="C250" s="16"/>
      <c r="D250" s="16"/>
      <c r="E250" s="16"/>
      <c r="F250" s="16"/>
      <c r="G250" s="16"/>
      <c r="H250" s="16"/>
      <c r="I250" s="125"/>
      <c r="J250" s="16"/>
      <c r="K250" s="13"/>
      <c r="L250" s="13"/>
      <c r="M250" s="13"/>
      <c r="N250" s="16"/>
      <c r="O250" s="16"/>
      <c r="P250" s="16"/>
      <c r="Q250" s="16"/>
      <c r="R250" s="96"/>
      <c r="S250" s="96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6"/>
      <c r="B251" s="13"/>
      <c r="C251" s="16"/>
      <c r="D251" s="16"/>
      <c r="E251" s="16"/>
      <c r="F251" s="16"/>
      <c r="G251" s="16"/>
      <c r="H251" s="16"/>
      <c r="I251" s="125"/>
      <c r="J251" s="16"/>
      <c r="K251" s="13"/>
      <c r="L251" s="13"/>
      <c r="M251" s="13"/>
      <c r="N251" s="16"/>
      <c r="O251" s="16"/>
      <c r="P251" s="16"/>
      <c r="Q251" s="16"/>
      <c r="R251" s="96"/>
      <c r="S251" s="96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6"/>
      <c r="B252" s="13"/>
      <c r="C252" s="16"/>
      <c r="D252" s="16"/>
      <c r="E252" s="16"/>
      <c r="F252" s="16"/>
      <c r="G252" s="16"/>
      <c r="H252" s="16"/>
      <c r="I252" s="125"/>
      <c r="J252" s="16"/>
      <c r="K252" s="13"/>
      <c r="L252" s="13"/>
      <c r="M252" s="13"/>
      <c r="N252" s="16"/>
      <c r="O252" s="16"/>
      <c r="P252" s="16"/>
      <c r="Q252" s="16"/>
      <c r="R252" s="96"/>
      <c r="S252" s="96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6"/>
      <c r="B253" s="13"/>
      <c r="C253" s="16"/>
      <c r="D253" s="16"/>
      <c r="E253" s="16"/>
      <c r="F253" s="16"/>
      <c r="G253" s="16"/>
      <c r="H253" s="16"/>
      <c r="I253" s="125"/>
      <c r="J253" s="16"/>
      <c r="K253" s="13"/>
      <c r="L253" s="13"/>
      <c r="M253" s="13"/>
      <c r="N253" s="16"/>
      <c r="O253" s="16"/>
      <c r="P253" s="16"/>
      <c r="Q253" s="16"/>
      <c r="R253" s="96"/>
      <c r="S253" s="96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6"/>
      <c r="B254" s="13"/>
      <c r="C254" s="16"/>
      <c r="D254" s="16"/>
      <c r="E254" s="16"/>
      <c r="F254" s="16"/>
      <c r="G254" s="16"/>
      <c r="H254" s="16"/>
      <c r="I254" s="125"/>
      <c r="J254" s="16"/>
      <c r="K254" s="13"/>
      <c r="L254" s="13"/>
      <c r="M254" s="13"/>
      <c r="N254" s="16"/>
      <c r="O254" s="16"/>
      <c r="P254" s="16"/>
      <c r="Q254" s="16"/>
      <c r="R254" s="96"/>
      <c r="S254" s="96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6"/>
      <c r="B255" s="13"/>
      <c r="C255" s="16"/>
      <c r="D255" s="16"/>
      <c r="E255" s="16"/>
      <c r="F255" s="16"/>
      <c r="G255" s="16"/>
      <c r="H255" s="16"/>
      <c r="I255" s="125"/>
      <c r="J255" s="16"/>
      <c r="K255" s="13"/>
      <c r="L255" s="13"/>
      <c r="M255" s="13"/>
      <c r="N255" s="16"/>
      <c r="O255" s="16"/>
      <c r="P255" s="16"/>
      <c r="Q255" s="16"/>
      <c r="R255" s="96"/>
      <c r="S255" s="96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6"/>
      <c r="B256" s="13"/>
      <c r="C256" s="16"/>
      <c r="D256" s="16"/>
      <c r="E256" s="16"/>
      <c r="F256" s="16"/>
      <c r="G256" s="16"/>
      <c r="H256" s="16"/>
      <c r="I256" s="125"/>
      <c r="J256" s="16"/>
      <c r="K256" s="13"/>
      <c r="L256" s="13"/>
      <c r="M256" s="13"/>
      <c r="N256" s="16"/>
      <c r="O256" s="16"/>
      <c r="P256" s="16"/>
      <c r="Q256" s="16"/>
      <c r="R256" s="96"/>
      <c r="S256" s="96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6"/>
      <c r="B257" s="13"/>
      <c r="C257" s="16"/>
      <c r="D257" s="16"/>
      <c r="E257" s="16"/>
      <c r="F257" s="16"/>
      <c r="G257" s="16"/>
      <c r="H257" s="16"/>
      <c r="I257" s="125"/>
      <c r="J257" s="16"/>
      <c r="K257" s="13"/>
      <c r="L257" s="13"/>
      <c r="M257" s="13"/>
      <c r="N257" s="16"/>
      <c r="O257" s="16"/>
      <c r="P257" s="16"/>
      <c r="Q257" s="16"/>
      <c r="R257" s="96"/>
      <c r="S257" s="96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6"/>
      <c r="B258" s="13"/>
      <c r="C258" s="16"/>
      <c r="D258" s="16"/>
      <c r="E258" s="16"/>
      <c r="F258" s="16"/>
      <c r="G258" s="16"/>
      <c r="H258" s="16"/>
      <c r="I258" s="125"/>
      <c r="J258" s="16"/>
      <c r="K258" s="13"/>
      <c r="L258" s="13"/>
      <c r="M258" s="13"/>
      <c r="N258" s="16"/>
      <c r="O258" s="16"/>
      <c r="P258" s="16"/>
      <c r="Q258" s="16"/>
      <c r="R258" s="96"/>
      <c r="S258" s="96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6"/>
      <c r="B259" s="13"/>
      <c r="C259" s="16"/>
      <c r="D259" s="16"/>
      <c r="E259" s="16"/>
      <c r="F259" s="16"/>
      <c r="G259" s="16"/>
      <c r="H259" s="16"/>
      <c r="I259" s="125"/>
      <c r="J259" s="16"/>
      <c r="K259" s="13"/>
      <c r="L259" s="13"/>
      <c r="M259" s="13"/>
      <c r="N259" s="16"/>
      <c r="O259" s="16"/>
      <c r="P259" s="16"/>
      <c r="Q259" s="16"/>
      <c r="R259" s="96"/>
      <c r="S259" s="96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6"/>
      <c r="B260" s="13"/>
      <c r="C260" s="16"/>
      <c r="D260" s="16"/>
      <c r="E260" s="16"/>
      <c r="F260" s="16"/>
      <c r="G260" s="16"/>
      <c r="H260" s="16"/>
      <c r="I260" s="125"/>
      <c r="J260" s="16"/>
      <c r="K260" s="13"/>
      <c r="L260" s="13"/>
      <c r="M260" s="13"/>
      <c r="N260" s="16"/>
      <c r="O260" s="16"/>
      <c r="P260" s="16"/>
      <c r="Q260" s="16"/>
      <c r="R260" s="96"/>
      <c r="S260" s="96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6"/>
      <c r="B261" s="13"/>
      <c r="C261" s="16"/>
      <c r="D261" s="16"/>
      <c r="E261" s="16"/>
      <c r="F261" s="16"/>
      <c r="G261" s="16"/>
      <c r="H261" s="16"/>
      <c r="I261" s="125"/>
      <c r="J261" s="16"/>
      <c r="K261" s="13"/>
      <c r="L261" s="13"/>
      <c r="M261" s="13"/>
      <c r="N261" s="16"/>
      <c r="O261" s="16"/>
      <c r="P261" s="16"/>
      <c r="Q261" s="16"/>
      <c r="R261" s="96"/>
      <c r="S261" s="96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6"/>
      <c r="B262" s="13"/>
      <c r="C262" s="16"/>
      <c r="D262" s="16"/>
      <c r="E262" s="16"/>
      <c r="F262" s="16"/>
      <c r="G262" s="16"/>
      <c r="H262" s="16"/>
      <c r="I262" s="125"/>
      <c r="J262" s="16"/>
      <c r="K262" s="13"/>
      <c r="L262" s="13"/>
      <c r="M262" s="13"/>
      <c r="N262" s="16"/>
      <c r="O262" s="16"/>
      <c r="P262" s="16"/>
      <c r="Q262" s="16"/>
      <c r="R262" s="96"/>
      <c r="S262" s="96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6"/>
      <c r="B263" s="13"/>
      <c r="C263" s="16"/>
      <c r="D263" s="16"/>
      <c r="E263" s="16"/>
      <c r="F263" s="16"/>
      <c r="G263" s="16"/>
      <c r="H263" s="16"/>
      <c r="I263" s="125"/>
      <c r="J263" s="16"/>
      <c r="K263" s="13"/>
      <c r="L263" s="13"/>
      <c r="M263" s="13"/>
      <c r="N263" s="16"/>
      <c r="O263" s="16"/>
      <c r="P263" s="16"/>
      <c r="Q263" s="16"/>
      <c r="R263" s="96"/>
      <c r="S263" s="96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6"/>
      <c r="B264" s="13"/>
      <c r="C264" s="16"/>
      <c r="D264" s="16"/>
      <c r="E264" s="16"/>
      <c r="F264" s="16"/>
      <c r="G264" s="16"/>
      <c r="H264" s="16"/>
      <c r="I264" s="125"/>
      <c r="J264" s="16"/>
      <c r="K264" s="13"/>
      <c r="L264" s="13"/>
      <c r="M264" s="13"/>
      <c r="N264" s="16"/>
      <c r="O264" s="16"/>
      <c r="P264" s="16"/>
      <c r="Q264" s="16"/>
      <c r="R264" s="96"/>
      <c r="S264" s="96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6"/>
      <c r="B265" s="13"/>
      <c r="C265" s="16"/>
      <c r="D265" s="16"/>
      <c r="E265" s="16"/>
      <c r="F265" s="16"/>
      <c r="G265" s="16"/>
      <c r="H265" s="16"/>
      <c r="I265" s="125"/>
      <c r="J265" s="16"/>
      <c r="K265" s="13"/>
      <c r="L265" s="13"/>
      <c r="M265" s="13"/>
      <c r="N265" s="16"/>
      <c r="O265" s="16"/>
      <c r="P265" s="16"/>
      <c r="Q265" s="16"/>
      <c r="R265" s="96"/>
      <c r="S265" s="96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6"/>
      <c r="B266" s="13"/>
      <c r="C266" s="16"/>
      <c r="D266" s="16"/>
      <c r="E266" s="16"/>
      <c r="F266" s="16"/>
      <c r="G266" s="16"/>
      <c r="H266" s="16"/>
      <c r="I266" s="125"/>
      <c r="J266" s="16"/>
      <c r="K266" s="13"/>
      <c r="L266" s="13"/>
      <c r="M266" s="13"/>
      <c r="N266" s="16"/>
      <c r="O266" s="16"/>
      <c r="P266" s="16"/>
      <c r="Q266" s="16"/>
      <c r="R266" s="96"/>
      <c r="S266" s="96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6"/>
      <c r="B267" s="13"/>
      <c r="C267" s="16"/>
      <c r="D267" s="16"/>
      <c r="E267" s="16"/>
      <c r="F267" s="16"/>
      <c r="G267" s="16"/>
      <c r="H267" s="16"/>
      <c r="I267" s="125"/>
      <c r="J267" s="16"/>
      <c r="K267" s="13"/>
      <c r="L267" s="13"/>
      <c r="M267" s="13"/>
      <c r="N267" s="16"/>
      <c r="O267" s="16"/>
      <c r="P267" s="16"/>
      <c r="Q267" s="16"/>
      <c r="R267" s="96"/>
      <c r="S267" s="96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6"/>
      <c r="B268" s="13"/>
      <c r="C268" s="16"/>
      <c r="D268" s="16"/>
      <c r="E268" s="16"/>
      <c r="F268" s="16"/>
      <c r="G268" s="16"/>
      <c r="H268" s="16"/>
      <c r="I268" s="125"/>
      <c r="J268" s="16"/>
      <c r="K268" s="13"/>
      <c r="L268" s="13"/>
      <c r="M268" s="13"/>
      <c r="N268" s="16"/>
      <c r="O268" s="16"/>
      <c r="P268" s="16"/>
      <c r="Q268" s="16"/>
      <c r="R268" s="96"/>
      <c r="S268" s="96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6"/>
      <c r="B269" s="13"/>
      <c r="C269" s="16"/>
      <c r="D269" s="16"/>
      <c r="E269" s="16"/>
      <c r="F269" s="16"/>
      <c r="G269" s="16"/>
      <c r="H269" s="16"/>
      <c r="I269" s="125"/>
      <c r="J269" s="16"/>
      <c r="K269" s="13"/>
      <c r="L269" s="13"/>
      <c r="M269" s="13"/>
      <c r="N269" s="16"/>
      <c r="O269" s="16"/>
      <c r="P269" s="16"/>
      <c r="Q269" s="16"/>
      <c r="R269" s="96"/>
      <c r="S269" s="96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6"/>
      <c r="B270" s="13"/>
      <c r="C270" s="16"/>
      <c r="D270" s="16"/>
      <c r="E270" s="16"/>
      <c r="F270" s="16"/>
      <c r="G270" s="16"/>
      <c r="H270" s="16"/>
      <c r="I270" s="125"/>
      <c r="J270" s="16"/>
      <c r="K270" s="13"/>
      <c r="L270" s="13"/>
      <c r="M270" s="13"/>
      <c r="N270" s="16"/>
      <c r="O270" s="16"/>
      <c r="P270" s="16"/>
      <c r="Q270" s="16"/>
      <c r="R270" s="96"/>
      <c r="S270" s="96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6"/>
      <c r="B271" s="13"/>
      <c r="C271" s="16"/>
      <c r="D271" s="16"/>
      <c r="E271" s="16"/>
      <c r="F271" s="16"/>
      <c r="G271" s="16"/>
      <c r="H271" s="16"/>
      <c r="I271" s="125"/>
      <c r="J271" s="16"/>
      <c r="K271" s="13"/>
      <c r="L271" s="13"/>
      <c r="M271" s="13"/>
      <c r="N271" s="16"/>
      <c r="O271" s="16"/>
      <c r="P271" s="16"/>
      <c r="Q271" s="16"/>
      <c r="R271" s="96"/>
      <c r="S271" s="96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6"/>
      <c r="B272" s="13"/>
      <c r="C272" s="16"/>
      <c r="D272" s="16"/>
      <c r="E272" s="16"/>
      <c r="F272" s="16"/>
      <c r="G272" s="16"/>
      <c r="H272" s="16"/>
      <c r="I272" s="125"/>
      <c r="J272" s="16"/>
      <c r="K272" s="13"/>
      <c r="L272" s="13"/>
      <c r="M272" s="13"/>
      <c r="N272" s="16"/>
      <c r="O272" s="16"/>
      <c r="P272" s="16"/>
      <c r="Q272" s="16"/>
      <c r="R272" s="96"/>
      <c r="S272" s="96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6"/>
      <c r="B273" s="13"/>
      <c r="C273" s="16"/>
      <c r="D273" s="16"/>
      <c r="E273" s="16"/>
      <c r="F273" s="16"/>
      <c r="G273" s="16"/>
      <c r="H273" s="16"/>
      <c r="I273" s="125"/>
      <c r="J273" s="16"/>
      <c r="K273" s="13"/>
      <c r="L273" s="13"/>
      <c r="M273" s="13"/>
      <c r="N273" s="16"/>
      <c r="O273" s="16"/>
      <c r="P273" s="16"/>
      <c r="Q273" s="16"/>
      <c r="R273" s="96"/>
      <c r="S273" s="96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6"/>
      <c r="B274" s="13"/>
      <c r="C274" s="16"/>
      <c r="D274" s="16"/>
      <c r="E274" s="16"/>
      <c r="F274" s="16"/>
      <c r="G274" s="16"/>
      <c r="H274" s="16"/>
      <c r="I274" s="125"/>
      <c r="J274" s="16"/>
      <c r="K274" s="13"/>
      <c r="L274" s="13"/>
      <c r="M274" s="13"/>
      <c r="N274" s="16"/>
      <c r="O274" s="16"/>
      <c r="P274" s="16"/>
      <c r="Q274" s="16"/>
      <c r="R274" s="96"/>
      <c r="S274" s="96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6"/>
      <c r="B275" s="13"/>
      <c r="C275" s="16"/>
      <c r="D275" s="16"/>
      <c r="E275" s="16"/>
      <c r="F275" s="16"/>
      <c r="G275" s="16"/>
      <c r="H275" s="16"/>
      <c r="I275" s="125"/>
      <c r="J275" s="16"/>
      <c r="K275" s="13"/>
      <c r="L275" s="13"/>
      <c r="M275" s="13"/>
      <c r="N275" s="16"/>
      <c r="O275" s="16"/>
      <c r="P275" s="16"/>
      <c r="Q275" s="16"/>
      <c r="R275" s="96"/>
      <c r="S275" s="96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6"/>
      <c r="B276" s="13"/>
      <c r="C276" s="16"/>
      <c r="D276" s="16"/>
      <c r="E276" s="16"/>
      <c r="F276" s="16"/>
      <c r="G276" s="16"/>
      <c r="H276" s="16"/>
      <c r="I276" s="125"/>
      <c r="J276" s="16"/>
      <c r="K276" s="13"/>
      <c r="L276" s="13"/>
      <c r="M276" s="13"/>
      <c r="N276" s="16"/>
      <c r="O276" s="16"/>
      <c r="P276" s="16"/>
      <c r="Q276" s="16"/>
      <c r="R276" s="96"/>
      <c r="S276" s="96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6"/>
      <c r="B277" s="13"/>
      <c r="C277" s="16"/>
      <c r="D277" s="16"/>
      <c r="E277" s="16"/>
      <c r="F277" s="16"/>
      <c r="G277" s="16"/>
      <c r="H277" s="16"/>
      <c r="I277" s="125"/>
      <c r="J277" s="16"/>
      <c r="K277" s="13"/>
      <c r="L277" s="13"/>
      <c r="M277" s="13"/>
      <c r="N277" s="16"/>
      <c r="O277" s="16"/>
      <c r="P277" s="16"/>
      <c r="Q277" s="16"/>
      <c r="R277" s="96"/>
      <c r="S277" s="96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6"/>
      <c r="B278" s="13"/>
      <c r="C278" s="16"/>
      <c r="D278" s="16"/>
      <c r="E278" s="16"/>
      <c r="F278" s="16"/>
      <c r="G278" s="16"/>
      <c r="H278" s="16"/>
      <c r="I278" s="125"/>
      <c r="J278" s="16"/>
      <c r="K278" s="13"/>
      <c r="L278" s="13"/>
      <c r="M278" s="13"/>
      <c r="N278" s="16"/>
      <c r="O278" s="16"/>
      <c r="P278" s="16"/>
      <c r="Q278" s="16"/>
      <c r="R278" s="96"/>
      <c r="S278" s="96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6"/>
      <c r="B279" s="13"/>
      <c r="C279" s="16"/>
      <c r="D279" s="16"/>
      <c r="E279" s="16"/>
      <c r="F279" s="16"/>
      <c r="G279" s="16"/>
      <c r="H279" s="16"/>
      <c r="I279" s="125"/>
      <c r="J279" s="16"/>
      <c r="K279" s="13"/>
      <c r="L279" s="13"/>
      <c r="M279" s="13"/>
      <c r="N279" s="16"/>
      <c r="O279" s="16"/>
      <c r="P279" s="16"/>
      <c r="Q279" s="16"/>
      <c r="R279" s="96"/>
      <c r="S279" s="96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6"/>
      <c r="B280" s="13"/>
      <c r="C280" s="16"/>
      <c r="D280" s="16"/>
      <c r="E280" s="16"/>
      <c r="F280" s="16"/>
      <c r="G280" s="16"/>
      <c r="H280" s="16"/>
      <c r="I280" s="125"/>
      <c r="J280" s="16"/>
      <c r="K280" s="13"/>
      <c r="L280" s="13"/>
      <c r="M280" s="13"/>
      <c r="N280" s="16"/>
      <c r="O280" s="16"/>
      <c r="P280" s="16"/>
      <c r="Q280" s="16"/>
      <c r="R280" s="96"/>
      <c r="S280" s="96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6"/>
      <c r="B281" s="13"/>
      <c r="C281" s="16"/>
      <c r="D281" s="16"/>
      <c r="E281" s="16"/>
      <c r="F281" s="16"/>
      <c r="G281" s="16"/>
      <c r="H281" s="16"/>
      <c r="I281" s="125"/>
      <c r="J281" s="16"/>
      <c r="K281" s="13"/>
      <c r="L281" s="13"/>
      <c r="M281" s="13"/>
      <c r="N281" s="16"/>
      <c r="O281" s="16"/>
      <c r="P281" s="16"/>
      <c r="Q281" s="16"/>
      <c r="R281" s="96"/>
      <c r="S281" s="96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6"/>
      <c r="B282" s="13"/>
      <c r="C282" s="16"/>
      <c r="D282" s="16"/>
      <c r="E282" s="16"/>
      <c r="F282" s="16"/>
      <c r="G282" s="16"/>
      <c r="H282" s="16"/>
      <c r="I282" s="125"/>
      <c r="J282" s="16"/>
      <c r="K282" s="13"/>
      <c r="L282" s="13"/>
      <c r="M282" s="13"/>
      <c r="N282" s="16"/>
      <c r="O282" s="16"/>
      <c r="P282" s="16"/>
      <c r="Q282" s="16"/>
      <c r="R282" s="96"/>
      <c r="S282" s="96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6"/>
      <c r="B283" s="13"/>
      <c r="C283" s="16"/>
      <c r="D283" s="16"/>
      <c r="E283" s="16"/>
      <c r="F283" s="16"/>
      <c r="G283" s="16"/>
      <c r="H283" s="16"/>
      <c r="I283" s="125"/>
      <c r="J283" s="16"/>
      <c r="K283" s="13"/>
      <c r="L283" s="13"/>
      <c r="M283" s="13"/>
      <c r="N283" s="16"/>
      <c r="O283" s="16"/>
      <c r="P283" s="16"/>
      <c r="Q283" s="16"/>
      <c r="R283" s="96"/>
      <c r="S283" s="96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6"/>
      <c r="B284" s="13"/>
      <c r="C284" s="16"/>
      <c r="D284" s="16"/>
      <c r="E284" s="16"/>
      <c r="F284" s="16"/>
      <c r="G284" s="16"/>
      <c r="H284" s="16"/>
      <c r="I284" s="125"/>
      <c r="J284" s="16"/>
      <c r="K284" s="13"/>
      <c r="L284" s="13"/>
      <c r="M284" s="13"/>
      <c r="N284" s="16"/>
      <c r="O284" s="16"/>
      <c r="P284" s="16"/>
      <c r="Q284" s="16"/>
      <c r="R284" s="96"/>
      <c r="S284" s="96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6"/>
      <c r="B285" s="13"/>
      <c r="C285" s="16"/>
      <c r="D285" s="16"/>
      <c r="E285" s="16"/>
      <c r="F285" s="16"/>
      <c r="G285" s="16"/>
      <c r="H285" s="16"/>
      <c r="I285" s="125"/>
      <c r="J285" s="16"/>
      <c r="K285" s="13"/>
      <c r="L285" s="13"/>
      <c r="M285" s="13"/>
      <c r="N285" s="16"/>
      <c r="O285" s="16"/>
      <c r="P285" s="16"/>
      <c r="Q285" s="16"/>
      <c r="R285" s="96"/>
      <c r="S285" s="96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6"/>
      <c r="B286" s="13"/>
      <c r="C286" s="16"/>
      <c r="D286" s="16"/>
      <c r="E286" s="16"/>
      <c r="F286" s="16"/>
      <c r="G286" s="16"/>
      <c r="H286" s="16"/>
      <c r="I286" s="125"/>
      <c r="J286" s="16"/>
      <c r="K286" s="13"/>
      <c r="L286" s="13"/>
      <c r="M286" s="13"/>
      <c r="N286" s="16"/>
      <c r="O286" s="16"/>
      <c r="P286" s="16"/>
      <c r="Q286" s="16"/>
      <c r="R286" s="96"/>
      <c r="S286" s="96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6"/>
      <c r="B287" s="13"/>
      <c r="C287" s="16"/>
      <c r="D287" s="16"/>
      <c r="E287" s="16"/>
      <c r="F287" s="16"/>
      <c r="G287" s="16"/>
      <c r="H287" s="16"/>
      <c r="I287" s="125"/>
      <c r="J287" s="16"/>
      <c r="K287" s="13"/>
      <c r="L287" s="13"/>
      <c r="M287" s="13"/>
      <c r="N287" s="16"/>
      <c r="O287" s="16"/>
      <c r="P287" s="16"/>
      <c r="Q287" s="16"/>
      <c r="R287" s="96"/>
      <c r="S287" s="96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6"/>
      <c r="B288" s="13"/>
      <c r="C288" s="16"/>
      <c r="D288" s="16"/>
      <c r="E288" s="16"/>
      <c r="F288" s="16"/>
      <c r="G288" s="16"/>
      <c r="H288" s="16"/>
      <c r="I288" s="125"/>
      <c r="J288" s="16"/>
      <c r="K288" s="13"/>
      <c r="L288" s="13"/>
      <c r="M288" s="13"/>
      <c r="N288" s="16"/>
      <c r="O288" s="16"/>
      <c r="P288" s="16"/>
      <c r="Q288" s="16"/>
      <c r="R288" s="96"/>
      <c r="S288" s="96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6"/>
      <c r="B289" s="13"/>
      <c r="C289" s="16"/>
      <c r="D289" s="16"/>
      <c r="E289" s="16"/>
      <c r="F289" s="16"/>
      <c r="G289" s="16"/>
      <c r="H289" s="16"/>
      <c r="I289" s="125"/>
      <c r="J289" s="16"/>
      <c r="K289" s="13"/>
      <c r="L289" s="13"/>
      <c r="M289" s="13"/>
      <c r="N289" s="16"/>
      <c r="O289" s="16"/>
      <c r="P289" s="16"/>
      <c r="Q289" s="16"/>
      <c r="R289" s="96"/>
      <c r="S289" s="96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6"/>
      <c r="B290" s="13"/>
      <c r="C290" s="16"/>
      <c r="D290" s="16"/>
      <c r="E290" s="16"/>
      <c r="F290" s="16"/>
      <c r="G290" s="16"/>
      <c r="H290" s="16"/>
      <c r="I290" s="125"/>
      <c r="J290" s="16"/>
      <c r="K290" s="13"/>
      <c r="L290" s="13"/>
      <c r="M290" s="13"/>
      <c r="N290" s="16"/>
      <c r="O290" s="16"/>
      <c r="P290" s="16"/>
      <c r="Q290" s="16"/>
      <c r="R290" s="96"/>
      <c r="S290" s="96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6"/>
      <c r="B291" s="13"/>
      <c r="C291" s="16"/>
      <c r="D291" s="16"/>
      <c r="E291" s="16"/>
      <c r="F291" s="16"/>
      <c r="G291" s="16"/>
      <c r="H291" s="16"/>
      <c r="I291" s="125"/>
      <c r="J291" s="16"/>
      <c r="K291" s="13"/>
      <c r="L291" s="13"/>
      <c r="M291" s="13"/>
      <c r="N291" s="16"/>
      <c r="O291" s="16"/>
      <c r="P291" s="16"/>
      <c r="Q291" s="16"/>
      <c r="R291" s="96"/>
      <c r="S291" s="96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6"/>
      <c r="B292" s="13"/>
      <c r="C292" s="16"/>
      <c r="D292" s="16"/>
      <c r="E292" s="16"/>
      <c r="F292" s="16"/>
      <c r="G292" s="16"/>
      <c r="H292" s="16"/>
      <c r="I292" s="125"/>
      <c r="J292" s="16"/>
      <c r="K292" s="13"/>
      <c r="L292" s="13"/>
      <c r="M292" s="13"/>
      <c r="N292" s="16"/>
      <c r="O292" s="16"/>
      <c r="P292" s="16"/>
      <c r="Q292" s="16"/>
      <c r="R292" s="96"/>
      <c r="S292" s="96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6"/>
      <c r="B293" s="13"/>
      <c r="C293" s="16"/>
      <c r="D293" s="16"/>
      <c r="E293" s="16"/>
      <c r="F293" s="16"/>
      <c r="G293" s="16"/>
      <c r="H293" s="16"/>
      <c r="I293" s="125"/>
      <c r="J293" s="16"/>
      <c r="K293" s="13"/>
      <c r="L293" s="13"/>
      <c r="M293" s="13"/>
      <c r="N293" s="16"/>
      <c r="O293" s="16"/>
      <c r="P293" s="16"/>
      <c r="Q293" s="16"/>
      <c r="R293" s="96"/>
      <c r="S293" s="9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6"/>
      <c r="B294" s="13"/>
      <c r="C294" s="16"/>
      <c r="D294" s="16"/>
      <c r="E294" s="16"/>
      <c r="F294" s="16"/>
      <c r="G294" s="16"/>
      <c r="H294" s="16"/>
      <c r="I294" s="125"/>
      <c r="J294" s="16"/>
      <c r="K294" s="13"/>
      <c r="L294" s="13"/>
      <c r="M294" s="13"/>
      <c r="N294" s="16"/>
      <c r="O294" s="16"/>
      <c r="P294" s="16"/>
      <c r="Q294" s="16"/>
      <c r="R294" s="96"/>
      <c r="S294" s="96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6"/>
      <c r="B295" s="13"/>
      <c r="C295" s="16"/>
      <c r="D295" s="16"/>
      <c r="E295" s="16"/>
      <c r="F295" s="16"/>
      <c r="G295" s="16"/>
      <c r="H295" s="16"/>
      <c r="I295" s="125"/>
      <c r="J295" s="16"/>
      <c r="K295" s="13"/>
      <c r="L295" s="13"/>
      <c r="M295" s="13"/>
      <c r="N295" s="16"/>
      <c r="O295" s="16"/>
      <c r="P295" s="16"/>
      <c r="Q295" s="16"/>
      <c r="R295" s="96"/>
      <c r="S295" s="96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6"/>
      <c r="B296" s="13"/>
      <c r="C296" s="16"/>
      <c r="D296" s="16"/>
      <c r="E296" s="16"/>
      <c r="F296" s="16"/>
      <c r="G296" s="16"/>
      <c r="H296" s="16"/>
      <c r="I296" s="125"/>
      <c r="J296" s="16"/>
      <c r="K296" s="13"/>
      <c r="L296" s="13"/>
      <c r="M296" s="13"/>
      <c r="N296" s="16"/>
      <c r="O296" s="16"/>
      <c r="P296" s="16"/>
      <c r="Q296" s="16"/>
      <c r="R296" s="96"/>
      <c r="S296" s="96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6"/>
      <c r="B297" s="13"/>
      <c r="C297" s="16"/>
      <c r="D297" s="16"/>
      <c r="E297" s="16"/>
      <c r="F297" s="16"/>
      <c r="G297" s="16"/>
      <c r="H297" s="16"/>
      <c r="I297" s="125"/>
      <c r="J297" s="16"/>
      <c r="K297" s="13"/>
      <c r="L297" s="13"/>
      <c r="M297" s="13"/>
      <c r="N297" s="16"/>
      <c r="O297" s="16"/>
      <c r="P297" s="16"/>
      <c r="Q297" s="16"/>
      <c r="R297" s="96"/>
      <c r="S297" s="96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6"/>
      <c r="B298" s="13"/>
      <c r="C298" s="16"/>
      <c r="D298" s="16"/>
      <c r="E298" s="16"/>
      <c r="F298" s="16"/>
      <c r="G298" s="16"/>
      <c r="H298" s="16"/>
      <c r="I298" s="125"/>
      <c r="J298" s="16"/>
      <c r="K298" s="13"/>
      <c r="L298" s="13"/>
      <c r="M298" s="13"/>
      <c r="N298" s="16"/>
      <c r="O298" s="16"/>
      <c r="P298" s="16"/>
      <c r="Q298" s="16"/>
      <c r="R298" s="96"/>
      <c r="S298" s="96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6"/>
      <c r="B299" s="13"/>
      <c r="C299" s="16"/>
      <c r="D299" s="16"/>
      <c r="E299" s="16"/>
      <c r="F299" s="16"/>
      <c r="G299" s="16"/>
      <c r="H299" s="16"/>
      <c r="I299" s="125"/>
      <c r="J299" s="16"/>
      <c r="K299" s="13"/>
      <c r="L299" s="13"/>
      <c r="M299" s="13"/>
      <c r="N299" s="16"/>
      <c r="O299" s="16"/>
      <c r="P299" s="16"/>
      <c r="Q299" s="16"/>
      <c r="R299" s="96"/>
      <c r="S299" s="96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6"/>
      <c r="B300" s="13"/>
      <c r="C300" s="16"/>
      <c r="D300" s="16"/>
      <c r="E300" s="16"/>
      <c r="F300" s="16"/>
      <c r="G300" s="16"/>
      <c r="H300" s="16"/>
      <c r="I300" s="125"/>
      <c r="J300" s="16"/>
      <c r="K300" s="13"/>
      <c r="L300" s="13"/>
      <c r="M300" s="13"/>
      <c r="N300" s="16"/>
      <c r="O300" s="16"/>
      <c r="P300" s="16"/>
      <c r="Q300" s="16"/>
      <c r="R300" s="96"/>
      <c r="S300" s="96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6"/>
      <c r="B301" s="13"/>
      <c r="C301" s="16"/>
      <c r="D301" s="16"/>
      <c r="E301" s="16"/>
      <c r="F301" s="16"/>
      <c r="G301" s="16"/>
      <c r="H301" s="16"/>
      <c r="I301" s="125"/>
      <c r="J301" s="16"/>
      <c r="K301" s="13"/>
      <c r="L301" s="13"/>
      <c r="M301" s="13"/>
      <c r="N301" s="16"/>
      <c r="O301" s="16"/>
      <c r="P301" s="16"/>
      <c r="Q301" s="16"/>
      <c r="R301" s="96"/>
      <c r="S301" s="96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6"/>
      <c r="B302" s="13"/>
      <c r="C302" s="16"/>
      <c r="D302" s="16"/>
      <c r="E302" s="16"/>
      <c r="F302" s="16"/>
      <c r="G302" s="16"/>
      <c r="H302" s="16"/>
      <c r="I302" s="125"/>
      <c r="J302" s="16"/>
      <c r="K302" s="13"/>
      <c r="L302" s="13"/>
      <c r="M302" s="13"/>
      <c r="N302" s="16"/>
      <c r="O302" s="16"/>
      <c r="P302" s="16"/>
      <c r="Q302" s="16"/>
      <c r="R302" s="96"/>
      <c r="S302" s="96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6"/>
      <c r="B303" s="13"/>
      <c r="C303" s="16"/>
      <c r="D303" s="16"/>
      <c r="E303" s="16"/>
      <c r="F303" s="16"/>
      <c r="G303" s="16"/>
      <c r="H303" s="16"/>
      <c r="I303" s="125"/>
      <c r="J303" s="16"/>
      <c r="K303" s="13"/>
      <c r="L303" s="13"/>
      <c r="M303" s="13"/>
      <c r="N303" s="16"/>
      <c r="O303" s="16"/>
      <c r="P303" s="16"/>
      <c r="Q303" s="16"/>
      <c r="R303" s="96"/>
      <c r="S303" s="96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6"/>
      <c r="B304" s="13"/>
      <c r="C304" s="16"/>
      <c r="D304" s="16"/>
      <c r="E304" s="16"/>
      <c r="F304" s="16"/>
      <c r="G304" s="16"/>
      <c r="H304" s="16"/>
      <c r="I304" s="125"/>
      <c r="J304" s="16"/>
      <c r="K304" s="13"/>
      <c r="L304" s="13"/>
      <c r="M304" s="13"/>
      <c r="N304" s="16"/>
      <c r="O304" s="16"/>
      <c r="P304" s="16"/>
      <c r="Q304" s="16"/>
      <c r="R304" s="96"/>
      <c r="S304" s="96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6"/>
      <c r="B305" s="13"/>
      <c r="C305" s="16"/>
      <c r="D305" s="16"/>
      <c r="E305" s="16"/>
      <c r="F305" s="16"/>
      <c r="G305" s="16"/>
      <c r="H305" s="16"/>
      <c r="I305" s="125"/>
      <c r="J305" s="16"/>
      <c r="K305" s="13"/>
      <c r="L305" s="13"/>
      <c r="M305" s="13"/>
      <c r="N305" s="16"/>
      <c r="O305" s="16"/>
      <c r="P305" s="16"/>
      <c r="Q305" s="16"/>
      <c r="R305" s="96"/>
      <c r="S305" s="96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6"/>
      <c r="B306" s="13"/>
      <c r="C306" s="16"/>
      <c r="D306" s="16"/>
      <c r="E306" s="16"/>
      <c r="F306" s="16"/>
      <c r="G306" s="16"/>
      <c r="H306" s="16"/>
      <c r="I306" s="125"/>
      <c r="J306" s="16"/>
      <c r="K306" s="13"/>
      <c r="L306" s="13"/>
      <c r="M306" s="13"/>
      <c r="N306" s="16"/>
      <c r="O306" s="16"/>
      <c r="P306" s="16"/>
      <c r="Q306" s="16"/>
      <c r="R306" s="96"/>
      <c r="S306" s="96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6"/>
      <c r="B307" s="13"/>
      <c r="C307" s="16"/>
      <c r="D307" s="16"/>
      <c r="E307" s="16"/>
      <c r="F307" s="16"/>
      <c r="G307" s="16"/>
      <c r="H307" s="16"/>
      <c r="I307" s="125"/>
      <c r="J307" s="16"/>
      <c r="K307" s="13"/>
      <c r="L307" s="13"/>
      <c r="M307" s="13"/>
      <c r="N307" s="16"/>
      <c r="O307" s="16"/>
      <c r="P307" s="16"/>
      <c r="Q307" s="16"/>
      <c r="R307" s="96"/>
      <c r="S307" s="96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6"/>
      <c r="B308" s="13"/>
      <c r="C308" s="16"/>
      <c r="D308" s="16"/>
      <c r="E308" s="16"/>
      <c r="F308" s="16"/>
      <c r="G308" s="16"/>
      <c r="H308" s="16"/>
      <c r="I308" s="125"/>
      <c r="J308" s="16"/>
      <c r="K308" s="13"/>
      <c r="L308" s="13"/>
      <c r="M308" s="13"/>
      <c r="N308" s="16"/>
      <c r="O308" s="16"/>
      <c r="P308" s="16"/>
      <c r="Q308" s="16"/>
      <c r="R308" s="96"/>
      <c r="S308" s="96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6"/>
      <c r="B309" s="13"/>
      <c r="C309" s="16"/>
      <c r="D309" s="16"/>
      <c r="E309" s="16"/>
      <c r="F309" s="16"/>
      <c r="G309" s="16"/>
      <c r="H309" s="16"/>
      <c r="I309" s="125"/>
      <c r="J309" s="16"/>
      <c r="K309" s="13"/>
      <c r="L309" s="13"/>
      <c r="M309" s="13"/>
      <c r="N309" s="16"/>
      <c r="O309" s="16"/>
      <c r="P309" s="16"/>
      <c r="Q309" s="16"/>
      <c r="R309" s="96"/>
      <c r="S309" s="96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6"/>
      <c r="B310" s="13"/>
      <c r="C310" s="16"/>
      <c r="D310" s="16"/>
      <c r="E310" s="16"/>
      <c r="F310" s="16"/>
      <c r="G310" s="16"/>
      <c r="H310" s="16"/>
      <c r="I310" s="125"/>
      <c r="J310" s="16"/>
      <c r="K310" s="13"/>
      <c r="L310" s="13"/>
      <c r="M310" s="13"/>
      <c r="N310" s="16"/>
      <c r="O310" s="16"/>
      <c r="P310" s="16"/>
      <c r="Q310" s="16"/>
      <c r="R310" s="96"/>
      <c r="S310" s="96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6"/>
      <c r="B311" s="13"/>
      <c r="C311" s="16"/>
      <c r="D311" s="16"/>
      <c r="E311" s="16"/>
      <c r="F311" s="16"/>
      <c r="G311" s="16"/>
      <c r="H311" s="16"/>
      <c r="I311" s="125"/>
      <c r="J311" s="16"/>
      <c r="K311" s="13"/>
      <c r="L311" s="13"/>
      <c r="M311" s="13"/>
      <c r="N311" s="16"/>
      <c r="O311" s="16"/>
      <c r="P311" s="16"/>
      <c r="Q311" s="16"/>
      <c r="R311" s="96"/>
      <c r="S311" s="96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6"/>
      <c r="B312" s="13"/>
      <c r="C312" s="16"/>
      <c r="D312" s="16"/>
      <c r="E312" s="16"/>
      <c r="F312" s="16"/>
      <c r="G312" s="16"/>
      <c r="H312" s="16"/>
      <c r="I312" s="125"/>
      <c r="J312" s="16"/>
      <c r="K312" s="13"/>
      <c r="L312" s="13"/>
      <c r="M312" s="13"/>
      <c r="N312" s="16"/>
      <c r="O312" s="16"/>
      <c r="P312" s="16"/>
      <c r="Q312" s="16"/>
      <c r="R312" s="96"/>
      <c r="S312" s="96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6"/>
      <c r="B313" s="13"/>
      <c r="C313" s="16"/>
      <c r="D313" s="16"/>
      <c r="E313" s="16"/>
      <c r="F313" s="16"/>
      <c r="G313" s="16"/>
      <c r="H313" s="16"/>
      <c r="I313" s="125"/>
      <c r="J313" s="16"/>
      <c r="K313" s="13"/>
      <c r="L313" s="13"/>
      <c r="M313" s="13"/>
      <c r="N313" s="16"/>
      <c r="O313" s="16"/>
      <c r="P313" s="16"/>
      <c r="Q313" s="16"/>
      <c r="R313" s="96"/>
      <c r="S313" s="96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6"/>
      <c r="B314" s="13"/>
      <c r="C314" s="16"/>
      <c r="D314" s="16"/>
      <c r="E314" s="16"/>
      <c r="F314" s="16"/>
      <c r="G314" s="16"/>
      <c r="H314" s="16"/>
      <c r="I314" s="125"/>
      <c r="J314" s="16"/>
      <c r="K314" s="13"/>
      <c r="L314" s="13"/>
      <c r="M314" s="13"/>
      <c r="N314" s="16"/>
      <c r="O314" s="16"/>
      <c r="P314" s="16"/>
      <c r="Q314" s="16"/>
      <c r="R314" s="96"/>
      <c r="S314" s="96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6"/>
      <c r="B315" s="13"/>
      <c r="C315" s="16"/>
      <c r="D315" s="16"/>
      <c r="E315" s="16"/>
      <c r="F315" s="16"/>
      <c r="G315" s="16"/>
      <c r="H315" s="16"/>
      <c r="I315" s="125"/>
      <c r="J315" s="16"/>
      <c r="K315" s="13"/>
      <c r="L315" s="13"/>
      <c r="M315" s="13"/>
      <c r="N315" s="16"/>
      <c r="O315" s="16"/>
      <c r="P315" s="16"/>
      <c r="Q315" s="16"/>
      <c r="R315" s="96"/>
      <c r="S315" s="96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6"/>
      <c r="B316" s="13"/>
      <c r="C316" s="16"/>
      <c r="D316" s="16"/>
      <c r="E316" s="16"/>
      <c r="F316" s="16"/>
      <c r="G316" s="16"/>
      <c r="H316" s="16"/>
      <c r="I316" s="125"/>
      <c r="J316" s="16"/>
      <c r="K316" s="13"/>
      <c r="L316" s="13"/>
      <c r="M316" s="13"/>
      <c r="N316" s="16"/>
      <c r="O316" s="16"/>
      <c r="P316" s="16"/>
      <c r="Q316" s="16"/>
      <c r="R316" s="96"/>
      <c r="S316" s="96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6"/>
      <c r="B317" s="13"/>
      <c r="C317" s="16"/>
      <c r="D317" s="16"/>
      <c r="E317" s="16"/>
      <c r="F317" s="16"/>
      <c r="G317" s="16"/>
      <c r="H317" s="16"/>
      <c r="I317" s="125"/>
      <c r="J317" s="16"/>
      <c r="K317" s="13"/>
      <c r="L317" s="13"/>
      <c r="M317" s="13"/>
      <c r="N317" s="16"/>
      <c r="O317" s="16"/>
      <c r="P317" s="16"/>
      <c r="Q317" s="16"/>
      <c r="R317" s="96"/>
      <c r="S317" s="96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6"/>
      <c r="B318" s="13"/>
      <c r="C318" s="16"/>
      <c r="D318" s="16"/>
      <c r="E318" s="16"/>
      <c r="F318" s="16"/>
      <c r="G318" s="16"/>
      <c r="H318" s="16"/>
      <c r="I318" s="125"/>
      <c r="J318" s="16"/>
      <c r="K318" s="13"/>
      <c r="L318" s="13"/>
      <c r="M318" s="13"/>
      <c r="N318" s="16"/>
      <c r="O318" s="16"/>
      <c r="P318" s="16"/>
      <c r="Q318" s="16"/>
      <c r="R318" s="96"/>
      <c r="S318" s="96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6"/>
      <c r="B319" s="13"/>
      <c r="C319" s="16"/>
      <c r="D319" s="16"/>
      <c r="E319" s="16"/>
      <c r="F319" s="16"/>
      <c r="G319" s="16"/>
      <c r="H319" s="16"/>
      <c r="I319" s="125"/>
      <c r="J319" s="16"/>
      <c r="K319" s="13"/>
      <c r="L319" s="13"/>
      <c r="M319" s="13"/>
      <c r="N319" s="16"/>
      <c r="O319" s="16"/>
      <c r="P319" s="16"/>
      <c r="Q319" s="16"/>
      <c r="R319" s="96"/>
      <c r="S319" s="96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6"/>
      <c r="B320" s="13"/>
      <c r="C320" s="16"/>
      <c r="D320" s="16"/>
      <c r="E320" s="16"/>
      <c r="F320" s="16"/>
      <c r="G320" s="16"/>
      <c r="H320" s="16"/>
      <c r="I320" s="125"/>
      <c r="J320" s="16"/>
      <c r="K320" s="13"/>
      <c r="L320" s="13"/>
      <c r="M320" s="13"/>
      <c r="N320" s="16"/>
      <c r="O320" s="16"/>
      <c r="P320" s="16"/>
      <c r="Q320" s="16"/>
      <c r="R320" s="96"/>
      <c r="S320" s="96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6"/>
      <c r="B321" s="13"/>
      <c r="C321" s="16"/>
      <c r="D321" s="16"/>
      <c r="E321" s="16"/>
      <c r="F321" s="16"/>
      <c r="G321" s="16"/>
      <c r="H321" s="16"/>
      <c r="I321" s="125"/>
      <c r="J321" s="16"/>
      <c r="K321" s="13"/>
      <c r="L321" s="13"/>
      <c r="M321" s="13"/>
      <c r="N321" s="16"/>
      <c r="O321" s="16"/>
      <c r="P321" s="16"/>
      <c r="Q321" s="16"/>
      <c r="R321" s="96"/>
      <c r="S321" s="96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6"/>
      <c r="B322" s="13"/>
      <c r="C322" s="16"/>
      <c r="D322" s="16"/>
      <c r="E322" s="16"/>
      <c r="F322" s="16"/>
      <c r="G322" s="16"/>
      <c r="H322" s="16"/>
      <c r="I322" s="125"/>
      <c r="J322" s="16"/>
      <c r="K322" s="13"/>
      <c r="L322" s="13"/>
      <c r="M322" s="13"/>
      <c r="N322" s="16"/>
      <c r="O322" s="16"/>
      <c r="P322" s="16"/>
      <c r="Q322" s="16"/>
      <c r="R322" s="96"/>
      <c r="S322" s="96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6"/>
      <c r="B323" s="13"/>
      <c r="C323" s="16"/>
      <c r="D323" s="16"/>
      <c r="E323" s="16"/>
      <c r="F323" s="16"/>
      <c r="G323" s="16"/>
      <c r="H323" s="16"/>
      <c r="I323" s="125"/>
      <c r="J323" s="16"/>
      <c r="K323" s="13"/>
      <c r="L323" s="13"/>
      <c r="M323" s="13"/>
      <c r="N323" s="16"/>
      <c r="O323" s="16"/>
      <c r="P323" s="16"/>
      <c r="Q323" s="16"/>
      <c r="R323" s="96"/>
      <c r="S323" s="96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6"/>
      <c r="B324" s="13"/>
      <c r="C324" s="16"/>
      <c r="D324" s="16"/>
      <c r="E324" s="16"/>
      <c r="F324" s="16"/>
      <c r="G324" s="16"/>
      <c r="H324" s="16"/>
      <c r="I324" s="125"/>
      <c r="J324" s="16"/>
      <c r="K324" s="13"/>
      <c r="L324" s="13"/>
      <c r="M324" s="13"/>
      <c r="N324" s="16"/>
      <c r="O324" s="16"/>
      <c r="P324" s="16"/>
      <c r="Q324" s="16"/>
      <c r="R324" s="96"/>
      <c r="S324" s="96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6"/>
      <c r="B325" s="13"/>
      <c r="C325" s="16"/>
      <c r="D325" s="16"/>
      <c r="E325" s="16"/>
      <c r="F325" s="16"/>
      <c r="G325" s="16"/>
      <c r="H325" s="16"/>
      <c r="I325" s="125"/>
      <c r="J325" s="16"/>
      <c r="K325" s="13"/>
      <c r="L325" s="13"/>
      <c r="M325" s="13"/>
      <c r="N325" s="16"/>
      <c r="O325" s="16"/>
      <c r="P325" s="16"/>
      <c r="Q325" s="16"/>
      <c r="R325" s="96"/>
      <c r="S325" s="96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6"/>
      <c r="B326" s="13"/>
      <c r="C326" s="16"/>
      <c r="D326" s="16"/>
      <c r="E326" s="16"/>
      <c r="F326" s="16"/>
      <c r="G326" s="16"/>
      <c r="H326" s="16"/>
      <c r="I326" s="125"/>
      <c r="J326" s="16"/>
      <c r="K326" s="13"/>
      <c r="L326" s="13"/>
      <c r="M326" s="13"/>
      <c r="N326" s="16"/>
      <c r="O326" s="16"/>
      <c r="P326" s="16"/>
      <c r="Q326" s="16"/>
      <c r="R326" s="96"/>
      <c r="S326" s="96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6"/>
      <c r="B327" s="13"/>
      <c r="C327" s="16"/>
      <c r="D327" s="16"/>
      <c r="E327" s="16"/>
      <c r="F327" s="16"/>
      <c r="G327" s="16"/>
      <c r="H327" s="16"/>
      <c r="I327" s="125"/>
      <c r="J327" s="16"/>
      <c r="K327" s="13"/>
      <c r="L327" s="13"/>
      <c r="M327" s="13"/>
      <c r="N327" s="16"/>
      <c r="O327" s="16"/>
      <c r="P327" s="16"/>
      <c r="Q327" s="16"/>
      <c r="R327" s="96"/>
      <c r="S327" s="96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6"/>
      <c r="B328" s="13"/>
      <c r="C328" s="16"/>
      <c r="D328" s="16"/>
      <c r="E328" s="16"/>
      <c r="F328" s="16"/>
      <c r="G328" s="16"/>
      <c r="H328" s="16"/>
      <c r="I328" s="125"/>
      <c r="J328" s="16"/>
      <c r="K328" s="13"/>
      <c r="L328" s="13"/>
      <c r="M328" s="13"/>
      <c r="N328" s="16"/>
      <c r="O328" s="16"/>
      <c r="P328" s="16"/>
      <c r="Q328" s="16"/>
      <c r="R328" s="96"/>
      <c r="S328" s="96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6"/>
      <c r="B329" s="13"/>
      <c r="C329" s="16"/>
      <c r="D329" s="16"/>
      <c r="E329" s="16"/>
      <c r="F329" s="16"/>
      <c r="G329" s="16"/>
      <c r="H329" s="16"/>
      <c r="I329" s="125"/>
      <c r="J329" s="16"/>
      <c r="K329" s="13"/>
      <c r="L329" s="13"/>
      <c r="M329" s="13"/>
      <c r="N329" s="16"/>
      <c r="O329" s="16"/>
      <c r="P329" s="16"/>
      <c r="Q329" s="16"/>
      <c r="R329" s="96"/>
      <c r="S329" s="96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6"/>
      <c r="B330" s="13"/>
      <c r="C330" s="16"/>
      <c r="D330" s="16"/>
      <c r="E330" s="16"/>
      <c r="F330" s="16"/>
      <c r="G330" s="16"/>
      <c r="H330" s="16"/>
      <c r="I330" s="125"/>
      <c r="J330" s="16"/>
      <c r="K330" s="13"/>
      <c r="L330" s="13"/>
      <c r="M330" s="13"/>
      <c r="N330" s="16"/>
      <c r="O330" s="16"/>
      <c r="P330" s="16"/>
      <c r="Q330" s="16"/>
      <c r="R330" s="96"/>
      <c r="S330" s="96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6"/>
      <c r="B331" s="13"/>
      <c r="C331" s="16"/>
      <c r="D331" s="16"/>
      <c r="E331" s="16"/>
      <c r="F331" s="16"/>
      <c r="G331" s="16"/>
      <c r="H331" s="16"/>
      <c r="I331" s="125"/>
      <c r="J331" s="16"/>
      <c r="K331" s="13"/>
      <c r="L331" s="13"/>
      <c r="M331" s="13"/>
      <c r="N331" s="16"/>
      <c r="O331" s="16"/>
      <c r="P331" s="16"/>
      <c r="Q331" s="16"/>
      <c r="R331" s="96"/>
      <c r="S331" s="96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6"/>
      <c r="B332" s="13"/>
      <c r="C332" s="16"/>
      <c r="D332" s="16"/>
      <c r="E332" s="16"/>
      <c r="F332" s="16"/>
      <c r="G332" s="16"/>
      <c r="H332" s="16"/>
      <c r="I332" s="125"/>
      <c r="J332" s="16"/>
      <c r="K332" s="13"/>
      <c r="L332" s="13"/>
      <c r="M332" s="13"/>
      <c r="N332" s="16"/>
      <c r="O332" s="16"/>
      <c r="P332" s="16"/>
      <c r="Q332" s="16"/>
      <c r="R332" s="96"/>
      <c r="S332" s="96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6"/>
      <c r="B333" s="13"/>
      <c r="C333" s="16"/>
      <c r="D333" s="16"/>
      <c r="E333" s="16"/>
      <c r="F333" s="16"/>
      <c r="G333" s="16"/>
      <c r="H333" s="16"/>
      <c r="I333" s="125"/>
      <c r="J333" s="16"/>
      <c r="K333" s="13"/>
      <c r="L333" s="13"/>
      <c r="M333" s="13"/>
      <c r="N333" s="16"/>
      <c r="O333" s="16"/>
      <c r="P333" s="16"/>
      <c r="Q333" s="16"/>
      <c r="R333" s="96"/>
      <c r="S333" s="96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6"/>
      <c r="B334" s="13"/>
      <c r="C334" s="16"/>
      <c r="D334" s="16"/>
      <c r="E334" s="16"/>
      <c r="F334" s="16"/>
      <c r="G334" s="16"/>
      <c r="H334" s="16"/>
      <c r="I334" s="125"/>
      <c r="J334" s="16"/>
      <c r="K334" s="13"/>
      <c r="L334" s="13"/>
      <c r="M334" s="13"/>
      <c r="N334" s="16"/>
      <c r="O334" s="16"/>
      <c r="P334" s="16"/>
      <c r="Q334" s="16"/>
      <c r="R334" s="96"/>
      <c r="S334" s="96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6"/>
      <c r="B335" s="13"/>
      <c r="C335" s="16"/>
      <c r="D335" s="16"/>
      <c r="E335" s="16"/>
      <c r="F335" s="16"/>
      <c r="G335" s="16"/>
      <c r="H335" s="16"/>
      <c r="I335" s="125"/>
      <c r="J335" s="16"/>
      <c r="K335" s="13"/>
      <c r="L335" s="13"/>
      <c r="M335" s="13"/>
      <c r="N335" s="16"/>
      <c r="O335" s="16"/>
      <c r="P335" s="16"/>
      <c r="Q335" s="16"/>
      <c r="R335" s="96"/>
      <c r="S335" s="96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6"/>
      <c r="B336" s="13"/>
      <c r="C336" s="16"/>
      <c r="D336" s="16"/>
      <c r="E336" s="16"/>
      <c r="F336" s="16"/>
      <c r="G336" s="16"/>
      <c r="H336" s="16"/>
      <c r="I336" s="125"/>
      <c r="J336" s="16"/>
      <c r="K336" s="13"/>
      <c r="L336" s="13"/>
      <c r="M336" s="13"/>
      <c r="N336" s="16"/>
      <c r="O336" s="16"/>
      <c r="P336" s="16"/>
      <c r="Q336" s="16"/>
      <c r="R336" s="96"/>
      <c r="S336" s="96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6"/>
      <c r="B337" s="13"/>
      <c r="C337" s="16"/>
      <c r="D337" s="16"/>
      <c r="E337" s="16"/>
      <c r="F337" s="16"/>
      <c r="G337" s="16"/>
      <c r="H337" s="16"/>
      <c r="I337" s="125"/>
      <c r="J337" s="16"/>
      <c r="K337" s="13"/>
      <c r="L337" s="13"/>
      <c r="M337" s="13"/>
      <c r="N337" s="16"/>
      <c r="O337" s="16"/>
      <c r="P337" s="16"/>
      <c r="Q337" s="16"/>
      <c r="R337" s="96"/>
      <c r="S337" s="96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6"/>
      <c r="B338" s="13"/>
      <c r="C338" s="16"/>
      <c r="D338" s="16"/>
      <c r="E338" s="16"/>
      <c r="F338" s="16"/>
      <c r="G338" s="16"/>
      <c r="H338" s="16"/>
      <c r="I338" s="125"/>
      <c r="J338" s="16"/>
      <c r="K338" s="13"/>
      <c r="L338" s="13"/>
      <c r="M338" s="13"/>
      <c r="N338" s="16"/>
      <c r="O338" s="16"/>
      <c r="P338" s="16"/>
      <c r="Q338" s="16"/>
      <c r="R338" s="96"/>
      <c r="S338" s="96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6"/>
      <c r="B339" s="13"/>
      <c r="C339" s="16"/>
      <c r="D339" s="16"/>
      <c r="E339" s="16"/>
      <c r="F339" s="16"/>
      <c r="G339" s="16"/>
      <c r="H339" s="16"/>
      <c r="I339" s="125"/>
      <c r="J339" s="16"/>
      <c r="K339" s="13"/>
      <c r="L339" s="13"/>
      <c r="M339" s="13"/>
      <c r="N339" s="16"/>
      <c r="O339" s="16"/>
      <c r="P339" s="16"/>
      <c r="Q339" s="16"/>
      <c r="R339" s="96"/>
      <c r="S339" s="96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6"/>
      <c r="B340" s="13"/>
      <c r="C340" s="16"/>
      <c r="D340" s="16"/>
      <c r="E340" s="16"/>
      <c r="F340" s="16"/>
      <c r="G340" s="16"/>
      <c r="H340" s="16"/>
      <c r="I340" s="125"/>
      <c r="J340" s="16"/>
      <c r="K340" s="13"/>
      <c r="L340" s="13"/>
      <c r="M340" s="13"/>
      <c r="N340" s="16"/>
      <c r="O340" s="16"/>
      <c r="P340" s="16"/>
      <c r="Q340" s="16"/>
      <c r="R340" s="96"/>
      <c r="S340" s="96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6"/>
      <c r="B341" s="13"/>
      <c r="C341" s="16"/>
      <c r="D341" s="16"/>
      <c r="E341" s="16"/>
      <c r="F341" s="16"/>
      <c r="G341" s="16"/>
      <c r="H341" s="16"/>
      <c r="I341" s="125"/>
      <c r="J341" s="16"/>
      <c r="K341" s="13"/>
      <c r="L341" s="13"/>
      <c r="M341" s="13"/>
      <c r="N341" s="16"/>
      <c r="O341" s="16"/>
      <c r="P341" s="16"/>
      <c r="Q341" s="16"/>
      <c r="R341" s="96"/>
      <c r="S341" s="96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6"/>
      <c r="B342" s="13"/>
      <c r="C342" s="16"/>
      <c r="D342" s="16"/>
      <c r="E342" s="16"/>
      <c r="F342" s="16"/>
      <c r="G342" s="16"/>
      <c r="H342" s="16"/>
      <c r="I342" s="125"/>
      <c r="J342" s="16"/>
      <c r="K342" s="13"/>
      <c r="L342" s="13"/>
      <c r="M342" s="13"/>
      <c r="N342" s="16"/>
      <c r="O342" s="16"/>
      <c r="P342" s="16"/>
      <c r="Q342" s="16"/>
      <c r="R342" s="96"/>
      <c r="S342" s="96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6"/>
      <c r="B343" s="13"/>
      <c r="C343" s="16"/>
      <c r="D343" s="16"/>
      <c r="E343" s="16"/>
      <c r="F343" s="16"/>
      <c r="G343" s="16"/>
      <c r="H343" s="16"/>
      <c r="I343" s="125"/>
      <c r="J343" s="16"/>
      <c r="K343" s="13"/>
      <c r="L343" s="13"/>
      <c r="M343" s="13"/>
      <c r="N343" s="16"/>
      <c r="O343" s="16"/>
      <c r="P343" s="16"/>
      <c r="Q343" s="16"/>
      <c r="R343" s="96"/>
      <c r="S343" s="96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6"/>
      <c r="B344" s="13"/>
      <c r="C344" s="16"/>
      <c r="D344" s="16"/>
      <c r="E344" s="16"/>
      <c r="F344" s="16"/>
      <c r="G344" s="16"/>
      <c r="H344" s="16"/>
      <c r="I344" s="125"/>
      <c r="J344" s="16"/>
      <c r="K344" s="13"/>
      <c r="L344" s="13"/>
      <c r="M344" s="13"/>
      <c r="N344" s="16"/>
      <c r="O344" s="16"/>
      <c r="P344" s="16"/>
      <c r="Q344" s="16"/>
      <c r="R344" s="96"/>
      <c r="S344" s="96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6"/>
      <c r="B345" s="13"/>
      <c r="C345" s="16"/>
      <c r="D345" s="16"/>
      <c r="E345" s="16"/>
      <c r="F345" s="16"/>
      <c r="G345" s="16"/>
      <c r="H345" s="16"/>
      <c r="I345" s="125"/>
      <c r="J345" s="16"/>
      <c r="K345" s="13"/>
      <c r="L345" s="13"/>
      <c r="M345" s="13"/>
      <c r="N345" s="16"/>
      <c r="O345" s="16"/>
      <c r="P345" s="16"/>
      <c r="Q345" s="16"/>
      <c r="R345" s="96"/>
      <c r="S345" s="96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6"/>
      <c r="B346" s="13"/>
      <c r="C346" s="16"/>
      <c r="D346" s="16"/>
      <c r="E346" s="16"/>
      <c r="F346" s="16"/>
      <c r="G346" s="16"/>
      <c r="H346" s="16"/>
      <c r="I346" s="125"/>
      <c r="J346" s="16"/>
      <c r="K346" s="13"/>
      <c r="L346" s="13"/>
      <c r="M346" s="13"/>
      <c r="N346" s="16"/>
      <c r="O346" s="16"/>
      <c r="P346" s="16"/>
      <c r="Q346" s="16"/>
      <c r="R346" s="96"/>
      <c r="S346" s="96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6"/>
      <c r="B347" s="13"/>
      <c r="C347" s="16"/>
      <c r="D347" s="16"/>
      <c r="E347" s="16"/>
      <c r="F347" s="16"/>
      <c r="G347" s="16"/>
      <c r="H347" s="16"/>
      <c r="I347" s="125"/>
      <c r="J347" s="16"/>
      <c r="K347" s="13"/>
      <c r="L347" s="13"/>
      <c r="M347" s="13"/>
      <c r="N347" s="16"/>
      <c r="O347" s="16"/>
      <c r="P347" s="16"/>
      <c r="Q347" s="16"/>
      <c r="R347" s="96"/>
      <c r="S347" s="96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6"/>
      <c r="B348" s="13"/>
      <c r="C348" s="16"/>
      <c r="D348" s="16"/>
      <c r="E348" s="16"/>
      <c r="F348" s="16"/>
      <c r="G348" s="16"/>
      <c r="H348" s="16"/>
      <c r="I348" s="125"/>
      <c r="J348" s="16"/>
      <c r="K348" s="13"/>
      <c r="L348" s="13"/>
      <c r="M348" s="13"/>
      <c r="N348" s="16"/>
      <c r="O348" s="16"/>
      <c r="P348" s="16"/>
      <c r="Q348" s="16"/>
      <c r="R348" s="96"/>
      <c r="S348" s="96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6"/>
      <c r="B349" s="13"/>
      <c r="C349" s="16"/>
      <c r="D349" s="16"/>
      <c r="E349" s="16"/>
      <c r="F349" s="16"/>
      <c r="G349" s="16"/>
      <c r="H349" s="16"/>
      <c r="I349" s="125"/>
      <c r="J349" s="16"/>
      <c r="K349" s="13"/>
      <c r="L349" s="13"/>
      <c r="M349" s="13"/>
      <c r="N349" s="16"/>
      <c r="O349" s="16"/>
      <c r="P349" s="16"/>
      <c r="Q349" s="16"/>
      <c r="R349" s="96"/>
      <c r="S349" s="96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6"/>
      <c r="B350" s="13"/>
      <c r="C350" s="16"/>
      <c r="D350" s="16"/>
      <c r="E350" s="16"/>
      <c r="F350" s="16"/>
      <c r="G350" s="16"/>
      <c r="H350" s="16"/>
      <c r="I350" s="125"/>
      <c r="J350" s="16"/>
      <c r="K350" s="13"/>
      <c r="L350" s="13"/>
      <c r="M350" s="13"/>
      <c r="N350" s="16"/>
      <c r="O350" s="16"/>
      <c r="P350" s="16"/>
      <c r="Q350" s="16"/>
      <c r="R350" s="96"/>
      <c r="S350" s="96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6"/>
      <c r="B351" s="13"/>
      <c r="C351" s="16"/>
      <c r="D351" s="16"/>
      <c r="E351" s="16"/>
      <c r="F351" s="16"/>
      <c r="G351" s="16"/>
      <c r="H351" s="16"/>
      <c r="I351" s="125"/>
      <c r="J351" s="16"/>
      <c r="K351" s="13"/>
      <c r="L351" s="13"/>
      <c r="M351" s="13"/>
      <c r="N351" s="16"/>
      <c r="O351" s="16"/>
      <c r="P351" s="16"/>
      <c r="Q351" s="16"/>
      <c r="R351" s="96"/>
      <c r="S351" s="96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6"/>
      <c r="B352" s="13"/>
      <c r="C352" s="16"/>
      <c r="D352" s="16"/>
      <c r="E352" s="16"/>
      <c r="F352" s="16"/>
      <c r="G352" s="16"/>
      <c r="H352" s="16"/>
      <c r="I352" s="125"/>
      <c r="J352" s="16"/>
      <c r="K352" s="13"/>
      <c r="L352" s="13"/>
      <c r="M352" s="13"/>
      <c r="N352" s="16"/>
      <c r="O352" s="16"/>
      <c r="P352" s="16"/>
      <c r="Q352" s="16"/>
      <c r="R352" s="96"/>
      <c r="S352" s="96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6"/>
      <c r="B353" s="13"/>
      <c r="C353" s="16"/>
      <c r="D353" s="16"/>
      <c r="E353" s="16"/>
      <c r="F353" s="16"/>
      <c r="G353" s="16"/>
      <c r="H353" s="16"/>
      <c r="I353" s="125"/>
      <c r="J353" s="16"/>
      <c r="K353" s="13"/>
      <c r="L353" s="13"/>
      <c r="M353" s="13"/>
      <c r="N353" s="16"/>
      <c r="O353" s="16"/>
      <c r="P353" s="16"/>
      <c r="Q353" s="16"/>
      <c r="R353" s="96"/>
      <c r="S353" s="96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6"/>
      <c r="B354" s="13"/>
      <c r="C354" s="16"/>
      <c r="D354" s="16"/>
      <c r="E354" s="16"/>
      <c r="F354" s="16"/>
      <c r="G354" s="16"/>
      <c r="H354" s="16"/>
      <c r="I354" s="125"/>
      <c r="J354" s="16"/>
      <c r="K354" s="13"/>
      <c r="L354" s="13"/>
      <c r="M354" s="13"/>
      <c r="N354" s="16"/>
      <c r="O354" s="16"/>
      <c r="P354" s="16"/>
      <c r="Q354" s="16"/>
      <c r="R354" s="96"/>
      <c r="S354" s="96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6"/>
      <c r="B355" s="13"/>
      <c r="C355" s="16"/>
      <c r="D355" s="16"/>
      <c r="E355" s="16"/>
      <c r="F355" s="16"/>
      <c r="G355" s="16"/>
      <c r="H355" s="16"/>
      <c r="I355" s="125"/>
      <c r="J355" s="16"/>
      <c r="K355" s="13"/>
      <c r="L355" s="13"/>
      <c r="M355" s="13"/>
      <c r="N355" s="16"/>
      <c r="O355" s="16"/>
      <c r="P355" s="16"/>
      <c r="Q355" s="16"/>
      <c r="R355" s="96"/>
      <c r="S355" s="96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6"/>
      <c r="B356" s="13"/>
      <c r="C356" s="16"/>
      <c r="D356" s="16"/>
      <c r="E356" s="16"/>
      <c r="F356" s="16"/>
      <c r="G356" s="16"/>
      <c r="H356" s="16"/>
      <c r="I356" s="125"/>
      <c r="J356" s="16"/>
      <c r="K356" s="13"/>
      <c r="L356" s="13"/>
      <c r="M356" s="13"/>
      <c r="N356" s="16"/>
      <c r="O356" s="16"/>
      <c r="P356" s="16"/>
      <c r="Q356" s="16"/>
      <c r="R356" s="96"/>
      <c r="S356" s="96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6"/>
      <c r="B357" s="13"/>
      <c r="C357" s="16"/>
      <c r="D357" s="16"/>
      <c r="E357" s="16"/>
      <c r="F357" s="16"/>
      <c r="G357" s="16"/>
      <c r="H357" s="16"/>
      <c r="I357" s="125"/>
      <c r="J357" s="16"/>
      <c r="K357" s="13"/>
      <c r="L357" s="13"/>
      <c r="M357" s="13"/>
      <c r="N357" s="16"/>
      <c r="O357" s="16"/>
      <c r="P357" s="16"/>
      <c r="Q357" s="16"/>
      <c r="R357" s="96"/>
      <c r="S357" s="96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6"/>
      <c r="B358" s="13"/>
      <c r="C358" s="16"/>
      <c r="D358" s="16"/>
      <c r="E358" s="16"/>
      <c r="F358" s="16"/>
      <c r="G358" s="16"/>
      <c r="H358" s="16"/>
      <c r="I358" s="125"/>
      <c r="J358" s="16"/>
      <c r="K358" s="13"/>
      <c r="L358" s="13"/>
      <c r="M358" s="13"/>
      <c r="N358" s="16"/>
      <c r="O358" s="16"/>
      <c r="P358" s="16"/>
      <c r="Q358" s="16"/>
      <c r="R358" s="96"/>
      <c r="S358" s="96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6"/>
      <c r="B359" s="13"/>
      <c r="C359" s="16"/>
      <c r="D359" s="16"/>
      <c r="E359" s="16"/>
      <c r="F359" s="16"/>
      <c r="G359" s="16"/>
      <c r="H359" s="16"/>
      <c r="I359" s="125"/>
      <c r="J359" s="16"/>
      <c r="K359" s="13"/>
      <c r="L359" s="13"/>
      <c r="M359" s="13"/>
      <c r="N359" s="16"/>
      <c r="O359" s="16"/>
      <c r="P359" s="16"/>
      <c r="Q359" s="16"/>
      <c r="R359" s="96"/>
      <c r="S359" s="96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6"/>
      <c r="B360" s="13"/>
      <c r="C360" s="16"/>
      <c r="D360" s="16"/>
      <c r="E360" s="16"/>
      <c r="F360" s="16"/>
      <c r="G360" s="16"/>
      <c r="H360" s="16"/>
      <c r="I360" s="125"/>
      <c r="J360" s="16"/>
      <c r="K360" s="13"/>
      <c r="L360" s="13"/>
      <c r="M360" s="13"/>
      <c r="N360" s="16"/>
      <c r="O360" s="16"/>
      <c r="P360" s="16"/>
      <c r="Q360" s="16"/>
      <c r="R360" s="96"/>
      <c r="S360" s="96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6"/>
      <c r="B361" s="13"/>
      <c r="C361" s="16"/>
      <c r="D361" s="16"/>
      <c r="E361" s="16"/>
      <c r="F361" s="16"/>
      <c r="G361" s="16"/>
      <c r="H361" s="16"/>
      <c r="I361" s="125"/>
      <c r="J361" s="16"/>
      <c r="K361" s="13"/>
      <c r="L361" s="13"/>
      <c r="M361" s="13"/>
      <c r="N361" s="16"/>
      <c r="O361" s="16"/>
      <c r="P361" s="16"/>
      <c r="Q361" s="16"/>
      <c r="R361" s="96"/>
      <c r="S361" s="96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6"/>
      <c r="B362" s="13"/>
      <c r="C362" s="16"/>
      <c r="D362" s="16"/>
      <c r="E362" s="16"/>
      <c r="F362" s="16"/>
      <c r="G362" s="16"/>
      <c r="H362" s="16"/>
      <c r="I362" s="125"/>
      <c r="J362" s="16"/>
      <c r="K362" s="13"/>
      <c r="L362" s="13"/>
      <c r="M362" s="13"/>
      <c r="N362" s="16"/>
      <c r="O362" s="16"/>
      <c r="P362" s="16"/>
      <c r="Q362" s="16"/>
      <c r="R362" s="96"/>
      <c r="S362" s="96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6"/>
      <c r="B363" s="13"/>
      <c r="C363" s="16"/>
      <c r="D363" s="16"/>
      <c r="E363" s="16"/>
      <c r="F363" s="16"/>
      <c r="G363" s="16"/>
      <c r="H363" s="16"/>
      <c r="I363" s="125"/>
      <c r="J363" s="16"/>
      <c r="K363" s="13"/>
      <c r="L363" s="13"/>
      <c r="M363" s="13"/>
      <c r="N363" s="16"/>
      <c r="O363" s="16"/>
      <c r="P363" s="16"/>
      <c r="Q363" s="16"/>
      <c r="R363" s="96"/>
      <c r="S363" s="96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6"/>
      <c r="B364" s="13"/>
      <c r="C364" s="16"/>
      <c r="D364" s="16"/>
      <c r="E364" s="16"/>
      <c r="F364" s="16"/>
      <c r="G364" s="16"/>
      <c r="H364" s="16"/>
      <c r="I364" s="125"/>
      <c r="J364" s="16"/>
      <c r="K364" s="13"/>
      <c r="L364" s="13"/>
      <c r="M364" s="13"/>
      <c r="N364" s="16"/>
      <c r="O364" s="16"/>
      <c r="P364" s="16"/>
      <c r="Q364" s="16"/>
      <c r="R364" s="96"/>
      <c r="S364" s="96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6"/>
      <c r="B365" s="13"/>
      <c r="C365" s="16"/>
      <c r="D365" s="16"/>
      <c r="E365" s="16"/>
      <c r="F365" s="16"/>
      <c r="G365" s="16"/>
      <c r="H365" s="16"/>
      <c r="I365" s="125"/>
      <c r="J365" s="16"/>
      <c r="K365" s="13"/>
      <c r="L365" s="13"/>
      <c r="M365" s="13"/>
      <c r="N365" s="16"/>
      <c r="O365" s="16"/>
      <c r="P365" s="16"/>
      <c r="Q365" s="16"/>
      <c r="R365" s="96"/>
      <c r="S365" s="96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6"/>
      <c r="B366" s="13"/>
      <c r="C366" s="16"/>
      <c r="D366" s="16"/>
      <c r="E366" s="16"/>
      <c r="F366" s="16"/>
      <c r="G366" s="16"/>
      <c r="H366" s="16"/>
      <c r="I366" s="125"/>
      <c r="J366" s="16"/>
      <c r="K366" s="13"/>
      <c r="L366" s="13"/>
      <c r="M366" s="13"/>
      <c r="N366" s="16"/>
      <c r="O366" s="16"/>
      <c r="P366" s="16"/>
      <c r="Q366" s="16"/>
      <c r="R366" s="96"/>
      <c r="S366" s="96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6"/>
      <c r="B367" s="13"/>
      <c r="C367" s="16"/>
      <c r="D367" s="16"/>
      <c r="E367" s="16"/>
      <c r="F367" s="16"/>
      <c r="G367" s="16"/>
      <c r="H367" s="16"/>
      <c r="I367" s="125"/>
      <c r="J367" s="16"/>
      <c r="K367" s="13"/>
      <c r="L367" s="13"/>
      <c r="M367" s="13"/>
      <c r="N367" s="16"/>
      <c r="O367" s="16"/>
      <c r="P367" s="16"/>
      <c r="Q367" s="16"/>
      <c r="R367" s="96"/>
      <c r="S367" s="96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6"/>
      <c r="B368" s="13"/>
      <c r="C368" s="16"/>
      <c r="D368" s="16"/>
      <c r="E368" s="16"/>
      <c r="F368" s="16"/>
      <c r="G368" s="16"/>
      <c r="H368" s="16"/>
      <c r="I368" s="125"/>
      <c r="J368" s="16"/>
      <c r="K368" s="13"/>
      <c r="L368" s="13"/>
      <c r="M368" s="13"/>
      <c r="N368" s="16"/>
      <c r="O368" s="16"/>
      <c r="P368" s="16"/>
      <c r="Q368" s="16"/>
      <c r="R368" s="96"/>
      <c r="S368" s="96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6"/>
      <c r="B369" s="13"/>
      <c r="C369" s="16"/>
      <c r="D369" s="16"/>
      <c r="E369" s="16"/>
      <c r="F369" s="16"/>
      <c r="G369" s="16"/>
      <c r="H369" s="16"/>
      <c r="I369" s="125"/>
      <c r="J369" s="16"/>
      <c r="K369" s="13"/>
      <c r="L369" s="13"/>
      <c r="M369" s="13"/>
      <c r="N369" s="16"/>
      <c r="O369" s="16"/>
      <c r="P369" s="16"/>
      <c r="Q369" s="16"/>
      <c r="R369" s="96"/>
      <c r="S369" s="96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6"/>
      <c r="B370" s="13"/>
      <c r="C370" s="16"/>
      <c r="D370" s="16"/>
      <c r="E370" s="16"/>
      <c r="F370" s="16"/>
      <c r="G370" s="16"/>
      <c r="H370" s="16"/>
      <c r="I370" s="125"/>
      <c r="J370" s="16"/>
      <c r="K370" s="13"/>
      <c r="L370" s="13"/>
      <c r="M370" s="13"/>
      <c r="N370" s="16"/>
      <c r="O370" s="16"/>
      <c r="P370" s="16"/>
      <c r="Q370" s="16"/>
      <c r="R370" s="96"/>
      <c r="S370" s="96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6"/>
      <c r="B371" s="13"/>
      <c r="C371" s="16"/>
      <c r="D371" s="16"/>
      <c r="E371" s="16"/>
      <c r="F371" s="16"/>
      <c r="G371" s="16"/>
      <c r="H371" s="16"/>
      <c r="I371" s="125"/>
      <c r="J371" s="16"/>
      <c r="K371" s="13"/>
      <c r="L371" s="13"/>
      <c r="M371" s="13"/>
      <c r="N371" s="16"/>
      <c r="O371" s="16"/>
      <c r="P371" s="16"/>
      <c r="Q371" s="16"/>
      <c r="R371" s="96"/>
      <c r="S371" s="96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6"/>
      <c r="B372" s="13"/>
      <c r="C372" s="16"/>
      <c r="D372" s="16"/>
      <c r="E372" s="16"/>
      <c r="F372" s="16"/>
      <c r="G372" s="16"/>
      <c r="H372" s="16"/>
      <c r="I372" s="125"/>
      <c r="J372" s="16"/>
      <c r="K372" s="13"/>
      <c r="L372" s="13"/>
      <c r="M372" s="13"/>
      <c r="N372" s="16"/>
      <c r="O372" s="16"/>
      <c r="P372" s="16"/>
      <c r="Q372" s="16"/>
      <c r="R372" s="96"/>
      <c r="S372" s="96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6"/>
      <c r="B373" s="13"/>
      <c r="C373" s="16"/>
      <c r="D373" s="16"/>
      <c r="E373" s="16"/>
      <c r="F373" s="16"/>
      <c r="G373" s="16"/>
      <c r="H373" s="16"/>
      <c r="I373" s="125"/>
      <c r="J373" s="16"/>
      <c r="K373" s="13"/>
      <c r="L373" s="13"/>
      <c r="M373" s="13"/>
      <c r="N373" s="16"/>
      <c r="O373" s="16"/>
      <c r="P373" s="16"/>
      <c r="Q373" s="16"/>
      <c r="R373" s="96"/>
      <c r="S373" s="96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6"/>
      <c r="B374" s="13"/>
      <c r="C374" s="16"/>
      <c r="D374" s="16"/>
      <c r="E374" s="16"/>
      <c r="F374" s="16"/>
      <c r="G374" s="16"/>
      <c r="H374" s="16"/>
      <c r="I374" s="125"/>
      <c r="J374" s="16"/>
      <c r="K374" s="13"/>
      <c r="L374" s="13"/>
      <c r="M374" s="13"/>
      <c r="N374" s="16"/>
      <c r="O374" s="16"/>
      <c r="P374" s="16"/>
      <c r="Q374" s="16"/>
      <c r="R374" s="96"/>
      <c r="S374" s="96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6"/>
      <c r="B375" s="13"/>
      <c r="C375" s="16"/>
      <c r="D375" s="16"/>
      <c r="E375" s="16"/>
      <c r="F375" s="16"/>
      <c r="G375" s="16"/>
      <c r="H375" s="16"/>
      <c r="I375" s="125"/>
      <c r="J375" s="16"/>
      <c r="K375" s="13"/>
      <c r="L375" s="13"/>
      <c r="M375" s="13"/>
      <c r="N375" s="16"/>
      <c r="O375" s="16"/>
      <c r="P375" s="16"/>
      <c r="Q375" s="16"/>
      <c r="R375" s="96"/>
      <c r="S375" s="96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6"/>
      <c r="B376" s="13"/>
      <c r="C376" s="16"/>
      <c r="D376" s="16"/>
      <c r="E376" s="16"/>
      <c r="F376" s="16"/>
      <c r="G376" s="16"/>
      <c r="H376" s="16"/>
      <c r="I376" s="125"/>
      <c r="J376" s="16"/>
      <c r="K376" s="13"/>
      <c r="L376" s="13"/>
      <c r="M376" s="13"/>
      <c r="N376" s="16"/>
      <c r="O376" s="16"/>
      <c r="P376" s="16"/>
      <c r="Q376" s="16"/>
      <c r="R376" s="96"/>
      <c r="S376" s="96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6"/>
      <c r="B377" s="13"/>
      <c r="C377" s="16"/>
      <c r="D377" s="16"/>
      <c r="E377" s="16"/>
      <c r="F377" s="16"/>
      <c r="G377" s="16"/>
      <c r="H377" s="16"/>
      <c r="I377" s="125"/>
      <c r="J377" s="16"/>
      <c r="K377" s="13"/>
      <c r="L377" s="13"/>
      <c r="M377" s="13"/>
      <c r="N377" s="16"/>
      <c r="O377" s="16"/>
      <c r="P377" s="16"/>
      <c r="Q377" s="16"/>
      <c r="R377" s="96"/>
      <c r="S377" s="96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6"/>
      <c r="B378" s="13"/>
      <c r="C378" s="16"/>
      <c r="D378" s="16"/>
      <c r="E378" s="16"/>
      <c r="F378" s="16"/>
      <c r="G378" s="16"/>
      <c r="H378" s="16"/>
      <c r="I378" s="125"/>
      <c r="J378" s="16"/>
      <c r="K378" s="13"/>
      <c r="L378" s="13"/>
      <c r="M378" s="13"/>
      <c r="N378" s="16"/>
      <c r="O378" s="16"/>
      <c r="P378" s="16"/>
      <c r="Q378" s="16"/>
      <c r="R378" s="96"/>
      <c r="S378" s="96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6"/>
      <c r="B379" s="13"/>
      <c r="C379" s="16"/>
      <c r="D379" s="16"/>
      <c r="E379" s="16"/>
      <c r="F379" s="16"/>
      <c r="G379" s="16"/>
      <c r="H379" s="16"/>
      <c r="I379" s="125"/>
      <c r="J379" s="16"/>
      <c r="K379" s="13"/>
      <c r="L379" s="13"/>
      <c r="M379" s="13"/>
      <c r="N379" s="16"/>
      <c r="O379" s="16"/>
      <c r="P379" s="16"/>
      <c r="Q379" s="16"/>
      <c r="R379" s="96"/>
      <c r="S379" s="96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6"/>
      <c r="B380" s="13"/>
      <c r="C380" s="16"/>
      <c r="D380" s="16"/>
      <c r="E380" s="16"/>
      <c r="F380" s="16"/>
      <c r="G380" s="16"/>
      <c r="H380" s="16"/>
      <c r="I380" s="125"/>
      <c r="J380" s="16"/>
      <c r="K380" s="13"/>
      <c r="L380" s="13"/>
      <c r="M380" s="13"/>
      <c r="N380" s="16"/>
      <c r="O380" s="16"/>
      <c r="P380" s="16"/>
      <c r="Q380" s="16"/>
      <c r="R380" s="96"/>
      <c r="S380" s="96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6"/>
      <c r="B381" s="13"/>
      <c r="C381" s="16"/>
      <c r="D381" s="16"/>
      <c r="E381" s="16"/>
      <c r="F381" s="16"/>
      <c r="G381" s="16"/>
      <c r="H381" s="16"/>
      <c r="I381" s="125"/>
      <c r="J381" s="16"/>
      <c r="K381" s="13"/>
      <c r="L381" s="13"/>
      <c r="M381" s="13"/>
      <c r="N381" s="16"/>
      <c r="O381" s="16"/>
      <c r="P381" s="16"/>
      <c r="Q381" s="16"/>
      <c r="R381" s="96"/>
      <c r="S381" s="96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6"/>
      <c r="B382" s="13"/>
      <c r="C382" s="16"/>
      <c r="D382" s="16"/>
      <c r="E382" s="16"/>
      <c r="F382" s="16"/>
      <c r="G382" s="16"/>
      <c r="H382" s="16"/>
      <c r="I382" s="125"/>
      <c r="J382" s="16"/>
      <c r="K382" s="13"/>
      <c r="L382" s="13"/>
      <c r="M382" s="13"/>
      <c r="N382" s="16"/>
      <c r="O382" s="16"/>
      <c r="P382" s="16"/>
      <c r="Q382" s="16"/>
      <c r="R382" s="96"/>
      <c r="S382" s="96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6"/>
      <c r="B383" s="13"/>
      <c r="C383" s="16"/>
      <c r="D383" s="16"/>
      <c r="E383" s="16"/>
      <c r="F383" s="16"/>
      <c r="G383" s="16"/>
      <c r="H383" s="16"/>
      <c r="I383" s="125"/>
      <c r="J383" s="16"/>
      <c r="K383" s="13"/>
      <c r="L383" s="13"/>
      <c r="M383" s="13"/>
      <c r="N383" s="16"/>
      <c r="O383" s="16"/>
      <c r="P383" s="16"/>
      <c r="Q383" s="16"/>
      <c r="R383" s="96"/>
      <c r="S383" s="96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6"/>
      <c r="B384" s="13"/>
      <c r="C384" s="16"/>
      <c r="D384" s="16"/>
      <c r="E384" s="16"/>
      <c r="F384" s="16"/>
      <c r="G384" s="16"/>
      <c r="H384" s="16"/>
      <c r="I384" s="125"/>
      <c r="J384" s="16"/>
      <c r="K384" s="13"/>
      <c r="L384" s="13"/>
      <c r="M384" s="13"/>
      <c r="N384" s="16"/>
      <c r="O384" s="16"/>
      <c r="P384" s="16"/>
      <c r="Q384" s="16"/>
      <c r="R384" s="96"/>
      <c r="S384" s="96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6"/>
      <c r="B385" s="13"/>
      <c r="C385" s="16"/>
      <c r="D385" s="16"/>
      <c r="E385" s="16"/>
      <c r="F385" s="16"/>
      <c r="G385" s="16"/>
      <c r="H385" s="16"/>
      <c r="I385" s="125"/>
      <c r="J385" s="16"/>
      <c r="K385" s="13"/>
      <c r="L385" s="13"/>
      <c r="M385" s="13"/>
      <c r="N385" s="16"/>
      <c r="O385" s="16"/>
      <c r="P385" s="16"/>
      <c r="Q385" s="16"/>
      <c r="R385" s="96"/>
      <c r="S385" s="96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6"/>
      <c r="B386" s="13"/>
      <c r="C386" s="16"/>
      <c r="D386" s="16"/>
      <c r="E386" s="16"/>
      <c r="F386" s="16"/>
      <c r="G386" s="16"/>
      <c r="H386" s="16"/>
      <c r="I386" s="125"/>
      <c r="J386" s="16"/>
      <c r="K386" s="13"/>
      <c r="L386" s="13"/>
      <c r="M386" s="13"/>
      <c r="N386" s="16"/>
      <c r="O386" s="16"/>
      <c r="P386" s="16"/>
      <c r="Q386" s="16"/>
      <c r="R386" s="96"/>
      <c r="S386" s="96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6"/>
      <c r="B387" s="13"/>
      <c r="C387" s="16"/>
      <c r="D387" s="16"/>
      <c r="E387" s="16"/>
      <c r="F387" s="16"/>
      <c r="G387" s="16"/>
      <c r="H387" s="16"/>
      <c r="I387" s="125"/>
      <c r="J387" s="16"/>
      <c r="K387" s="13"/>
      <c r="L387" s="13"/>
      <c r="M387" s="13"/>
      <c r="N387" s="16"/>
      <c r="O387" s="16"/>
      <c r="P387" s="16"/>
      <c r="Q387" s="16"/>
      <c r="R387" s="96"/>
      <c r="S387" s="96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6"/>
      <c r="B388" s="13"/>
      <c r="C388" s="16"/>
      <c r="D388" s="16"/>
      <c r="E388" s="16"/>
      <c r="F388" s="16"/>
      <c r="G388" s="16"/>
      <c r="H388" s="16"/>
      <c r="I388" s="125"/>
      <c r="J388" s="16"/>
      <c r="K388" s="13"/>
      <c r="L388" s="13"/>
      <c r="M388" s="13"/>
      <c r="N388" s="16"/>
      <c r="O388" s="16"/>
      <c r="P388" s="16"/>
      <c r="Q388" s="16"/>
      <c r="R388" s="96"/>
      <c r="S388" s="96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6"/>
      <c r="B389" s="13"/>
      <c r="C389" s="16"/>
      <c r="D389" s="16"/>
      <c r="E389" s="16"/>
      <c r="F389" s="16"/>
      <c r="G389" s="16"/>
      <c r="H389" s="16"/>
      <c r="I389" s="125"/>
      <c r="J389" s="16"/>
      <c r="K389" s="13"/>
      <c r="L389" s="13"/>
      <c r="M389" s="13"/>
      <c r="N389" s="16"/>
      <c r="O389" s="16"/>
      <c r="P389" s="16"/>
      <c r="Q389" s="16"/>
      <c r="R389" s="96"/>
      <c r="S389" s="96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6"/>
      <c r="B390" s="13"/>
      <c r="C390" s="16"/>
      <c r="D390" s="16"/>
      <c r="E390" s="16"/>
      <c r="F390" s="16"/>
      <c r="G390" s="16"/>
      <c r="H390" s="16"/>
      <c r="I390" s="125"/>
      <c r="J390" s="16"/>
      <c r="K390" s="13"/>
      <c r="L390" s="13"/>
      <c r="M390" s="13"/>
      <c r="N390" s="16"/>
      <c r="O390" s="16"/>
      <c r="P390" s="16"/>
      <c r="Q390" s="16"/>
      <c r="R390" s="96"/>
      <c r="S390" s="96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6"/>
      <c r="B391" s="13"/>
      <c r="C391" s="16"/>
      <c r="D391" s="16"/>
      <c r="E391" s="16"/>
      <c r="F391" s="16"/>
      <c r="G391" s="16"/>
      <c r="H391" s="16"/>
      <c r="I391" s="125"/>
      <c r="J391" s="16"/>
      <c r="K391" s="13"/>
      <c r="L391" s="13"/>
      <c r="M391" s="13"/>
      <c r="N391" s="16"/>
      <c r="O391" s="16"/>
      <c r="P391" s="16"/>
      <c r="Q391" s="16"/>
      <c r="R391" s="96"/>
      <c r="S391" s="96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6"/>
      <c r="B392" s="13"/>
      <c r="C392" s="16"/>
      <c r="D392" s="16"/>
      <c r="E392" s="16"/>
      <c r="F392" s="16"/>
      <c r="G392" s="16"/>
      <c r="H392" s="16"/>
      <c r="I392" s="125"/>
      <c r="J392" s="16"/>
      <c r="K392" s="13"/>
      <c r="L392" s="13"/>
      <c r="M392" s="13"/>
      <c r="N392" s="16"/>
      <c r="O392" s="16"/>
      <c r="P392" s="16"/>
      <c r="Q392" s="16"/>
      <c r="R392" s="96"/>
      <c r="S392" s="96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6"/>
      <c r="B393" s="13"/>
      <c r="C393" s="16"/>
      <c r="D393" s="16"/>
      <c r="E393" s="16"/>
      <c r="F393" s="16"/>
      <c r="G393" s="16"/>
      <c r="H393" s="16"/>
      <c r="I393" s="125"/>
      <c r="J393" s="16"/>
      <c r="K393" s="13"/>
      <c r="L393" s="13"/>
      <c r="M393" s="13"/>
      <c r="N393" s="16"/>
      <c r="O393" s="16"/>
      <c r="P393" s="16"/>
      <c r="Q393" s="16"/>
      <c r="R393" s="96"/>
      <c r="S393" s="96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6"/>
      <c r="B394" s="13"/>
      <c r="C394" s="16"/>
      <c r="D394" s="16"/>
      <c r="E394" s="16"/>
      <c r="F394" s="16"/>
      <c r="G394" s="16"/>
      <c r="H394" s="16"/>
      <c r="I394" s="125"/>
      <c r="J394" s="16"/>
      <c r="K394" s="13"/>
      <c r="L394" s="13"/>
      <c r="M394" s="13"/>
      <c r="N394" s="16"/>
      <c r="O394" s="16"/>
      <c r="P394" s="16"/>
      <c r="Q394" s="16"/>
      <c r="R394" s="96"/>
      <c r="S394" s="96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6"/>
      <c r="B395" s="13"/>
      <c r="C395" s="16"/>
      <c r="D395" s="16"/>
      <c r="E395" s="16"/>
      <c r="F395" s="16"/>
      <c r="G395" s="16"/>
      <c r="H395" s="16"/>
      <c r="I395" s="125"/>
      <c r="J395" s="16"/>
      <c r="K395" s="13"/>
      <c r="L395" s="13"/>
      <c r="M395" s="13"/>
      <c r="N395" s="16"/>
      <c r="O395" s="16"/>
      <c r="P395" s="16"/>
      <c r="Q395" s="16"/>
      <c r="R395" s="96"/>
      <c r="S395" s="96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6"/>
      <c r="B396" s="13"/>
      <c r="C396" s="16"/>
      <c r="D396" s="16"/>
      <c r="E396" s="16"/>
      <c r="F396" s="16"/>
      <c r="G396" s="16"/>
      <c r="H396" s="16"/>
      <c r="I396" s="125"/>
      <c r="J396" s="16"/>
      <c r="K396" s="13"/>
      <c r="L396" s="13"/>
      <c r="M396" s="13"/>
      <c r="N396" s="16"/>
      <c r="O396" s="16"/>
      <c r="P396" s="16"/>
      <c r="Q396" s="16"/>
      <c r="R396" s="96"/>
      <c r="S396" s="96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6"/>
      <c r="B397" s="13"/>
      <c r="C397" s="16"/>
      <c r="D397" s="16"/>
      <c r="E397" s="16"/>
      <c r="F397" s="16"/>
      <c r="G397" s="16"/>
      <c r="H397" s="16"/>
      <c r="I397" s="125"/>
      <c r="J397" s="16"/>
      <c r="K397" s="13"/>
      <c r="L397" s="13"/>
      <c r="M397" s="13"/>
      <c r="N397" s="16"/>
      <c r="O397" s="16"/>
      <c r="P397" s="16"/>
      <c r="Q397" s="16"/>
      <c r="R397" s="96"/>
      <c r="S397" s="96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6"/>
      <c r="B398" s="13"/>
      <c r="C398" s="16"/>
      <c r="D398" s="16"/>
      <c r="E398" s="16"/>
      <c r="F398" s="16"/>
      <c r="G398" s="16"/>
      <c r="H398" s="16"/>
      <c r="I398" s="125"/>
      <c r="J398" s="16"/>
      <c r="K398" s="13"/>
      <c r="L398" s="13"/>
      <c r="M398" s="13"/>
      <c r="N398" s="16"/>
      <c r="O398" s="16"/>
      <c r="P398" s="16"/>
      <c r="Q398" s="16"/>
      <c r="R398" s="96"/>
      <c r="S398" s="96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6"/>
      <c r="B399" s="13"/>
      <c r="C399" s="16"/>
      <c r="D399" s="16"/>
      <c r="E399" s="16"/>
      <c r="F399" s="16"/>
      <c r="G399" s="16"/>
      <c r="H399" s="16"/>
      <c r="I399" s="125"/>
      <c r="J399" s="16"/>
      <c r="K399" s="13"/>
      <c r="L399" s="13"/>
      <c r="M399" s="13"/>
      <c r="N399" s="16"/>
      <c r="O399" s="16"/>
      <c r="P399" s="16"/>
      <c r="Q399" s="16"/>
      <c r="R399" s="96"/>
      <c r="S399" s="96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6"/>
      <c r="B400" s="13"/>
      <c r="C400" s="16"/>
      <c r="D400" s="16"/>
      <c r="E400" s="16"/>
      <c r="F400" s="16"/>
      <c r="G400" s="16"/>
      <c r="H400" s="16"/>
      <c r="I400" s="125"/>
      <c r="J400" s="16"/>
      <c r="K400" s="13"/>
      <c r="L400" s="13"/>
      <c r="M400" s="13"/>
      <c r="N400" s="16"/>
      <c r="O400" s="16"/>
      <c r="P400" s="16"/>
      <c r="Q400" s="16"/>
      <c r="R400" s="96"/>
      <c r="S400" s="96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6"/>
      <c r="B401" s="13"/>
      <c r="C401" s="16"/>
      <c r="D401" s="16"/>
      <c r="E401" s="16"/>
      <c r="F401" s="16"/>
      <c r="G401" s="16"/>
      <c r="H401" s="16"/>
      <c r="I401" s="125"/>
      <c r="J401" s="16"/>
      <c r="K401" s="13"/>
      <c r="L401" s="13"/>
      <c r="M401" s="13"/>
      <c r="N401" s="16"/>
      <c r="O401" s="16"/>
      <c r="P401" s="16"/>
      <c r="Q401" s="16"/>
      <c r="R401" s="96"/>
      <c r="S401" s="96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6"/>
      <c r="B402" s="13"/>
      <c r="C402" s="16"/>
      <c r="D402" s="16"/>
      <c r="E402" s="16"/>
      <c r="F402" s="16"/>
      <c r="G402" s="16"/>
      <c r="H402" s="16"/>
      <c r="I402" s="125"/>
      <c r="J402" s="16"/>
      <c r="K402" s="13"/>
      <c r="L402" s="13"/>
      <c r="M402" s="13"/>
      <c r="N402" s="16"/>
      <c r="O402" s="16"/>
      <c r="P402" s="16"/>
      <c r="Q402" s="16"/>
      <c r="R402" s="96"/>
      <c r="S402" s="96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6"/>
      <c r="B403" s="13"/>
      <c r="C403" s="16"/>
      <c r="D403" s="16"/>
      <c r="E403" s="16"/>
      <c r="F403" s="16"/>
      <c r="G403" s="16"/>
      <c r="H403" s="16"/>
      <c r="I403" s="125"/>
      <c r="J403" s="16"/>
      <c r="K403" s="13"/>
      <c r="L403" s="13"/>
      <c r="M403" s="13"/>
      <c r="N403" s="16"/>
      <c r="O403" s="16"/>
      <c r="P403" s="16"/>
      <c r="Q403" s="16"/>
      <c r="R403" s="96"/>
      <c r="S403" s="96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6"/>
      <c r="B404" s="13"/>
      <c r="C404" s="16"/>
      <c r="D404" s="16"/>
      <c r="E404" s="16"/>
      <c r="F404" s="16"/>
      <c r="G404" s="16"/>
      <c r="H404" s="16"/>
      <c r="I404" s="125"/>
      <c r="J404" s="16"/>
      <c r="K404" s="13"/>
      <c r="L404" s="13"/>
      <c r="M404" s="13"/>
      <c r="N404" s="16"/>
      <c r="O404" s="16"/>
      <c r="P404" s="16"/>
      <c r="Q404" s="16"/>
      <c r="R404" s="96"/>
      <c r="S404" s="96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6"/>
      <c r="B405" s="13"/>
      <c r="C405" s="16"/>
      <c r="D405" s="16"/>
      <c r="E405" s="16"/>
      <c r="F405" s="16"/>
      <c r="G405" s="16"/>
      <c r="H405" s="16"/>
      <c r="I405" s="125"/>
      <c r="J405" s="16"/>
      <c r="K405" s="13"/>
      <c r="L405" s="13"/>
      <c r="M405" s="13"/>
      <c r="N405" s="16"/>
      <c r="O405" s="16"/>
      <c r="P405" s="16"/>
      <c r="Q405" s="16"/>
      <c r="R405" s="96"/>
      <c r="S405" s="96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6"/>
      <c r="B406" s="13"/>
      <c r="C406" s="16"/>
      <c r="D406" s="16"/>
      <c r="E406" s="16"/>
      <c r="F406" s="16"/>
      <c r="G406" s="16"/>
      <c r="H406" s="16"/>
      <c r="I406" s="125"/>
      <c r="J406" s="16"/>
      <c r="K406" s="13"/>
      <c r="L406" s="13"/>
      <c r="M406" s="13"/>
      <c r="N406" s="16"/>
      <c r="O406" s="16"/>
      <c r="P406" s="16"/>
      <c r="Q406" s="16"/>
      <c r="R406" s="96"/>
      <c r="S406" s="96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6"/>
      <c r="B407" s="13"/>
      <c r="C407" s="16"/>
      <c r="D407" s="16"/>
      <c r="E407" s="16"/>
      <c r="F407" s="16"/>
      <c r="G407" s="16"/>
      <c r="H407" s="16"/>
      <c r="I407" s="125"/>
      <c r="J407" s="16"/>
      <c r="K407" s="13"/>
      <c r="L407" s="13"/>
      <c r="M407" s="13"/>
      <c r="N407" s="16"/>
      <c r="O407" s="16"/>
      <c r="P407" s="16"/>
      <c r="Q407" s="16"/>
      <c r="R407" s="96"/>
      <c r="S407" s="96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6"/>
      <c r="B408" s="13"/>
      <c r="C408" s="16"/>
      <c r="D408" s="16"/>
      <c r="E408" s="16"/>
      <c r="F408" s="16"/>
      <c r="G408" s="16"/>
      <c r="H408" s="16"/>
      <c r="I408" s="125"/>
      <c r="J408" s="16"/>
      <c r="K408" s="13"/>
      <c r="L408" s="13"/>
      <c r="M408" s="13"/>
      <c r="N408" s="16"/>
      <c r="O408" s="16"/>
      <c r="P408" s="16"/>
      <c r="Q408" s="16"/>
      <c r="R408" s="96"/>
      <c r="S408" s="96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6"/>
      <c r="B409" s="13"/>
      <c r="C409" s="16"/>
      <c r="D409" s="16"/>
      <c r="E409" s="16"/>
      <c r="F409" s="16"/>
      <c r="G409" s="16"/>
      <c r="H409" s="16"/>
      <c r="I409" s="125"/>
      <c r="J409" s="16"/>
      <c r="K409" s="13"/>
      <c r="L409" s="13"/>
      <c r="M409" s="13"/>
      <c r="N409" s="16"/>
      <c r="O409" s="16"/>
      <c r="P409" s="16"/>
      <c r="Q409" s="16"/>
      <c r="R409" s="96"/>
      <c r="S409" s="96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6"/>
      <c r="B410" s="13"/>
      <c r="C410" s="16"/>
      <c r="D410" s="16"/>
      <c r="E410" s="16"/>
      <c r="F410" s="16"/>
      <c r="G410" s="16"/>
      <c r="H410" s="16"/>
      <c r="I410" s="125"/>
      <c r="J410" s="16"/>
      <c r="K410" s="13"/>
      <c r="L410" s="13"/>
      <c r="M410" s="13"/>
      <c r="N410" s="16"/>
      <c r="O410" s="16"/>
      <c r="P410" s="16"/>
      <c r="Q410" s="16"/>
      <c r="R410" s="96"/>
      <c r="S410" s="96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6"/>
      <c r="B411" s="13"/>
      <c r="C411" s="16"/>
      <c r="D411" s="16"/>
      <c r="E411" s="16"/>
      <c r="F411" s="16"/>
      <c r="G411" s="16"/>
      <c r="H411" s="16"/>
      <c r="I411" s="125"/>
      <c r="J411" s="16"/>
      <c r="K411" s="13"/>
      <c r="L411" s="13"/>
      <c r="M411" s="13"/>
      <c r="N411" s="16"/>
      <c r="O411" s="16"/>
      <c r="P411" s="16"/>
      <c r="Q411" s="16"/>
      <c r="R411" s="96"/>
      <c r="S411" s="96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6"/>
      <c r="B412" s="13"/>
      <c r="C412" s="16"/>
      <c r="D412" s="16"/>
      <c r="E412" s="16"/>
      <c r="F412" s="16"/>
      <c r="G412" s="16"/>
      <c r="H412" s="16"/>
      <c r="I412" s="125"/>
      <c r="J412" s="16"/>
      <c r="K412" s="13"/>
      <c r="L412" s="13"/>
      <c r="M412" s="13"/>
      <c r="N412" s="16"/>
      <c r="O412" s="16"/>
      <c r="P412" s="16"/>
      <c r="Q412" s="16"/>
      <c r="R412" s="96"/>
      <c r="S412" s="96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6"/>
      <c r="B413" s="13"/>
      <c r="C413" s="16"/>
      <c r="D413" s="16"/>
      <c r="E413" s="16"/>
      <c r="F413" s="16"/>
      <c r="G413" s="16"/>
      <c r="H413" s="16"/>
      <c r="I413" s="125"/>
      <c r="J413" s="16"/>
      <c r="K413" s="13"/>
      <c r="L413" s="13"/>
      <c r="M413" s="13"/>
      <c r="N413" s="16"/>
      <c r="O413" s="16"/>
      <c r="P413" s="16"/>
      <c r="Q413" s="16"/>
      <c r="R413" s="96"/>
      <c r="S413" s="96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6"/>
      <c r="B414" s="13"/>
      <c r="C414" s="16"/>
      <c r="D414" s="16"/>
      <c r="E414" s="16"/>
      <c r="F414" s="16"/>
      <c r="G414" s="16"/>
      <c r="H414" s="16"/>
      <c r="I414" s="125"/>
      <c r="J414" s="16"/>
      <c r="K414" s="13"/>
      <c r="L414" s="13"/>
      <c r="M414" s="13"/>
      <c r="N414" s="16"/>
      <c r="O414" s="16"/>
      <c r="P414" s="16"/>
      <c r="Q414" s="16"/>
      <c r="R414" s="96"/>
      <c r="S414" s="96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6"/>
      <c r="B415" s="13"/>
      <c r="C415" s="16"/>
      <c r="D415" s="16"/>
      <c r="E415" s="16"/>
      <c r="F415" s="16"/>
      <c r="G415" s="16"/>
      <c r="H415" s="16"/>
      <c r="I415" s="125"/>
      <c r="J415" s="16"/>
      <c r="K415" s="13"/>
      <c r="L415" s="13"/>
      <c r="M415" s="13"/>
      <c r="N415" s="16"/>
      <c r="O415" s="16"/>
      <c r="P415" s="16"/>
      <c r="Q415" s="16"/>
      <c r="R415" s="96"/>
      <c r="S415" s="96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6"/>
      <c r="B416" s="13"/>
      <c r="C416" s="16"/>
      <c r="D416" s="16"/>
      <c r="E416" s="16"/>
      <c r="F416" s="16"/>
      <c r="G416" s="16"/>
      <c r="H416" s="16"/>
      <c r="I416" s="125"/>
      <c r="J416" s="16"/>
      <c r="K416" s="13"/>
      <c r="L416" s="13"/>
      <c r="M416" s="13"/>
      <c r="N416" s="16"/>
      <c r="O416" s="16"/>
      <c r="P416" s="16"/>
      <c r="Q416" s="16"/>
      <c r="R416" s="96"/>
      <c r="S416" s="96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6"/>
      <c r="B417" s="13"/>
      <c r="C417" s="16"/>
      <c r="D417" s="16"/>
      <c r="E417" s="16"/>
      <c r="F417" s="16"/>
      <c r="G417" s="16"/>
      <c r="H417" s="16"/>
      <c r="I417" s="125"/>
      <c r="J417" s="16"/>
      <c r="K417" s="13"/>
      <c r="L417" s="13"/>
      <c r="M417" s="13"/>
      <c r="N417" s="16"/>
      <c r="O417" s="16"/>
      <c r="P417" s="16"/>
      <c r="Q417" s="16"/>
      <c r="R417" s="96"/>
      <c r="S417" s="96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6"/>
      <c r="B418" s="13"/>
      <c r="C418" s="16"/>
      <c r="D418" s="16"/>
      <c r="E418" s="16"/>
      <c r="F418" s="16"/>
      <c r="G418" s="16"/>
      <c r="H418" s="16"/>
      <c r="I418" s="125"/>
      <c r="J418" s="16"/>
      <c r="K418" s="13"/>
      <c r="L418" s="13"/>
      <c r="M418" s="13"/>
      <c r="N418" s="16"/>
      <c r="O418" s="16"/>
      <c r="P418" s="16"/>
      <c r="Q418" s="16"/>
      <c r="R418" s="96"/>
      <c r="S418" s="96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6"/>
      <c r="B419" s="13"/>
      <c r="C419" s="16"/>
      <c r="D419" s="16"/>
      <c r="E419" s="16"/>
      <c r="F419" s="16"/>
      <c r="G419" s="16"/>
      <c r="H419" s="16"/>
      <c r="I419" s="125"/>
      <c r="J419" s="16"/>
      <c r="K419" s="13"/>
      <c r="L419" s="13"/>
      <c r="M419" s="13"/>
      <c r="N419" s="16"/>
      <c r="O419" s="16"/>
      <c r="P419" s="16"/>
      <c r="Q419" s="16"/>
      <c r="R419" s="96"/>
      <c r="S419" s="96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6"/>
      <c r="B420" s="13"/>
      <c r="C420" s="16"/>
      <c r="D420" s="16"/>
      <c r="E420" s="16"/>
      <c r="F420" s="16"/>
      <c r="G420" s="16"/>
      <c r="H420" s="16"/>
      <c r="I420" s="125"/>
      <c r="J420" s="16"/>
      <c r="K420" s="13"/>
      <c r="L420" s="13"/>
      <c r="M420" s="13"/>
      <c r="N420" s="16"/>
      <c r="O420" s="16"/>
      <c r="P420" s="16"/>
      <c r="Q420" s="16"/>
      <c r="R420" s="96"/>
      <c r="S420" s="96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6"/>
      <c r="B421" s="13"/>
      <c r="C421" s="16"/>
      <c r="D421" s="16"/>
      <c r="E421" s="16"/>
      <c r="F421" s="16"/>
      <c r="G421" s="16"/>
      <c r="H421" s="16"/>
      <c r="I421" s="125"/>
      <c r="J421" s="16"/>
      <c r="K421" s="13"/>
      <c r="L421" s="13"/>
      <c r="M421" s="13"/>
      <c r="N421" s="16"/>
      <c r="O421" s="16"/>
      <c r="P421" s="16"/>
      <c r="Q421" s="16"/>
      <c r="R421" s="96"/>
      <c r="S421" s="96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6"/>
      <c r="B422" s="13"/>
      <c r="C422" s="16"/>
      <c r="D422" s="16"/>
      <c r="E422" s="16"/>
      <c r="F422" s="16"/>
      <c r="G422" s="16"/>
      <c r="H422" s="16"/>
      <c r="I422" s="125"/>
      <c r="J422" s="16"/>
      <c r="K422" s="13"/>
      <c r="L422" s="13"/>
      <c r="M422" s="13"/>
      <c r="N422" s="16"/>
      <c r="O422" s="16"/>
      <c r="P422" s="16"/>
      <c r="Q422" s="16"/>
      <c r="R422" s="96"/>
      <c r="S422" s="96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6"/>
      <c r="B423" s="13"/>
      <c r="C423" s="16"/>
      <c r="D423" s="16"/>
      <c r="E423" s="16"/>
      <c r="F423" s="16"/>
      <c r="G423" s="16"/>
      <c r="H423" s="16"/>
      <c r="I423" s="125"/>
      <c r="J423" s="16"/>
      <c r="K423" s="13"/>
      <c r="L423" s="13"/>
      <c r="M423" s="13"/>
      <c r="N423" s="16"/>
      <c r="O423" s="16"/>
      <c r="P423" s="16"/>
      <c r="Q423" s="16"/>
      <c r="R423" s="96"/>
      <c r="S423" s="96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6"/>
      <c r="B424" s="13"/>
      <c r="C424" s="16"/>
      <c r="D424" s="16"/>
      <c r="E424" s="16"/>
      <c r="F424" s="16"/>
      <c r="G424" s="16"/>
      <c r="H424" s="16"/>
      <c r="I424" s="125"/>
      <c r="J424" s="16"/>
      <c r="K424" s="13"/>
      <c r="L424" s="13"/>
      <c r="M424" s="13"/>
      <c r="N424" s="16"/>
      <c r="O424" s="16"/>
      <c r="P424" s="16"/>
      <c r="Q424" s="16"/>
      <c r="R424" s="96"/>
      <c r="S424" s="96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6"/>
      <c r="B425" s="13"/>
      <c r="C425" s="16"/>
      <c r="D425" s="16"/>
      <c r="E425" s="16"/>
      <c r="F425" s="16"/>
      <c r="G425" s="16"/>
      <c r="H425" s="16"/>
      <c r="I425" s="125"/>
      <c r="J425" s="16"/>
      <c r="K425" s="13"/>
      <c r="L425" s="13"/>
      <c r="M425" s="13"/>
      <c r="N425" s="16"/>
      <c r="O425" s="16"/>
      <c r="P425" s="16"/>
      <c r="Q425" s="16"/>
      <c r="R425" s="96"/>
      <c r="S425" s="96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6"/>
      <c r="B426" s="13"/>
      <c r="C426" s="16"/>
      <c r="D426" s="16"/>
      <c r="E426" s="16"/>
      <c r="F426" s="16"/>
      <c r="G426" s="16"/>
      <c r="H426" s="16"/>
      <c r="I426" s="125"/>
      <c r="J426" s="16"/>
      <c r="K426" s="13"/>
      <c r="L426" s="13"/>
      <c r="M426" s="13"/>
      <c r="N426" s="16"/>
      <c r="O426" s="16"/>
      <c r="P426" s="16"/>
      <c r="Q426" s="16"/>
      <c r="R426" s="96"/>
      <c r="S426" s="96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6"/>
      <c r="B427" s="13"/>
      <c r="C427" s="16"/>
      <c r="D427" s="16"/>
      <c r="E427" s="16"/>
      <c r="F427" s="16"/>
      <c r="G427" s="16"/>
      <c r="H427" s="16"/>
      <c r="I427" s="125"/>
      <c r="J427" s="16"/>
      <c r="K427" s="13"/>
      <c r="L427" s="13"/>
      <c r="M427" s="13"/>
      <c r="N427" s="16"/>
      <c r="O427" s="16"/>
      <c r="P427" s="16"/>
      <c r="Q427" s="16"/>
      <c r="R427" s="96"/>
      <c r="S427" s="96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6"/>
      <c r="B428" s="13"/>
      <c r="C428" s="16"/>
      <c r="D428" s="16"/>
      <c r="E428" s="16"/>
      <c r="F428" s="16"/>
      <c r="G428" s="16"/>
      <c r="H428" s="16"/>
      <c r="I428" s="125"/>
      <c r="J428" s="16"/>
      <c r="K428" s="13"/>
      <c r="L428" s="13"/>
      <c r="M428" s="13"/>
      <c r="N428" s="16"/>
      <c r="O428" s="16"/>
      <c r="P428" s="16"/>
      <c r="Q428" s="16"/>
      <c r="R428" s="96"/>
      <c r="S428" s="96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6"/>
      <c r="B429" s="13"/>
      <c r="C429" s="16"/>
      <c r="D429" s="16"/>
      <c r="E429" s="16"/>
      <c r="F429" s="16"/>
      <c r="G429" s="16"/>
      <c r="H429" s="16"/>
      <c r="I429" s="125"/>
      <c r="J429" s="16"/>
      <c r="K429" s="13"/>
      <c r="L429" s="13"/>
      <c r="M429" s="13"/>
      <c r="N429" s="16"/>
      <c r="O429" s="16"/>
      <c r="P429" s="16"/>
      <c r="Q429" s="16"/>
      <c r="R429" s="96"/>
      <c r="S429" s="96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6"/>
      <c r="B430" s="13"/>
      <c r="C430" s="16"/>
      <c r="D430" s="16"/>
      <c r="E430" s="16"/>
      <c r="F430" s="16"/>
      <c r="G430" s="16"/>
      <c r="H430" s="16"/>
      <c r="I430" s="125"/>
      <c r="J430" s="16"/>
      <c r="K430" s="13"/>
      <c r="L430" s="13"/>
      <c r="M430" s="13"/>
      <c r="N430" s="16"/>
      <c r="O430" s="16"/>
      <c r="P430" s="16"/>
      <c r="Q430" s="16"/>
      <c r="R430" s="96"/>
      <c r="S430" s="96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6"/>
      <c r="B431" s="13"/>
      <c r="C431" s="16"/>
      <c r="D431" s="16"/>
      <c r="E431" s="16"/>
      <c r="F431" s="16"/>
      <c r="G431" s="16"/>
      <c r="H431" s="16"/>
      <c r="I431" s="125"/>
      <c r="J431" s="16"/>
      <c r="K431" s="13"/>
      <c r="L431" s="13"/>
      <c r="M431" s="13"/>
      <c r="N431" s="16"/>
      <c r="O431" s="16"/>
      <c r="P431" s="16"/>
      <c r="Q431" s="16"/>
      <c r="R431" s="96"/>
      <c r="S431" s="96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6"/>
      <c r="B432" s="13"/>
      <c r="C432" s="16"/>
      <c r="D432" s="16"/>
      <c r="E432" s="16"/>
      <c r="F432" s="16"/>
      <c r="G432" s="16"/>
      <c r="H432" s="16"/>
      <c r="I432" s="125"/>
      <c r="J432" s="16"/>
      <c r="K432" s="13"/>
      <c r="L432" s="13"/>
      <c r="M432" s="13"/>
      <c r="N432" s="16"/>
      <c r="O432" s="16"/>
      <c r="P432" s="16"/>
      <c r="Q432" s="16"/>
      <c r="R432" s="96"/>
      <c r="S432" s="96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6"/>
      <c r="B433" s="13"/>
      <c r="C433" s="16"/>
      <c r="D433" s="16"/>
      <c r="E433" s="16"/>
      <c r="F433" s="16"/>
      <c r="G433" s="16"/>
      <c r="H433" s="16"/>
      <c r="I433" s="125"/>
      <c r="J433" s="16"/>
      <c r="K433" s="13"/>
      <c r="L433" s="13"/>
      <c r="M433" s="13"/>
      <c r="N433" s="16"/>
      <c r="O433" s="16"/>
      <c r="P433" s="16"/>
      <c r="Q433" s="16"/>
      <c r="R433" s="96"/>
      <c r="S433" s="96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6"/>
      <c r="B434" s="13"/>
      <c r="C434" s="16"/>
      <c r="D434" s="16"/>
      <c r="E434" s="16"/>
      <c r="F434" s="16"/>
      <c r="G434" s="16"/>
      <c r="H434" s="16"/>
      <c r="I434" s="125"/>
      <c r="J434" s="16"/>
      <c r="K434" s="13"/>
      <c r="L434" s="13"/>
      <c r="M434" s="13"/>
      <c r="N434" s="16"/>
      <c r="O434" s="16"/>
      <c r="P434" s="16"/>
      <c r="Q434" s="16"/>
      <c r="R434" s="96"/>
      <c r="S434" s="96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6"/>
      <c r="B435" s="13"/>
      <c r="C435" s="16"/>
      <c r="D435" s="16"/>
      <c r="E435" s="16"/>
      <c r="F435" s="16"/>
      <c r="G435" s="16"/>
      <c r="H435" s="16"/>
      <c r="I435" s="125"/>
      <c r="J435" s="16"/>
      <c r="K435" s="13"/>
      <c r="L435" s="13"/>
      <c r="M435" s="13"/>
      <c r="N435" s="16"/>
      <c r="O435" s="16"/>
      <c r="P435" s="16"/>
      <c r="Q435" s="16"/>
      <c r="R435" s="96"/>
      <c r="S435" s="96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6"/>
      <c r="B436" s="13"/>
      <c r="C436" s="16"/>
      <c r="D436" s="16"/>
      <c r="E436" s="16"/>
      <c r="F436" s="16"/>
      <c r="G436" s="16"/>
      <c r="H436" s="16"/>
      <c r="I436" s="125"/>
      <c r="J436" s="16"/>
      <c r="K436" s="13"/>
      <c r="L436" s="13"/>
      <c r="M436" s="13"/>
      <c r="N436" s="16"/>
      <c r="O436" s="16"/>
      <c r="P436" s="16"/>
      <c r="Q436" s="16"/>
      <c r="R436" s="96"/>
      <c r="S436" s="96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6"/>
      <c r="B437" s="13"/>
      <c r="C437" s="16"/>
      <c r="D437" s="16"/>
      <c r="E437" s="16"/>
      <c r="F437" s="16"/>
      <c r="G437" s="16"/>
      <c r="H437" s="16"/>
      <c r="I437" s="125"/>
      <c r="J437" s="16"/>
      <c r="K437" s="13"/>
      <c r="L437" s="13"/>
      <c r="M437" s="13"/>
      <c r="N437" s="16"/>
      <c r="O437" s="16"/>
      <c r="P437" s="16"/>
      <c r="Q437" s="16"/>
      <c r="R437" s="96"/>
      <c r="S437" s="96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6"/>
      <c r="B438" s="13"/>
      <c r="C438" s="16"/>
      <c r="D438" s="16"/>
      <c r="E438" s="16"/>
      <c r="F438" s="16"/>
      <c r="G438" s="16"/>
      <c r="H438" s="16"/>
      <c r="I438" s="125"/>
      <c r="J438" s="16"/>
      <c r="K438" s="13"/>
      <c r="L438" s="13"/>
      <c r="M438" s="13"/>
      <c r="N438" s="16"/>
      <c r="O438" s="16"/>
      <c r="P438" s="16"/>
      <c r="Q438" s="16"/>
      <c r="R438" s="96"/>
      <c r="S438" s="96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6"/>
      <c r="B439" s="13"/>
      <c r="C439" s="16"/>
      <c r="D439" s="16"/>
      <c r="E439" s="16"/>
      <c r="F439" s="16"/>
      <c r="G439" s="16"/>
      <c r="H439" s="16"/>
      <c r="I439" s="125"/>
      <c r="J439" s="16"/>
      <c r="K439" s="13"/>
      <c r="L439" s="13"/>
      <c r="M439" s="13"/>
      <c r="N439" s="16"/>
      <c r="O439" s="16"/>
      <c r="P439" s="16"/>
      <c r="Q439" s="16"/>
      <c r="R439" s="96"/>
      <c r="S439" s="96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6"/>
      <c r="B440" s="13"/>
      <c r="C440" s="16"/>
      <c r="D440" s="16"/>
      <c r="E440" s="16"/>
      <c r="F440" s="16"/>
      <c r="G440" s="16"/>
      <c r="H440" s="16"/>
      <c r="I440" s="125"/>
      <c r="J440" s="16"/>
      <c r="K440" s="13"/>
      <c r="L440" s="13"/>
      <c r="M440" s="13"/>
      <c r="N440" s="16"/>
      <c r="O440" s="16"/>
      <c r="P440" s="16"/>
      <c r="Q440" s="16"/>
      <c r="R440" s="96"/>
      <c r="S440" s="96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6"/>
      <c r="B441" s="13"/>
      <c r="C441" s="16"/>
      <c r="D441" s="16"/>
      <c r="E441" s="16"/>
      <c r="F441" s="16"/>
      <c r="G441" s="16"/>
      <c r="H441" s="16"/>
      <c r="I441" s="125"/>
      <c r="J441" s="16"/>
      <c r="K441" s="13"/>
      <c r="L441" s="13"/>
      <c r="M441" s="13"/>
      <c r="N441" s="16"/>
      <c r="O441" s="16"/>
      <c r="P441" s="16"/>
      <c r="Q441" s="16"/>
      <c r="R441" s="96"/>
      <c r="S441" s="96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6"/>
      <c r="B442" s="13"/>
      <c r="C442" s="16"/>
      <c r="D442" s="16"/>
      <c r="E442" s="16"/>
      <c r="F442" s="16"/>
      <c r="G442" s="16"/>
      <c r="H442" s="16"/>
      <c r="I442" s="125"/>
      <c r="J442" s="16"/>
      <c r="K442" s="13"/>
      <c r="L442" s="13"/>
      <c r="M442" s="13"/>
      <c r="N442" s="16"/>
      <c r="O442" s="16"/>
      <c r="P442" s="16"/>
      <c r="Q442" s="16"/>
      <c r="R442" s="96"/>
      <c r="S442" s="96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6"/>
      <c r="B443" s="13"/>
      <c r="C443" s="16"/>
      <c r="D443" s="16"/>
      <c r="E443" s="16"/>
      <c r="F443" s="16"/>
      <c r="G443" s="16"/>
      <c r="H443" s="16"/>
      <c r="I443" s="125"/>
      <c r="J443" s="16"/>
      <c r="K443" s="13"/>
      <c r="L443" s="13"/>
      <c r="M443" s="13"/>
      <c r="N443" s="16"/>
      <c r="O443" s="16"/>
      <c r="P443" s="16"/>
      <c r="Q443" s="16"/>
      <c r="R443" s="96"/>
      <c r="S443" s="96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6"/>
      <c r="B444" s="13"/>
      <c r="C444" s="16"/>
      <c r="D444" s="16"/>
      <c r="E444" s="16"/>
      <c r="F444" s="16"/>
      <c r="G444" s="16"/>
      <c r="H444" s="16"/>
      <c r="I444" s="125"/>
      <c r="J444" s="16"/>
      <c r="K444" s="13"/>
      <c r="L444" s="13"/>
      <c r="M444" s="13"/>
      <c r="N444" s="16"/>
      <c r="O444" s="16"/>
      <c r="P444" s="16"/>
      <c r="Q444" s="16"/>
      <c r="R444" s="96"/>
      <c r="S444" s="96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6"/>
      <c r="B445" s="13"/>
      <c r="C445" s="16"/>
      <c r="D445" s="16"/>
      <c r="E445" s="16"/>
      <c r="F445" s="16"/>
      <c r="G445" s="16"/>
      <c r="H445" s="16"/>
      <c r="I445" s="125"/>
      <c r="J445" s="16"/>
      <c r="K445" s="13"/>
      <c r="L445" s="13"/>
      <c r="M445" s="13"/>
      <c r="N445" s="16"/>
      <c r="O445" s="16"/>
      <c r="P445" s="16"/>
      <c r="Q445" s="16"/>
      <c r="R445" s="96"/>
      <c r="S445" s="96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6"/>
      <c r="B446" s="13"/>
      <c r="C446" s="16"/>
      <c r="D446" s="16"/>
      <c r="E446" s="16"/>
      <c r="F446" s="16"/>
      <c r="G446" s="16"/>
      <c r="H446" s="16"/>
      <c r="I446" s="125"/>
      <c r="J446" s="16"/>
      <c r="K446" s="13"/>
      <c r="L446" s="13"/>
      <c r="M446" s="13"/>
      <c r="N446" s="16"/>
      <c r="O446" s="16"/>
      <c r="P446" s="16"/>
      <c r="Q446" s="16"/>
      <c r="R446" s="96"/>
      <c r="S446" s="96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6"/>
      <c r="B447" s="13"/>
      <c r="C447" s="16"/>
      <c r="D447" s="16"/>
      <c r="E447" s="16"/>
      <c r="F447" s="16"/>
      <c r="G447" s="16"/>
      <c r="H447" s="16"/>
      <c r="I447" s="125"/>
      <c r="J447" s="16"/>
      <c r="K447" s="13"/>
      <c r="L447" s="13"/>
      <c r="M447" s="13"/>
      <c r="N447" s="16"/>
      <c r="O447" s="16"/>
      <c r="P447" s="16"/>
      <c r="Q447" s="16"/>
      <c r="R447" s="96"/>
      <c r="S447" s="96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6"/>
      <c r="B448" s="13"/>
      <c r="C448" s="16"/>
      <c r="D448" s="16"/>
      <c r="E448" s="16"/>
      <c r="F448" s="16"/>
      <c r="G448" s="16"/>
      <c r="H448" s="16"/>
      <c r="I448" s="125"/>
      <c r="J448" s="16"/>
      <c r="K448" s="13"/>
      <c r="L448" s="13"/>
      <c r="M448" s="13"/>
      <c r="N448" s="16"/>
      <c r="O448" s="16"/>
      <c r="P448" s="16"/>
      <c r="Q448" s="16"/>
      <c r="R448" s="96"/>
      <c r="S448" s="96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6"/>
      <c r="B449" s="13"/>
      <c r="C449" s="16"/>
      <c r="D449" s="16"/>
      <c r="E449" s="16"/>
      <c r="F449" s="16"/>
      <c r="G449" s="16"/>
      <c r="H449" s="16"/>
      <c r="I449" s="125"/>
      <c r="J449" s="16"/>
      <c r="K449" s="13"/>
      <c r="L449" s="13"/>
      <c r="M449" s="13"/>
      <c r="N449" s="16"/>
      <c r="O449" s="16"/>
      <c r="P449" s="16"/>
      <c r="Q449" s="16"/>
      <c r="R449" s="96"/>
      <c r="S449" s="96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6"/>
      <c r="B450" s="13"/>
      <c r="C450" s="16"/>
      <c r="D450" s="16"/>
      <c r="E450" s="16"/>
      <c r="F450" s="16"/>
      <c r="G450" s="16"/>
      <c r="H450" s="16"/>
      <c r="I450" s="125"/>
      <c r="J450" s="16"/>
      <c r="K450" s="13"/>
      <c r="L450" s="13"/>
      <c r="M450" s="13"/>
      <c r="N450" s="16"/>
      <c r="O450" s="16"/>
      <c r="P450" s="16"/>
      <c r="Q450" s="16"/>
      <c r="R450" s="96"/>
      <c r="S450" s="96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6"/>
      <c r="B451" s="13"/>
      <c r="C451" s="16"/>
      <c r="D451" s="16"/>
      <c r="E451" s="16"/>
      <c r="F451" s="16"/>
      <c r="G451" s="16"/>
      <c r="H451" s="16"/>
      <c r="I451" s="125"/>
      <c r="J451" s="16"/>
      <c r="K451" s="13"/>
      <c r="L451" s="13"/>
      <c r="M451" s="13"/>
      <c r="N451" s="16"/>
      <c r="O451" s="16"/>
      <c r="P451" s="16"/>
      <c r="Q451" s="16"/>
      <c r="R451" s="96"/>
      <c r="S451" s="96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6"/>
      <c r="B452" s="13"/>
      <c r="C452" s="16"/>
      <c r="D452" s="16"/>
      <c r="E452" s="16"/>
      <c r="F452" s="16"/>
      <c r="G452" s="16"/>
      <c r="H452" s="16"/>
      <c r="I452" s="125"/>
      <c r="J452" s="16"/>
      <c r="K452" s="13"/>
      <c r="L452" s="13"/>
      <c r="M452" s="13"/>
      <c r="N452" s="16"/>
      <c r="O452" s="16"/>
      <c r="P452" s="16"/>
      <c r="Q452" s="16"/>
      <c r="R452" s="96"/>
      <c r="S452" s="96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6"/>
      <c r="B453" s="13"/>
      <c r="C453" s="16"/>
      <c r="D453" s="16"/>
      <c r="E453" s="16"/>
      <c r="F453" s="16"/>
      <c r="G453" s="16"/>
      <c r="H453" s="16"/>
      <c r="I453" s="125"/>
      <c r="J453" s="16"/>
      <c r="K453" s="13"/>
      <c r="L453" s="13"/>
      <c r="M453" s="13"/>
      <c r="N453" s="16"/>
      <c r="O453" s="16"/>
      <c r="P453" s="16"/>
      <c r="Q453" s="16"/>
      <c r="R453" s="96"/>
      <c r="S453" s="96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6"/>
      <c r="B454" s="13"/>
      <c r="C454" s="16"/>
      <c r="D454" s="16"/>
      <c r="E454" s="16"/>
      <c r="F454" s="16"/>
      <c r="G454" s="16"/>
      <c r="H454" s="16"/>
      <c r="I454" s="125"/>
      <c r="J454" s="16"/>
      <c r="K454" s="13"/>
      <c r="L454" s="13"/>
      <c r="M454" s="13"/>
      <c r="N454" s="16"/>
      <c r="O454" s="16"/>
      <c r="P454" s="16"/>
      <c r="Q454" s="16"/>
      <c r="R454" s="96"/>
      <c r="S454" s="96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6"/>
      <c r="B455" s="13"/>
      <c r="C455" s="16"/>
      <c r="D455" s="16"/>
      <c r="E455" s="16"/>
      <c r="F455" s="16"/>
      <c r="G455" s="16"/>
      <c r="H455" s="16"/>
      <c r="I455" s="125"/>
      <c r="J455" s="16"/>
      <c r="K455" s="13"/>
      <c r="L455" s="13"/>
      <c r="M455" s="13"/>
      <c r="N455" s="16"/>
      <c r="O455" s="16"/>
      <c r="P455" s="16"/>
      <c r="Q455" s="16"/>
      <c r="R455" s="96"/>
      <c r="S455" s="96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6"/>
      <c r="B456" s="13"/>
      <c r="C456" s="16"/>
      <c r="D456" s="16"/>
      <c r="E456" s="16"/>
      <c r="F456" s="16"/>
      <c r="G456" s="16"/>
      <c r="H456" s="16"/>
      <c r="I456" s="125"/>
      <c r="J456" s="16"/>
      <c r="K456" s="13"/>
      <c r="L456" s="13"/>
      <c r="M456" s="13"/>
      <c r="N456" s="16"/>
      <c r="O456" s="16"/>
      <c r="P456" s="16"/>
      <c r="Q456" s="16"/>
      <c r="R456" s="96"/>
      <c r="S456" s="96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6"/>
      <c r="B457" s="13"/>
      <c r="C457" s="16"/>
      <c r="D457" s="16"/>
      <c r="E457" s="16"/>
      <c r="F457" s="16"/>
      <c r="G457" s="16"/>
      <c r="H457" s="16"/>
      <c r="I457" s="125"/>
      <c r="J457" s="16"/>
      <c r="K457" s="13"/>
      <c r="L457" s="13"/>
      <c r="M457" s="13"/>
      <c r="N457" s="16"/>
      <c r="O457" s="16"/>
      <c r="P457" s="16"/>
      <c r="Q457" s="16"/>
      <c r="R457" s="96"/>
      <c r="S457" s="96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6"/>
      <c r="B458" s="13"/>
      <c r="C458" s="16"/>
      <c r="D458" s="16"/>
      <c r="E458" s="16"/>
      <c r="F458" s="16"/>
      <c r="G458" s="16"/>
      <c r="H458" s="16"/>
      <c r="I458" s="125"/>
      <c r="J458" s="16"/>
      <c r="K458" s="13"/>
      <c r="L458" s="13"/>
      <c r="M458" s="13"/>
      <c r="N458" s="16"/>
      <c r="O458" s="16"/>
      <c r="P458" s="16"/>
      <c r="Q458" s="16"/>
      <c r="R458" s="96"/>
      <c r="S458" s="96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6"/>
      <c r="B459" s="13"/>
      <c r="C459" s="16"/>
      <c r="D459" s="16"/>
      <c r="E459" s="16"/>
      <c r="F459" s="16"/>
      <c r="G459" s="16"/>
      <c r="H459" s="16"/>
      <c r="I459" s="125"/>
      <c r="J459" s="16"/>
      <c r="K459" s="13"/>
      <c r="L459" s="13"/>
      <c r="M459" s="13"/>
      <c r="N459" s="16"/>
      <c r="O459" s="16"/>
      <c r="P459" s="16"/>
      <c r="Q459" s="16"/>
      <c r="R459" s="96"/>
      <c r="S459" s="96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6"/>
      <c r="B460" s="13"/>
      <c r="C460" s="16"/>
      <c r="D460" s="16"/>
      <c r="E460" s="16"/>
      <c r="F460" s="16"/>
      <c r="G460" s="16"/>
      <c r="H460" s="16"/>
      <c r="I460" s="125"/>
      <c r="J460" s="16"/>
      <c r="K460" s="13"/>
      <c r="L460" s="13"/>
      <c r="M460" s="13"/>
      <c r="N460" s="16"/>
      <c r="O460" s="16"/>
      <c r="P460" s="16"/>
      <c r="Q460" s="16"/>
      <c r="R460" s="96"/>
      <c r="S460" s="96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6"/>
      <c r="B461" s="13"/>
      <c r="C461" s="16"/>
      <c r="D461" s="16"/>
      <c r="E461" s="16"/>
      <c r="F461" s="16"/>
      <c r="G461" s="16"/>
      <c r="H461" s="16"/>
      <c r="I461" s="125"/>
      <c r="J461" s="16"/>
      <c r="K461" s="13"/>
      <c r="L461" s="13"/>
      <c r="M461" s="13"/>
      <c r="N461" s="16"/>
      <c r="O461" s="16"/>
      <c r="P461" s="16"/>
      <c r="Q461" s="16"/>
      <c r="R461" s="96"/>
      <c r="S461" s="96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6"/>
      <c r="B462" s="13"/>
      <c r="C462" s="16"/>
      <c r="D462" s="16"/>
      <c r="E462" s="16"/>
      <c r="F462" s="16"/>
      <c r="G462" s="16"/>
      <c r="H462" s="16"/>
      <c r="I462" s="125"/>
      <c r="J462" s="16"/>
      <c r="K462" s="13"/>
      <c r="L462" s="13"/>
      <c r="M462" s="13"/>
      <c r="N462" s="16"/>
      <c r="O462" s="16"/>
      <c r="P462" s="16"/>
      <c r="Q462" s="16"/>
      <c r="R462" s="96"/>
      <c r="S462" s="96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6"/>
      <c r="B463" s="13"/>
      <c r="C463" s="16"/>
      <c r="D463" s="16"/>
      <c r="E463" s="16"/>
      <c r="F463" s="16"/>
      <c r="G463" s="16"/>
      <c r="H463" s="16"/>
      <c r="I463" s="125"/>
      <c r="J463" s="16"/>
      <c r="K463" s="13"/>
      <c r="L463" s="13"/>
      <c r="M463" s="13"/>
      <c r="N463" s="16"/>
      <c r="O463" s="16"/>
      <c r="P463" s="16"/>
      <c r="Q463" s="16"/>
      <c r="R463" s="96"/>
      <c r="S463" s="96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6"/>
      <c r="B464" s="13"/>
      <c r="C464" s="16"/>
      <c r="D464" s="16"/>
      <c r="E464" s="16"/>
      <c r="F464" s="16"/>
      <c r="G464" s="16"/>
      <c r="H464" s="16"/>
      <c r="I464" s="125"/>
      <c r="J464" s="16"/>
      <c r="K464" s="13"/>
      <c r="L464" s="13"/>
      <c r="M464" s="13"/>
      <c r="N464" s="16"/>
      <c r="O464" s="16"/>
      <c r="P464" s="16"/>
      <c r="Q464" s="16"/>
      <c r="R464" s="96"/>
      <c r="S464" s="96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6"/>
      <c r="B465" s="13"/>
      <c r="C465" s="16"/>
      <c r="D465" s="16"/>
      <c r="E465" s="16"/>
      <c r="F465" s="16"/>
      <c r="G465" s="16"/>
      <c r="H465" s="16"/>
      <c r="I465" s="125"/>
      <c r="J465" s="16"/>
      <c r="K465" s="13"/>
      <c r="L465" s="13"/>
      <c r="M465" s="13"/>
      <c r="N465" s="16"/>
      <c r="O465" s="16"/>
      <c r="P465" s="16"/>
      <c r="Q465" s="16"/>
      <c r="R465" s="96"/>
      <c r="S465" s="96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6"/>
      <c r="B466" s="13"/>
      <c r="C466" s="16"/>
      <c r="D466" s="16"/>
      <c r="E466" s="16"/>
      <c r="F466" s="16"/>
      <c r="G466" s="16"/>
      <c r="H466" s="16"/>
      <c r="I466" s="125"/>
      <c r="J466" s="16"/>
      <c r="K466" s="13"/>
      <c r="L466" s="13"/>
      <c r="M466" s="13"/>
      <c r="N466" s="16"/>
      <c r="O466" s="16"/>
      <c r="P466" s="16"/>
      <c r="Q466" s="16"/>
      <c r="R466" s="96"/>
      <c r="S466" s="96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6"/>
      <c r="B467" s="13"/>
      <c r="C467" s="16"/>
      <c r="D467" s="16"/>
      <c r="E467" s="16"/>
      <c r="F467" s="16"/>
      <c r="G467" s="16"/>
      <c r="H467" s="16"/>
      <c r="I467" s="125"/>
      <c r="J467" s="16"/>
      <c r="K467" s="13"/>
      <c r="L467" s="13"/>
      <c r="M467" s="13"/>
      <c r="N467" s="16"/>
      <c r="O467" s="16"/>
      <c r="P467" s="16"/>
      <c r="Q467" s="16"/>
      <c r="R467" s="96"/>
      <c r="S467" s="96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6"/>
      <c r="B468" s="13"/>
      <c r="C468" s="16"/>
      <c r="D468" s="16"/>
      <c r="E468" s="16"/>
      <c r="F468" s="16"/>
      <c r="G468" s="16"/>
      <c r="H468" s="16"/>
      <c r="I468" s="125"/>
      <c r="J468" s="16"/>
      <c r="K468" s="13"/>
      <c r="L468" s="13"/>
      <c r="M468" s="13"/>
      <c r="N468" s="16"/>
      <c r="O468" s="16"/>
      <c r="P468" s="16"/>
      <c r="Q468" s="16"/>
      <c r="R468" s="96"/>
      <c r="S468" s="96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6"/>
      <c r="B469" s="13"/>
      <c r="C469" s="16"/>
      <c r="D469" s="16"/>
      <c r="E469" s="16"/>
      <c r="F469" s="16"/>
      <c r="G469" s="16"/>
      <c r="H469" s="16"/>
      <c r="I469" s="125"/>
      <c r="J469" s="16"/>
      <c r="K469" s="13"/>
      <c r="L469" s="13"/>
      <c r="M469" s="13"/>
      <c r="N469" s="16"/>
      <c r="O469" s="16"/>
      <c r="P469" s="16"/>
      <c r="Q469" s="16"/>
      <c r="R469" s="96"/>
      <c r="S469" s="96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6"/>
      <c r="B470" s="13"/>
      <c r="C470" s="16"/>
      <c r="D470" s="16"/>
      <c r="E470" s="16"/>
      <c r="F470" s="16"/>
      <c r="G470" s="16"/>
      <c r="H470" s="16"/>
      <c r="I470" s="125"/>
      <c r="J470" s="16"/>
      <c r="K470" s="13"/>
      <c r="L470" s="13"/>
      <c r="M470" s="13"/>
      <c r="N470" s="16"/>
      <c r="O470" s="16"/>
      <c r="P470" s="16"/>
      <c r="Q470" s="16"/>
      <c r="R470" s="96"/>
      <c r="S470" s="96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6"/>
      <c r="B471" s="13"/>
      <c r="C471" s="16"/>
      <c r="D471" s="16"/>
      <c r="E471" s="16"/>
      <c r="F471" s="16"/>
      <c r="G471" s="16"/>
      <c r="H471" s="16"/>
      <c r="I471" s="125"/>
      <c r="J471" s="16"/>
      <c r="K471" s="13"/>
      <c r="L471" s="13"/>
      <c r="M471" s="13"/>
      <c r="N471" s="16"/>
      <c r="O471" s="16"/>
      <c r="P471" s="16"/>
      <c r="Q471" s="16"/>
      <c r="R471" s="96"/>
      <c r="S471" s="96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6"/>
      <c r="B472" s="13"/>
      <c r="C472" s="16"/>
      <c r="D472" s="16"/>
      <c r="E472" s="16"/>
      <c r="F472" s="16"/>
      <c r="G472" s="16"/>
      <c r="H472" s="16"/>
      <c r="I472" s="125"/>
      <c r="J472" s="16"/>
      <c r="K472" s="13"/>
      <c r="L472" s="13"/>
      <c r="M472" s="13"/>
      <c r="N472" s="16"/>
      <c r="O472" s="16"/>
      <c r="P472" s="16"/>
      <c r="Q472" s="16"/>
      <c r="R472" s="96"/>
      <c r="S472" s="96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6"/>
      <c r="B473" s="13"/>
      <c r="C473" s="16"/>
      <c r="D473" s="16"/>
      <c r="E473" s="16"/>
      <c r="F473" s="16"/>
      <c r="G473" s="16"/>
      <c r="H473" s="16"/>
      <c r="I473" s="125"/>
      <c r="J473" s="16"/>
      <c r="K473" s="13"/>
      <c r="L473" s="13"/>
      <c r="M473" s="13"/>
      <c r="N473" s="16"/>
      <c r="O473" s="16"/>
      <c r="P473" s="16"/>
      <c r="Q473" s="16"/>
      <c r="R473" s="96"/>
      <c r="S473" s="96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6"/>
      <c r="B474" s="13"/>
      <c r="C474" s="16"/>
      <c r="D474" s="16"/>
      <c r="E474" s="16"/>
      <c r="F474" s="16"/>
      <c r="G474" s="16"/>
      <c r="H474" s="16"/>
      <c r="I474" s="125"/>
      <c r="J474" s="16"/>
      <c r="K474" s="13"/>
      <c r="L474" s="13"/>
      <c r="M474" s="13"/>
      <c r="N474" s="16"/>
      <c r="O474" s="16"/>
      <c r="P474" s="16"/>
      <c r="Q474" s="16"/>
      <c r="R474" s="96"/>
      <c r="S474" s="96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6"/>
      <c r="B475" s="13"/>
      <c r="C475" s="16"/>
      <c r="D475" s="16"/>
      <c r="E475" s="16"/>
      <c r="F475" s="16"/>
      <c r="G475" s="16"/>
      <c r="H475" s="16"/>
      <c r="I475" s="125"/>
      <c r="J475" s="16"/>
      <c r="K475" s="13"/>
      <c r="L475" s="13"/>
      <c r="M475" s="13"/>
      <c r="N475" s="16"/>
      <c r="O475" s="16"/>
      <c r="P475" s="16"/>
      <c r="Q475" s="16"/>
      <c r="R475" s="96"/>
      <c r="S475" s="96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6"/>
      <c r="B476" s="13"/>
      <c r="C476" s="16"/>
      <c r="D476" s="16"/>
      <c r="E476" s="16"/>
      <c r="F476" s="16"/>
      <c r="G476" s="16"/>
      <c r="H476" s="16"/>
      <c r="I476" s="125"/>
      <c r="J476" s="16"/>
      <c r="K476" s="13"/>
      <c r="L476" s="13"/>
      <c r="M476" s="13"/>
      <c r="N476" s="16"/>
      <c r="O476" s="16"/>
      <c r="P476" s="16"/>
      <c r="Q476" s="16"/>
      <c r="R476" s="96"/>
      <c r="S476" s="96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6"/>
      <c r="B477" s="13"/>
      <c r="C477" s="16"/>
      <c r="D477" s="16"/>
      <c r="E477" s="16"/>
      <c r="F477" s="16"/>
      <c r="G477" s="16"/>
      <c r="H477" s="16"/>
      <c r="I477" s="125"/>
      <c r="J477" s="16"/>
      <c r="K477" s="13"/>
      <c r="L477" s="13"/>
      <c r="M477" s="13"/>
      <c r="N477" s="16"/>
      <c r="O477" s="16"/>
      <c r="P477" s="16"/>
      <c r="Q477" s="16"/>
      <c r="R477" s="96"/>
      <c r="S477" s="96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6"/>
      <c r="B478" s="13"/>
      <c r="C478" s="16"/>
      <c r="D478" s="16"/>
      <c r="E478" s="16"/>
      <c r="F478" s="16"/>
      <c r="G478" s="16"/>
      <c r="H478" s="16"/>
      <c r="I478" s="125"/>
      <c r="J478" s="16"/>
      <c r="K478" s="13"/>
      <c r="L478" s="13"/>
      <c r="M478" s="13"/>
      <c r="N478" s="16"/>
      <c r="O478" s="16"/>
      <c r="P478" s="16"/>
      <c r="Q478" s="16"/>
      <c r="R478" s="96"/>
      <c r="S478" s="96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6"/>
      <c r="B479" s="13"/>
      <c r="C479" s="16"/>
      <c r="D479" s="16"/>
      <c r="E479" s="16"/>
      <c r="F479" s="16"/>
      <c r="G479" s="16"/>
      <c r="H479" s="16"/>
      <c r="I479" s="125"/>
      <c r="J479" s="16"/>
      <c r="K479" s="13"/>
      <c r="L479" s="13"/>
      <c r="M479" s="13"/>
      <c r="N479" s="16"/>
      <c r="O479" s="16"/>
      <c r="P479" s="16"/>
      <c r="Q479" s="16"/>
      <c r="R479" s="96"/>
      <c r="S479" s="96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6"/>
      <c r="B480" s="13"/>
      <c r="C480" s="16"/>
      <c r="D480" s="16"/>
      <c r="E480" s="16"/>
      <c r="F480" s="16"/>
      <c r="G480" s="16"/>
      <c r="H480" s="16"/>
      <c r="I480" s="125"/>
      <c r="J480" s="16"/>
      <c r="K480" s="13"/>
      <c r="L480" s="13"/>
      <c r="M480" s="13"/>
      <c r="N480" s="16"/>
      <c r="O480" s="16"/>
      <c r="P480" s="16"/>
      <c r="Q480" s="16"/>
      <c r="R480" s="96"/>
      <c r="S480" s="96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6"/>
      <c r="B481" s="13"/>
      <c r="C481" s="16"/>
      <c r="D481" s="16"/>
      <c r="E481" s="16"/>
      <c r="F481" s="16"/>
      <c r="G481" s="16"/>
      <c r="H481" s="16"/>
      <c r="I481" s="125"/>
      <c r="J481" s="16"/>
      <c r="K481" s="13"/>
      <c r="L481" s="13"/>
      <c r="M481" s="13"/>
      <c r="N481" s="16"/>
      <c r="O481" s="16"/>
      <c r="P481" s="16"/>
      <c r="Q481" s="16"/>
      <c r="R481" s="96"/>
      <c r="S481" s="96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6"/>
      <c r="B482" s="13"/>
      <c r="C482" s="16"/>
      <c r="D482" s="16"/>
      <c r="E482" s="16"/>
      <c r="F482" s="16"/>
      <c r="G482" s="16"/>
      <c r="H482" s="16"/>
      <c r="I482" s="125"/>
      <c r="J482" s="16"/>
      <c r="K482" s="13"/>
      <c r="L482" s="13"/>
      <c r="M482" s="13"/>
      <c r="N482" s="16"/>
      <c r="O482" s="16"/>
      <c r="P482" s="16"/>
      <c r="Q482" s="16"/>
      <c r="R482" s="96"/>
      <c r="S482" s="96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6"/>
      <c r="B483" s="13"/>
      <c r="C483" s="16"/>
      <c r="D483" s="16"/>
      <c r="E483" s="16"/>
      <c r="F483" s="16"/>
      <c r="G483" s="16"/>
      <c r="H483" s="16"/>
      <c r="I483" s="125"/>
      <c r="J483" s="16"/>
      <c r="K483" s="13"/>
      <c r="L483" s="13"/>
      <c r="M483" s="13"/>
      <c r="N483" s="16"/>
      <c r="O483" s="16"/>
      <c r="P483" s="16"/>
      <c r="Q483" s="16"/>
      <c r="R483" s="96"/>
      <c r="S483" s="96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6"/>
      <c r="B484" s="13"/>
      <c r="C484" s="16"/>
      <c r="D484" s="16"/>
      <c r="E484" s="16"/>
      <c r="F484" s="16"/>
      <c r="G484" s="16"/>
      <c r="H484" s="16"/>
      <c r="I484" s="125"/>
      <c r="J484" s="16"/>
      <c r="K484" s="13"/>
      <c r="L484" s="13"/>
      <c r="M484" s="13"/>
      <c r="N484" s="16"/>
      <c r="O484" s="16"/>
      <c r="P484" s="16"/>
      <c r="Q484" s="16"/>
      <c r="R484" s="96"/>
      <c r="S484" s="96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6"/>
      <c r="B485" s="13"/>
      <c r="C485" s="16"/>
      <c r="D485" s="16"/>
      <c r="E485" s="16"/>
      <c r="F485" s="16"/>
      <c r="G485" s="16"/>
      <c r="H485" s="16"/>
      <c r="I485" s="125"/>
      <c r="J485" s="16"/>
      <c r="K485" s="13"/>
      <c r="L485" s="13"/>
      <c r="M485" s="13"/>
      <c r="N485" s="16"/>
      <c r="O485" s="16"/>
      <c r="P485" s="16"/>
      <c r="Q485" s="16"/>
      <c r="R485" s="96"/>
      <c r="S485" s="96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6"/>
      <c r="B486" s="13"/>
      <c r="C486" s="16"/>
      <c r="D486" s="16"/>
      <c r="E486" s="16"/>
      <c r="F486" s="16"/>
      <c r="G486" s="16"/>
      <c r="H486" s="16"/>
      <c r="I486" s="125"/>
      <c r="J486" s="16"/>
      <c r="K486" s="13"/>
      <c r="L486" s="13"/>
      <c r="M486" s="13"/>
      <c r="N486" s="16"/>
      <c r="O486" s="16"/>
      <c r="P486" s="16"/>
      <c r="Q486" s="16"/>
      <c r="R486" s="96"/>
      <c r="S486" s="96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6"/>
      <c r="B487" s="13"/>
      <c r="C487" s="16"/>
      <c r="D487" s="16"/>
      <c r="E487" s="16"/>
      <c r="F487" s="16"/>
      <c r="G487" s="16"/>
      <c r="H487" s="16"/>
      <c r="I487" s="125"/>
      <c r="J487" s="16"/>
      <c r="K487" s="13"/>
      <c r="L487" s="13"/>
      <c r="M487" s="13"/>
      <c r="N487" s="16"/>
      <c r="O487" s="16"/>
      <c r="P487" s="16"/>
      <c r="Q487" s="16"/>
      <c r="R487" s="96"/>
      <c r="S487" s="96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6"/>
      <c r="B488" s="13"/>
      <c r="C488" s="16"/>
      <c r="D488" s="16"/>
      <c r="E488" s="16"/>
      <c r="F488" s="16"/>
      <c r="G488" s="16"/>
      <c r="H488" s="16"/>
      <c r="I488" s="125"/>
      <c r="J488" s="16"/>
      <c r="K488" s="13"/>
      <c r="L488" s="13"/>
      <c r="M488" s="13"/>
      <c r="N488" s="16"/>
      <c r="O488" s="16"/>
      <c r="P488" s="16"/>
      <c r="Q488" s="16"/>
      <c r="R488" s="96"/>
      <c r="S488" s="96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6"/>
      <c r="B489" s="13"/>
      <c r="C489" s="16"/>
      <c r="D489" s="16"/>
      <c r="E489" s="16"/>
      <c r="F489" s="16"/>
      <c r="G489" s="16"/>
      <c r="H489" s="16"/>
      <c r="I489" s="125"/>
      <c r="J489" s="16"/>
      <c r="K489" s="13"/>
      <c r="L489" s="13"/>
      <c r="M489" s="13"/>
      <c r="N489" s="16"/>
      <c r="O489" s="16"/>
      <c r="P489" s="16"/>
      <c r="Q489" s="16"/>
      <c r="R489" s="96"/>
      <c r="S489" s="96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6"/>
      <c r="B490" s="13"/>
      <c r="C490" s="16"/>
      <c r="D490" s="16"/>
      <c r="E490" s="16"/>
      <c r="F490" s="16"/>
      <c r="G490" s="16"/>
      <c r="H490" s="16"/>
      <c r="I490" s="125"/>
      <c r="J490" s="16"/>
      <c r="K490" s="13"/>
      <c r="L490" s="13"/>
      <c r="M490" s="13"/>
      <c r="N490" s="16"/>
      <c r="O490" s="16"/>
      <c r="P490" s="16"/>
      <c r="Q490" s="16"/>
      <c r="R490" s="96"/>
      <c r="S490" s="96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6"/>
      <c r="B491" s="13"/>
      <c r="C491" s="16"/>
      <c r="D491" s="16"/>
      <c r="E491" s="16"/>
      <c r="F491" s="16"/>
      <c r="G491" s="16"/>
      <c r="H491" s="16"/>
      <c r="I491" s="125"/>
      <c r="J491" s="16"/>
      <c r="K491" s="13"/>
      <c r="L491" s="13"/>
      <c r="M491" s="13"/>
      <c r="N491" s="16"/>
      <c r="O491" s="16"/>
      <c r="P491" s="16"/>
      <c r="Q491" s="16"/>
      <c r="R491" s="96"/>
      <c r="S491" s="96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6"/>
      <c r="B492" s="13"/>
      <c r="C492" s="16"/>
      <c r="D492" s="16"/>
      <c r="E492" s="16"/>
      <c r="F492" s="16"/>
      <c r="G492" s="16"/>
      <c r="H492" s="16"/>
      <c r="I492" s="125"/>
      <c r="J492" s="16"/>
      <c r="K492" s="13"/>
      <c r="L492" s="13"/>
      <c r="M492" s="13"/>
      <c r="N492" s="16"/>
      <c r="O492" s="16"/>
      <c r="P492" s="16"/>
      <c r="Q492" s="16"/>
      <c r="R492" s="96"/>
      <c r="S492" s="96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6"/>
      <c r="B493" s="13"/>
      <c r="C493" s="16"/>
      <c r="D493" s="16"/>
      <c r="E493" s="16"/>
      <c r="F493" s="16"/>
      <c r="G493" s="16"/>
      <c r="H493" s="16"/>
      <c r="I493" s="125"/>
      <c r="J493" s="16"/>
      <c r="K493" s="13"/>
      <c r="L493" s="13"/>
      <c r="M493" s="13"/>
      <c r="N493" s="16"/>
      <c r="O493" s="16"/>
      <c r="P493" s="16"/>
      <c r="Q493" s="16"/>
      <c r="R493" s="96"/>
      <c r="S493" s="96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6"/>
      <c r="B494" s="13"/>
      <c r="C494" s="16"/>
      <c r="D494" s="16"/>
      <c r="E494" s="16"/>
      <c r="F494" s="16"/>
      <c r="G494" s="16"/>
      <c r="H494" s="16"/>
      <c r="I494" s="125"/>
      <c r="J494" s="16"/>
      <c r="K494" s="13"/>
      <c r="L494" s="13"/>
      <c r="M494" s="13"/>
      <c r="N494" s="16"/>
      <c r="O494" s="16"/>
      <c r="P494" s="16"/>
      <c r="Q494" s="16"/>
      <c r="R494" s="96"/>
      <c r="S494" s="96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6"/>
      <c r="B495" s="13"/>
      <c r="C495" s="16"/>
      <c r="D495" s="16"/>
      <c r="E495" s="16"/>
      <c r="F495" s="16"/>
      <c r="G495" s="16"/>
      <c r="H495" s="16"/>
      <c r="I495" s="125"/>
      <c r="J495" s="16"/>
      <c r="K495" s="13"/>
      <c r="L495" s="13"/>
      <c r="M495" s="13"/>
      <c r="N495" s="16"/>
      <c r="O495" s="16"/>
      <c r="P495" s="16"/>
      <c r="Q495" s="16"/>
      <c r="R495" s="96"/>
      <c r="S495" s="96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6"/>
      <c r="B496" s="13"/>
      <c r="C496" s="16"/>
      <c r="D496" s="16"/>
      <c r="E496" s="16"/>
      <c r="F496" s="16"/>
      <c r="G496" s="16"/>
      <c r="H496" s="16"/>
      <c r="I496" s="125"/>
      <c r="J496" s="16"/>
      <c r="K496" s="13"/>
      <c r="L496" s="13"/>
      <c r="M496" s="13"/>
      <c r="N496" s="16"/>
      <c r="O496" s="16"/>
      <c r="P496" s="16"/>
      <c r="Q496" s="16"/>
      <c r="R496" s="96"/>
      <c r="S496" s="96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6"/>
      <c r="B497" s="13"/>
      <c r="C497" s="16"/>
      <c r="D497" s="16"/>
      <c r="E497" s="16"/>
      <c r="F497" s="16"/>
      <c r="G497" s="16"/>
      <c r="H497" s="16"/>
      <c r="I497" s="125"/>
      <c r="J497" s="16"/>
      <c r="K497" s="13"/>
      <c r="L497" s="13"/>
      <c r="M497" s="13"/>
      <c r="N497" s="16"/>
      <c r="O497" s="16"/>
      <c r="P497" s="16"/>
      <c r="Q497" s="16"/>
      <c r="R497" s="96"/>
      <c r="S497" s="96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6"/>
      <c r="B498" s="13"/>
      <c r="C498" s="16"/>
      <c r="D498" s="16"/>
      <c r="E498" s="16"/>
      <c r="F498" s="16"/>
      <c r="G498" s="16"/>
      <c r="H498" s="16"/>
      <c r="I498" s="125"/>
      <c r="J498" s="16"/>
      <c r="K498" s="13"/>
      <c r="L498" s="13"/>
      <c r="M498" s="13"/>
      <c r="N498" s="16"/>
      <c r="O498" s="16"/>
      <c r="P498" s="16"/>
      <c r="Q498" s="16"/>
      <c r="R498" s="96"/>
      <c r="S498" s="96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6"/>
      <c r="B499" s="13"/>
      <c r="C499" s="16"/>
      <c r="D499" s="16"/>
      <c r="E499" s="16"/>
      <c r="F499" s="16"/>
      <c r="G499" s="16"/>
      <c r="H499" s="16"/>
      <c r="I499" s="125"/>
      <c r="J499" s="16"/>
      <c r="K499" s="13"/>
      <c r="L499" s="13"/>
      <c r="M499" s="13"/>
      <c r="N499" s="16"/>
      <c r="O499" s="16"/>
      <c r="P499" s="16"/>
      <c r="Q499" s="16"/>
      <c r="R499" s="96"/>
      <c r="S499" s="96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6"/>
      <c r="B500" s="13"/>
      <c r="C500" s="16"/>
      <c r="D500" s="16"/>
      <c r="E500" s="16"/>
      <c r="F500" s="16"/>
      <c r="G500" s="16"/>
      <c r="H500" s="16"/>
      <c r="I500" s="125"/>
      <c r="J500" s="16"/>
      <c r="K500" s="13"/>
      <c r="L500" s="13"/>
      <c r="M500" s="13"/>
      <c r="N500" s="16"/>
      <c r="O500" s="16"/>
      <c r="P500" s="16"/>
      <c r="Q500" s="16"/>
      <c r="R500" s="96"/>
      <c r="S500" s="96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6"/>
      <c r="B501" s="13"/>
      <c r="C501" s="16"/>
      <c r="D501" s="16"/>
      <c r="E501" s="16"/>
      <c r="F501" s="16"/>
      <c r="G501" s="16"/>
      <c r="H501" s="16"/>
      <c r="I501" s="125"/>
      <c r="J501" s="16"/>
      <c r="K501" s="13"/>
      <c r="L501" s="13"/>
      <c r="M501" s="13"/>
      <c r="N501" s="16"/>
      <c r="O501" s="16"/>
      <c r="P501" s="16"/>
      <c r="Q501" s="16"/>
      <c r="R501" s="96"/>
      <c r="S501" s="96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6"/>
      <c r="B502" s="13"/>
      <c r="C502" s="16"/>
      <c r="D502" s="16"/>
      <c r="E502" s="16"/>
      <c r="F502" s="16"/>
      <c r="G502" s="16"/>
      <c r="H502" s="16"/>
      <c r="I502" s="125"/>
      <c r="J502" s="16"/>
      <c r="K502" s="13"/>
      <c r="L502" s="13"/>
      <c r="M502" s="13"/>
      <c r="N502" s="16"/>
      <c r="O502" s="16"/>
      <c r="P502" s="16"/>
      <c r="Q502" s="16"/>
      <c r="R502" s="96"/>
      <c r="S502" s="96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6"/>
      <c r="B503" s="13"/>
      <c r="C503" s="16"/>
      <c r="D503" s="16"/>
      <c r="E503" s="16"/>
      <c r="F503" s="16"/>
      <c r="G503" s="16"/>
      <c r="H503" s="16"/>
      <c r="I503" s="125"/>
      <c r="J503" s="16"/>
      <c r="K503" s="13"/>
      <c r="L503" s="13"/>
      <c r="M503" s="13"/>
      <c r="N503" s="16"/>
      <c r="O503" s="16"/>
      <c r="P503" s="16"/>
      <c r="Q503" s="16"/>
      <c r="R503" s="96"/>
      <c r="S503" s="96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6"/>
      <c r="B504" s="13"/>
      <c r="C504" s="16"/>
      <c r="D504" s="16"/>
      <c r="E504" s="16"/>
      <c r="F504" s="16"/>
      <c r="G504" s="16"/>
      <c r="H504" s="16"/>
      <c r="I504" s="125"/>
      <c r="J504" s="16"/>
      <c r="K504" s="13"/>
      <c r="L504" s="13"/>
      <c r="M504" s="13"/>
      <c r="N504" s="16"/>
      <c r="O504" s="16"/>
      <c r="P504" s="16"/>
      <c r="Q504" s="16"/>
      <c r="R504" s="96"/>
      <c r="S504" s="96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6"/>
      <c r="B505" s="13"/>
      <c r="C505" s="16"/>
      <c r="D505" s="16"/>
      <c r="E505" s="16"/>
      <c r="F505" s="16"/>
      <c r="G505" s="16"/>
      <c r="H505" s="16"/>
      <c r="I505" s="125"/>
      <c r="J505" s="16"/>
      <c r="K505" s="13"/>
      <c r="L505" s="13"/>
      <c r="M505" s="13"/>
      <c r="N505" s="16"/>
      <c r="O505" s="16"/>
      <c r="P505" s="16"/>
      <c r="Q505" s="16"/>
      <c r="R505" s="96"/>
      <c r="S505" s="96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6"/>
      <c r="B506" s="13"/>
      <c r="C506" s="16"/>
      <c r="D506" s="16"/>
      <c r="E506" s="16"/>
      <c r="F506" s="16"/>
      <c r="G506" s="16"/>
      <c r="H506" s="16"/>
      <c r="I506" s="125"/>
      <c r="J506" s="16"/>
      <c r="K506" s="13"/>
      <c r="L506" s="13"/>
      <c r="M506" s="13"/>
      <c r="N506" s="16"/>
      <c r="O506" s="16"/>
      <c r="P506" s="16"/>
      <c r="Q506" s="16"/>
      <c r="R506" s="96"/>
      <c r="S506" s="96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6"/>
      <c r="B507" s="13"/>
      <c r="C507" s="16"/>
      <c r="D507" s="16"/>
      <c r="E507" s="16"/>
      <c r="F507" s="16"/>
      <c r="G507" s="16"/>
      <c r="H507" s="16"/>
      <c r="I507" s="125"/>
      <c r="J507" s="16"/>
      <c r="K507" s="13"/>
      <c r="L507" s="13"/>
      <c r="M507" s="13"/>
      <c r="N507" s="16"/>
      <c r="O507" s="16"/>
      <c r="P507" s="16"/>
      <c r="Q507" s="16"/>
      <c r="R507" s="96"/>
      <c r="S507" s="96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6"/>
      <c r="B508" s="13"/>
      <c r="C508" s="16"/>
      <c r="D508" s="16"/>
      <c r="E508" s="16"/>
      <c r="F508" s="16"/>
      <c r="G508" s="16"/>
      <c r="H508" s="16"/>
      <c r="I508" s="125"/>
      <c r="J508" s="16"/>
      <c r="K508" s="13"/>
      <c r="L508" s="13"/>
      <c r="M508" s="13"/>
      <c r="N508" s="16"/>
      <c r="O508" s="16"/>
      <c r="P508" s="16"/>
      <c r="Q508" s="16"/>
      <c r="R508" s="96"/>
      <c r="S508" s="96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6"/>
      <c r="B509" s="13"/>
      <c r="C509" s="16"/>
      <c r="D509" s="16"/>
      <c r="E509" s="16"/>
      <c r="F509" s="16"/>
      <c r="G509" s="16"/>
      <c r="H509" s="16"/>
      <c r="I509" s="125"/>
      <c r="J509" s="16"/>
      <c r="K509" s="13"/>
      <c r="L509" s="13"/>
      <c r="M509" s="13"/>
      <c r="N509" s="16"/>
      <c r="O509" s="16"/>
      <c r="P509" s="16"/>
      <c r="Q509" s="16"/>
      <c r="R509" s="96"/>
      <c r="S509" s="96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6"/>
      <c r="B510" s="13"/>
      <c r="C510" s="16"/>
      <c r="D510" s="16"/>
      <c r="E510" s="16"/>
      <c r="F510" s="16"/>
      <c r="G510" s="16"/>
      <c r="H510" s="16"/>
      <c r="I510" s="125"/>
      <c r="J510" s="16"/>
      <c r="K510" s="13"/>
      <c r="L510" s="13"/>
      <c r="M510" s="13"/>
      <c r="N510" s="16"/>
      <c r="O510" s="16"/>
      <c r="P510" s="16"/>
      <c r="Q510" s="16"/>
      <c r="R510" s="96"/>
      <c r="S510" s="96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6"/>
      <c r="B511" s="13"/>
      <c r="C511" s="16"/>
      <c r="D511" s="16"/>
      <c r="E511" s="16"/>
      <c r="F511" s="16"/>
      <c r="G511" s="16"/>
      <c r="H511" s="16"/>
      <c r="I511" s="125"/>
      <c r="J511" s="16"/>
      <c r="K511" s="13"/>
      <c r="L511" s="13"/>
      <c r="M511" s="13"/>
      <c r="N511" s="16"/>
      <c r="O511" s="16"/>
      <c r="P511" s="16"/>
      <c r="Q511" s="16"/>
      <c r="R511" s="96"/>
      <c r="S511" s="96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6"/>
      <c r="B512" s="13"/>
      <c r="C512" s="16"/>
      <c r="D512" s="16"/>
      <c r="E512" s="16"/>
      <c r="F512" s="16"/>
      <c r="G512" s="16"/>
      <c r="H512" s="16"/>
      <c r="I512" s="125"/>
      <c r="J512" s="16"/>
      <c r="K512" s="13"/>
      <c r="L512" s="13"/>
      <c r="M512" s="13"/>
      <c r="N512" s="16"/>
      <c r="O512" s="16"/>
      <c r="P512" s="16"/>
      <c r="Q512" s="16"/>
      <c r="R512" s="96"/>
      <c r="S512" s="96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6"/>
      <c r="B513" s="13"/>
      <c r="C513" s="16"/>
      <c r="D513" s="16"/>
      <c r="E513" s="16"/>
      <c r="F513" s="16"/>
      <c r="G513" s="16"/>
      <c r="H513" s="16"/>
      <c r="I513" s="125"/>
      <c r="J513" s="16"/>
      <c r="K513" s="13"/>
      <c r="L513" s="13"/>
      <c r="M513" s="13"/>
      <c r="N513" s="16"/>
      <c r="O513" s="16"/>
      <c r="P513" s="16"/>
      <c r="Q513" s="16"/>
      <c r="R513" s="96"/>
      <c r="S513" s="96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6"/>
      <c r="B514" s="13"/>
      <c r="C514" s="16"/>
      <c r="D514" s="16"/>
      <c r="E514" s="16"/>
      <c r="F514" s="16"/>
      <c r="G514" s="16"/>
      <c r="H514" s="16"/>
      <c r="I514" s="125"/>
      <c r="J514" s="16"/>
      <c r="K514" s="13"/>
      <c r="L514" s="13"/>
      <c r="M514" s="13"/>
      <c r="N514" s="16"/>
      <c r="O514" s="16"/>
      <c r="P514" s="16"/>
      <c r="Q514" s="16"/>
      <c r="R514" s="96"/>
      <c r="S514" s="96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6"/>
      <c r="B515" s="13"/>
      <c r="C515" s="16"/>
      <c r="D515" s="16"/>
      <c r="E515" s="16"/>
      <c r="F515" s="16"/>
      <c r="G515" s="16"/>
      <c r="H515" s="16"/>
      <c r="I515" s="125"/>
      <c r="J515" s="16"/>
      <c r="K515" s="13"/>
      <c r="L515" s="13"/>
      <c r="M515" s="13"/>
      <c r="N515" s="16"/>
      <c r="O515" s="16"/>
      <c r="P515" s="16"/>
      <c r="Q515" s="16"/>
      <c r="R515" s="96"/>
      <c r="S515" s="96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6"/>
      <c r="B516" s="13"/>
      <c r="C516" s="16"/>
      <c r="D516" s="16"/>
      <c r="E516" s="16"/>
      <c r="F516" s="16"/>
      <c r="G516" s="16"/>
      <c r="H516" s="16"/>
      <c r="I516" s="125"/>
      <c r="J516" s="16"/>
      <c r="K516" s="13"/>
      <c r="L516" s="13"/>
      <c r="M516" s="13"/>
      <c r="N516" s="16"/>
      <c r="O516" s="16"/>
      <c r="P516" s="16"/>
      <c r="Q516" s="16"/>
      <c r="R516" s="96"/>
      <c r="S516" s="96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6"/>
      <c r="B517" s="13"/>
      <c r="C517" s="16"/>
      <c r="D517" s="16"/>
      <c r="E517" s="16"/>
      <c r="F517" s="16"/>
      <c r="G517" s="16"/>
      <c r="H517" s="16"/>
      <c r="I517" s="125"/>
      <c r="J517" s="16"/>
      <c r="K517" s="13"/>
      <c r="L517" s="13"/>
      <c r="M517" s="13"/>
      <c r="N517" s="16"/>
      <c r="O517" s="16"/>
      <c r="P517" s="16"/>
      <c r="Q517" s="16"/>
      <c r="R517" s="96"/>
      <c r="S517" s="96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6"/>
      <c r="B518" s="13"/>
      <c r="C518" s="16"/>
      <c r="D518" s="16"/>
      <c r="E518" s="16"/>
      <c r="F518" s="16"/>
      <c r="G518" s="16"/>
      <c r="H518" s="16"/>
      <c r="I518" s="125"/>
      <c r="J518" s="16"/>
      <c r="K518" s="13"/>
      <c r="L518" s="13"/>
      <c r="M518" s="13"/>
      <c r="N518" s="16"/>
      <c r="O518" s="16"/>
      <c r="P518" s="16"/>
      <c r="Q518" s="16"/>
      <c r="R518" s="96"/>
      <c r="S518" s="96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6"/>
      <c r="B519" s="13"/>
      <c r="C519" s="16"/>
      <c r="D519" s="16"/>
      <c r="E519" s="16"/>
      <c r="F519" s="16"/>
      <c r="G519" s="16"/>
      <c r="H519" s="16"/>
      <c r="I519" s="125"/>
      <c r="J519" s="16"/>
      <c r="K519" s="13"/>
      <c r="L519" s="13"/>
      <c r="M519" s="13"/>
      <c r="N519" s="16"/>
      <c r="O519" s="16"/>
      <c r="P519" s="16"/>
      <c r="Q519" s="16"/>
      <c r="R519" s="96"/>
      <c r="S519" s="96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6"/>
      <c r="B520" s="13"/>
      <c r="C520" s="16"/>
      <c r="D520" s="16"/>
      <c r="E520" s="16"/>
      <c r="F520" s="16"/>
      <c r="G520" s="16"/>
      <c r="H520" s="16"/>
      <c r="I520" s="125"/>
      <c r="J520" s="16"/>
      <c r="K520" s="13"/>
      <c r="L520" s="13"/>
      <c r="M520" s="13"/>
      <c r="N520" s="16"/>
      <c r="O520" s="16"/>
      <c r="P520" s="16"/>
      <c r="Q520" s="16"/>
      <c r="R520" s="96"/>
      <c r="S520" s="96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6"/>
      <c r="B521" s="13"/>
      <c r="C521" s="16"/>
      <c r="D521" s="16"/>
      <c r="E521" s="16"/>
      <c r="F521" s="16"/>
      <c r="G521" s="16"/>
      <c r="H521" s="16"/>
      <c r="I521" s="125"/>
      <c r="J521" s="16"/>
      <c r="K521" s="13"/>
      <c r="L521" s="13"/>
      <c r="M521" s="13"/>
      <c r="N521" s="16"/>
      <c r="O521" s="16"/>
      <c r="P521" s="16"/>
      <c r="Q521" s="16"/>
      <c r="R521" s="96"/>
      <c r="S521" s="96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6"/>
      <c r="B522" s="13"/>
      <c r="C522" s="16"/>
      <c r="D522" s="16"/>
      <c r="E522" s="16"/>
      <c r="F522" s="16"/>
      <c r="G522" s="16"/>
      <c r="H522" s="16"/>
      <c r="I522" s="125"/>
      <c r="J522" s="16"/>
      <c r="K522" s="13"/>
      <c r="L522" s="13"/>
      <c r="M522" s="13"/>
      <c r="N522" s="16"/>
      <c r="O522" s="16"/>
      <c r="P522" s="16"/>
      <c r="Q522" s="16"/>
      <c r="R522" s="96"/>
      <c r="S522" s="96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6"/>
      <c r="B523" s="13"/>
      <c r="C523" s="16"/>
      <c r="D523" s="16"/>
      <c r="E523" s="16"/>
      <c r="F523" s="16"/>
      <c r="G523" s="16"/>
      <c r="H523" s="16"/>
      <c r="I523" s="125"/>
      <c r="J523" s="16"/>
      <c r="K523" s="13"/>
      <c r="L523" s="13"/>
      <c r="M523" s="13"/>
      <c r="N523" s="16"/>
      <c r="O523" s="16"/>
      <c r="P523" s="16"/>
      <c r="Q523" s="16"/>
      <c r="R523" s="96"/>
      <c r="S523" s="96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6"/>
      <c r="B524" s="13"/>
      <c r="C524" s="16"/>
      <c r="D524" s="16"/>
      <c r="E524" s="16"/>
      <c r="F524" s="16"/>
      <c r="G524" s="16"/>
      <c r="H524" s="16"/>
      <c r="I524" s="125"/>
      <c r="J524" s="16"/>
      <c r="K524" s="13"/>
      <c r="L524" s="13"/>
      <c r="M524" s="13"/>
      <c r="N524" s="16"/>
      <c r="O524" s="16"/>
      <c r="P524" s="16"/>
      <c r="Q524" s="16"/>
      <c r="R524" s="96"/>
      <c r="S524" s="96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6"/>
      <c r="B525" s="13"/>
      <c r="C525" s="16"/>
      <c r="D525" s="16"/>
      <c r="E525" s="16"/>
      <c r="F525" s="16"/>
      <c r="G525" s="16"/>
      <c r="H525" s="16"/>
      <c r="I525" s="125"/>
      <c r="J525" s="16"/>
      <c r="K525" s="13"/>
      <c r="L525" s="13"/>
      <c r="M525" s="13"/>
      <c r="N525" s="16"/>
      <c r="O525" s="16"/>
      <c r="P525" s="16"/>
      <c r="Q525" s="16"/>
      <c r="R525" s="96"/>
      <c r="S525" s="96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6"/>
      <c r="B526" s="13"/>
      <c r="C526" s="16"/>
      <c r="D526" s="16"/>
      <c r="E526" s="16"/>
      <c r="F526" s="16"/>
      <c r="G526" s="16"/>
      <c r="H526" s="16"/>
      <c r="I526" s="125"/>
      <c r="J526" s="16"/>
      <c r="K526" s="13"/>
      <c r="L526" s="13"/>
      <c r="M526" s="13"/>
      <c r="N526" s="16"/>
      <c r="O526" s="16"/>
      <c r="P526" s="16"/>
      <c r="Q526" s="16"/>
      <c r="R526" s="96"/>
      <c r="S526" s="96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6"/>
      <c r="B527" s="13"/>
      <c r="C527" s="16"/>
      <c r="D527" s="16"/>
      <c r="E527" s="16"/>
      <c r="F527" s="16"/>
      <c r="G527" s="16"/>
      <c r="H527" s="16"/>
      <c r="I527" s="125"/>
      <c r="J527" s="16"/>
      <c r="K527" s="13"/>
      <c r="L527" s="13"/>
      <c r="M527" s="13"/>
      <c r="N527" s="16"/>
      <c r="O527" s="16"/>
      <c r="P527" s="16"/>
      <c r="Q527" s="16"/>
      <c r="R527" s="96"/>
      <c r="S527" s="96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6"/>
      <c r="B528" s="13"/>
      <c r="C528" s="16"/>
      <c r="D528" s="16"/>
      <c r="E528" s="16"/>
      <c r="F528" s="16"/>
      <c r="G528" s="16"/>
      <c r="H528" s="16"/>
      <c r="I528" s="125"/>
      <c r="J528" s="16"/>
      <c r="K528" s="13"/>
      <c r="L528" s="13"/>
      <c r="M528" s="13"/>
      <c r="N528" s="16"/>
      <c r="O528" s="16"/>
      <c r="P528" s="16"/>
      <c r="Q528" s="16"/>
      <c r="R528" s="96"/>
      <c r="S528" s="96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6"/>
      <c r="B529" s="13"/>
      <c r="C529" s="16"/>
      <c r="D529" s="16"/>
      <c r="E529" s="16"/>
      <c r="F529" s="16"/>
      <c r="G529" s="16"/>
      <c r="H529" s="16"/>
      <c r="I529" s="125"/>
      <c r="J529" s="16"/>
      <c r="K529" s="13"/>
      <c r="L529" s="13"/>
      <c r="M529" s="13"/>
      <c r="N529" s="16"/>
      <c r="O529" s="16"/>
      <c r="P529" s="16"/>
      <c r="Q529" s="16"/>
      <c r="R529" s="96"/>
      <c r="S529" s="96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6"/>
      <c r="B530" s="13"/>
      <c r="C530" s="16"/>
      <c r="D530" s="16"/>
      <c r="E530" s="16"/>
      <c r="F530" s="16"/>
      <c r="G530" s="16"/>
      <c r="H530" s="16"/>
      <c r="I530" s="125"/>
      <c r="J530" s="16"/>
      <c r="K530" s="13"/>
      <c r="L530" s="13"/>
      <c r="M530" s="13"/>
      <c r="N530" s="16"/>
      <c r="O530" s="16"/>
      <c r="P530" s="16"/>
      <c r="Q530" s="16"/>
      <c r="R530" s="96"/>
      <c r="S530" s="96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6"/>
      <c r="B531" s="13"/>
      <c r="C531" s="16"/>
      <c r="D531" s="16"/>
      <c r="E531" s="16"/>
      <c r="F531" s="16"/>
      <c r="G531" s="16"/>
      <c r="H531" s="16"/>
      <c r="I531" s="125"/>
      <c r="J531" s="16"/>
      <c r="K531" s="13"/>
      <c r="L531" s="13"/>
      <c r="M531" s="13"/>
      <c r="N531" s="16"/>
      <c r="O531" s="16"/>
      <c r="P531" s="16"/>
      <c r="Q531" s="16"/>
      <c r="R531" s="96"/>
      <c r="S531" s="96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6"/>
      <c r="B532" s="13"/>
      <c r="C532" s="16"/>
      <c r="D532" s="16"/>
      <c r="E532" s="16"/>
      <c r="F532" s="16"/>
      <c r="G532" s="16"/>
      <c r="H532" s="16"/>
      <c r="I532" s="125"/>
      <c r="J532" s="16"/>
      <c r="K532" s="13"/>
      <c r="L532" s="13"/>
      <c r="M532" s="13"/>
      <c r="N532" s="16"/>
      <c r="O532" s="16"/>
      <c r="P532" s="16"/>
      <c r="Q532" s="16"/>
      <c r="R532" s="96"/>
      <c r="S532" s="96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6"/>
      <c r="B533" s="13"/>
      <c r="C533" s="16"/>
      <c r="D533" s="16"/>
      <c r="E533" s="16"/>
      <c r="F533" s="16"/>
      <c r="G533" s="16"/>
      <c r="H533" s="16"/>
      <c r="I533" s="125"/>
      <c r="J533" s="16"/>
      <c r="K533" s="13"/>
      <c r="L533" s="13"/>
      <c r="M533" s="13"/>
      <c r="N533" s="16"/>
      <c r="O533" s="16"/>
      <c r="P533" s="16"/>
      <c r="Q533" s="16"/>
      <c r="R533" s="96"/>
      <c r="S533" s="96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6"/>
      <c r="B534" s="13"/>
      <c r="C534" s="16"/>
      <c r="D534" s="16"/>
      <c r="E534" s="16"/>
      <c r="F534" s="16"/>
      <c r="G534" s="16"/>
      <c r="H534" s="16"/>
      <c r="I534" s="125"/>
      <c r="J534" s="16"/>
      <c r="K534" s="13"/>
      <c r="L534" s="13"/>
      <c r="M534" s="13"/>
      <c r="N534" s="16"/>
      <c r="O534" s="16"/>
      <c r="P534" s="16"/>
      <c r="Q534" s="16"/>
      <c r="R534" s="96"/>
      <c r="S534" s="96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6"/>
      <c r="B535" s="13"/>
      <c r="C535" s="16"/>
      <c r="D535" s="16"/>
      <c r="E535" s="16"/>
      <c r="F535" s="16"/>
      <c r="G535" s="16"/>
      <c r="H535" s="16"/>
      <c r="I535" s="125"/>
      <c r="J535" s="16"/>
      <c r="K535" s="13"/>
      <c r="L535" s="13"/>
      <c r="M535" s="13"/>
      <c r="N535" s="16"/>
      <c r="O535" s="16"/>
      <c r="P535" s="16"/>
      <c r="Q535" s="16"/>
      <c r="R535" s="96"/>
      <c r="S535" s="96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6"/>
      <c r="B536" s="13"/>
      <c r="C536" s="16"/>
      <c r="D536" s="16"/>
      <c r="E536" s="16"/>
      <c r="F536" s="16"/>
      <c r="G536" s="16"/>
      <c r="H536" s="16"/>
      <c r="I536" s="125"/>
      <c r="J536" s="16"/>
      <c r="K536" s="13"/>
      <c r="L536" s="13"/>
      <c r="M536" s="13"/>
      <c r="N536" s="16"/>
      <c r="O536" s="16"/>
      <c r="P536" s="16"/>
      <c r="Q536" s="16"/>
      <c r="R536" s="96"/>
      <c r="S536" s="96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6"/>
      <c r="B537" s="13"/>
      <c r="C537" s="16"/>
      <c r="D537" s="16"/>
      <c r="E537" s="16"/>
      <c r="F537" s="16"/>
      <c r="G537" s="16"/>
      <c r="H537" s="16"/>
      <c r="I537" s="125"/>
      <c r="J537" s="16"/>
      <c r="K537" s="13"/>
      <c r="L537" s="13"/>
      <c r="M537" s="13"/>
      <c r="N537" s="16"/>
      <c r="O537" s="16"/>
      <c r="P537" s="16"/>
      <c r="Q537" s="16"/>
      <c r="R537" s="96"/>
      <c r="S537" s="96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6"/>
      <c r="B538" s="13"/>
      <c r="C538" s="16"/>
      <c r="D538" s="16"/>
      <c r="E538" s="16"/>
      <c r="F538" s="16"/>
      <c r="G538" s="16"/>
      <c r="H538" s="16"/>
      <c r="I538" s="125"/>
      <c r="J538" s="16"/>
      <c r="K538" s="13"/>
      <c r="L538" s="13"/>
      <c r="M538" s="13"/>
      <c r="N538" s="16"/>
      <c r="O538" s="16"/>
      <c r="P538" s="16"/>
      <c r="Q538" s="16"/>
      <c r="R538" s="96"/>
      <c r="S538" s="96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6"/>
      <c r="B539" s="13"/>
      <c r="C539" s="16"/>
      <c r="D539" s="16"/>
      <c r="E539" s="16"/>
      <c r="F539" s="16"/>
      <c r="G539" s="16"/>
      <c r="H539" s="16"/>
      <c r="I539" s="125"/>
      <c r="J539" s="16"/>
      <c r="K539" s="13"/>
      <c r="L539" s="13"/>
      <c r="M539" s="13"/>
      <c r="N539" s="16"/>
      <c r="O539" s="16"/>
      <c r="P539" s="16"/>
      <c r="Q539" s="16"/>
      <c r="R539" s="96"/>
      <c r="S539" s="96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6"/>
      <c r="B540" s="13"/>
      <c r="C540" s="16"/>
      <c r="D540" s="16"/>
      <c r="E540" s="16"/>
      <c r="F540" s="16"/>
      <c r="G540" s="16"/>
      <c r="H540" s="16"/>
      <c r="I540" s="125"/>
      <c r="J540" s="16"/>
      <c r="K540" s="13"/>
      <c r="L540" s="13"/>
      <c r="M540" s="13"/>
      <c r="N540" s="16"/>
      <c r="O540" s="16"/>
      <c r="P540" s="16"/>
      <c r="Q540" s="16"/>
      <c r="R540" s="96"/>
      <c r="S540" s="96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6"/>
      <c r="B541" s="13"/>
      <c r="C541" s="16"/>
      <c r="D541" s="16"/>
      <c r="E541" s="16"/>
      <c r="F541" s="16"/>
      <c r="G541" s="16"/>
      <c r="H541" s="16"/>
      <c r="I541" s="125"/>
      <c r="J541" s="16"/>
      <c r="K541" s="13"/>
      <c r="L541" s="13"/>
      <c r="M541" s="13"/>
      <c r="N541" s="16"/>
      <c r="O541" s="16"/>
      <c r="P541" s="16"/>
      <c r="Q541" s="16"/>
      <c r="R541" s="96"/>
      <c r="S541" s="96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6"/>
      <c r="B542" s="13"/>
      <c r="C542" s="16"/>
      <c r="D542" s="16"/>
      <c r="E542" s="16"/>
      <c r="F542" s="16"/>
      <c r="G542" s="16"/>
      <c r="H542" s="16"/>
      <c r="I542" s="125"/>
      <c r="J542" s="16"/>
      <c r="K542" s="13"/>
      <c r="L542" s="13"/>
      <c r="M542" s="13"/>
      <c r="N542" s="16"/>
      <c r="O542" s="16"/>
      <c r="P542" s="16"/>
      <c r="Q542" s="16"/>
      <c r="R542" s="96"/>
      <c r="S542" s="96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6"/>
      <c r="B543" s="13"/>
      <c r="C543" s="16"/>
      <c r="D543" s="16"/>
      <c r="E543" s="16"/>
      <c r="F543" s="16"/>
      <c r="G543" s="16"/>
      <c r="H543" s="16"/>
      <c r="I543" s="125"/>
      <c r="J543" s="16"/>
      <c r="K543" s="13"/>
      <c r="L543" s="13"/>
      <c r="M543" s="13"/>
      <c r="N543" s="16"/>
      <c r="O543" s="16"/>
      <c r="P543" s="16"/>
      <c r="Q543" s="16"/>
      <c r="R543" s="96"/>
      <c r="S543" s="96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6"/>
      <c r="B544" s="13"/>
      <c r="C544" s="16"/>
      <c r="D544" s="16"/>
      <c r="E544" s="16"/>
      <c r="F544" s="16"/>
      <c r="G544" s="16"/>
      <c r="H544" s="16"/>
      <c r="I544" s="125"/>
      <c r="J544" s="16"/>
      <c r="K544" s="13"/>
      <c r="L544" s="13"/>
      <c r="M544" s="13"/>
      <c r="N544" s="16"/>
      <c r="O544" s="16"/>
      <c r="P544" s="16"/>
      <c r="Q544" s="16"/>
      <c r="R544" s="96"/>
      <c r="S544" s="96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6"/>
      <c r="B545" s="13"/>
      <c r="C545" s="16"/>
      <c r="D545" s="16"/>
      <c r="E545" s="16"/>
      <c r="F545" s="16"/>
      <c r="G545" s="16"/>
      <c r="H545" s="16"/>
      <c r="I545" s="125"/>
      <c r="J545" s="16"/>
      <c r="K545" s="13"/>
      <c r="L545" s="13"/>
      <c r="M545" s="13"/>
      <c r="N545" s="16"/>
      <c r="O545" s="16"/>
      <c r="P545" s="16"/>
      <c r="Q545" s="16"/>
      <c r="R545" s="96"/>
      <c r="S545" s="96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6"/>
      <c r="B546" s="13"/>
      <c r="C546" s="16"/>
      <c r="D546" s="16"/>
      <c r="E546" s="16"/>
      <c r="F546" s="16"/>
      <c r="G546" s="16"/>
      <c r="H546" s="16"/>
      <c r="I546" s="125"/>
      <c r="J546" s="16"/>
      <c r="K546" s="13"/>
      <c r="L546" s="13"/>
      <c r="M546" s="13"/>
      <c r="N546" s="16"/>
      <c r="O546" s="16"/>
      <c r="P546" s="16"/>
      <c r="Q546" s="16"/>
      <c r="R546" s="96"/>
      <c r="S546" s="96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6"/>
      <c r="B547" s="13"/>
      <c r="C547" s="16"/>
      <c r="D547" s="16"/>
      <c r="E547" s="16"/>
      <c r="F547" s="16"/>
      <c r="G547" s="16"/>
      <c r="H547" s="16"/>
      <c r="I547" s="125"/>
      <c r="J547" s="16"/>
      <c r="K547" s="13"/>
      <c r="L547" s="13"/>
      <c r="M547" s="13"/>
      <c r="N547" s="16"/>
      <c r="O547" s="16"/>
      <c r="P547" s="16"/>
      <c r="Q547" s="16"/>
      <c r="R547" s="96"/>
      <c r="S547" s="96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6"/>
      <c r="B548" s="13"/>
      <c r="C548" s="16"/>
      <c r="D548" s="16"/>
      <c r="E548" s="16"/>
      <c r="F548" s="16"/>
      <c r="G548" s="16"/>
      <c r="H548" s="16"/>
      <c r="I548" s="125"/>
      <c r="J548" s="16"/>
      <c r="K548" s="13"/>
      <c r="L548" s="13"/>
      <c r="M548" s="13"/>
      <c r="N548" s="16"/>
      <c r="O548" s="16"/>
      <c r="P548" s="16"/>
      <c r="Q548" s="16"/>
      <c r="R548" s="96"/>
      <c r="S548" s="96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6"/>
      <c r="B549" s="13"/>
      <c r="C549" s="16"/>
      <c r="D549" s="16"/>
      <c r="E549" s="16"/>
      <c r="F549" s="16"/>
      <c r="G549" s="16"/>
      <c r="H549" s="16"/>
      <c r="I549" s="125"/>
      <c r="J549" s="16"/>
      <c r="K549" s="13"/>
      <c r="L549" s="13"/>
      <c r="M549" s="13"/>
      <c r="N549" s="16"/>
      <c r="O549" s="16"/>
      <c r="P549" s="16"/>
      <c r="Q549" s="16"/>
      <c r="R549" s="96"/>
      <c r="S549" s="96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6"/>
      <c r="B550" s="13"/>
      <c r="C550" s="16"/>
      <c r="D550" s="16"/>
      <c r="E550" s="16"/>
      <c r="F550" s="16"/>
      <c r="G550" s="16"/>
      <c r="H550" s="16"/>
      <c r="I550" s="125"/>
      <c r="J550" s="16"/>
      <c r="K550" s="13"/>
      <c r="L550" s="13"/>
      <c r="M550" s="13"/>
      <c r="N550" s="16"/>
      <c r="O550" s="16"/>
      <c r="P550" s="16"/>
      <c r="Q550" s="16"/>
      <c r="R550" s="96"/>
      <c r="S550" s="96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6"/>
      <c r="B551" s="13"/>
      <c r="C551" s="16"/>
      <c r="D551" s="16"/>
      <c r="E551" s="16"/>
      <c r="F551" s="16"/>
      <c r="G551" s="16"/>
      <c r="H551" s="16"/>
      <c r="I551" s="125"/>
      <c r="J551" s="16"/>
      <c r="K551" s="13"/>
      <c r="L551" s="13"/>
      <c r="M551" s="13"/>
      <c r="N551" s="16"/>
      <c r="O551" s="16"/>
      <c r="P551" s="16"/>
      <c r="Q551" s="16"/>
      <c r="R551" s="96"/>
      <c r="S551" s="96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6"/>
      <c r="B552" s="13"/>
      <c r="C552" s="16"/>
      <c r="D552" s="16"/>
      <c r="E552" s="16"/>
      <c r="F552" s="16"/>
      <c r="G552" s="16"/>
      <c r="H552" s="16"/>
      <c r="I552" s="125"/>
      <c r="J552" s="16"/>
      <c r="K552" s="13"/>
      <c r="L552" s="13"/>
      <c r="M552" s="13"/>
      <c r="N552" s="16"/>
      <c r="O552" s="16"/>
      <c r="P552" s="16"/>
      <c r="Q552" s="16"/>
      <c r="R552" s="96"/>
      <c r="S552" s="96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6"/>
      <c r="B553" s="13"/>
      <c r="C553" s="16"/>
      <c r="D553" s="16"/>
      <c r="E553" s="16"/>
      <c r="F553" s="16"/>
      <c r="G553" s="16"/>
      <c r="H553" s="16"/>
      <c r="I553" s="125"/>
      <c r="J553" s="16"/>
      <c r="K553" s="13"/>
      <c r="L553" s="13"/>
      <c r="M553" s="13"/>
      <c r="N553" s="16"/>
      <c r="O553" s="16"/>
      <c r="P553" s="16"/>
      <c r="Q553" s="16"/>
      <c r="R553" s="96"/>
      <c r="S553" s="96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6"/>
      <c r="B554" s="13"/>
      <c r="C554" s="16"/>
      <c r="D554" s="16"/>
      <c r="E554" s="16"/>
      <c r="F554" s="16"/>
      <c r="G554" s="16"/>
      <c r="H554" s="16"/>
      <c r="I554" s="125"/>
      <c r="J554" s="16"/>
      <c r="K554" s="13"/>
      <c r="L554" s="13"/>
      <c r="M554" s="13"/>
      <c r="N554" s="16"/>
      <c r="O554" s="16"/>
      <c r="P554" s="16"/>
      <c r="Q554" s="16"/>
      <c r="R554" s="96"/>
      <c r="S554" s="96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6"/>
      <c r="B555" s="13"/>
      <c r="C555" s="16"/>
      <c r="D555" s="16"/>
      <c r="E555" s="16"/>
      <c r="F555" s="16"/>
      <c r="G555" s="16"/>
      <c r="H555" s="16"/>
      <c r="I555" s="125"/>
      <c r="J555" s="16"/>
      <c r="K555" s="13"/>
      <c r="L555" s="13"/>
      <c r="M555" s="13"/>
      <c r="N555" s="16"/>
      <c r="O555" s="16"/>
      <c r="P555" s="16"/>
      <c r="Q555" s="16"/>
      <c r="R555" s="96"/>
      <c r="S555" s="96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6"/>
      <c r="B556" s="13"/>
      <c r="C556" s="16"/>
      <c r="D556" s="16"/>
      <c r="E556" s="16"/>
      <c r="F556" s="16"/>
      <c r="G556" s="16"/>
      <c r="H556" s="16"/>
      <c r="I556" s="125"/>
      <c r="J556" s="16"/>
      <c r="K556" s="13"/>
      <c r="L556" s="13"/>
      <c r="M556" s="13"/>
      <c r="N556" s="16"/>
      <c r="O556" s="16"/>
      <c r="P556" s="16"/>
      <c r="Q556" s="16"/>
      <c r="R556" s="96"/>
      <c r="S556" s="96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6"/>
      <c r="B557" s="13"/>
      <c r="C557" s="16"/>
      <c r="D557" s="16"/>
      <c r="E557" s="16"/>
      <c r="F557" s="16"/>
      <c r="G557" s="16"/>
      <c r="H557" s="16"/>
      <c r="I557" s="125"/>
      <c r="J557" s="16"/>
      <c r="K557" s="13"/>
      <c r="L557" s="13"/>
      <c r="M557" s="13"/>
      <c r="N557" s="16"/>
      <c r="O557" s="16"/>
      <c r="P557" s="16"/>
      <c r="Q557" s="16"/>
      <c r="R557" s="96"/>
      <c r="S557" s="96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6"/>
      <c r="B558" s="13"/>
      <c r="C558" s="16"/>
      <c r="D558" s="16"/>
      <c r="E558" s="16"/>
      <c r="F558" s="16"/>
      <c r="G558" s="16"/>
      <c r="H558" s="16"/>
      <c r="I558" s="125"/>
      <c r="J558" s="16"/>
      <c r="K558" s="13"/>
      <c r="L558" s="13"/>
      <c r="M558" s="13"/>
      <c r="N558" s="16"/>
      <c r="O558" s="16"/>
      <c r="P558" s="16"/>
      <c r="Q558" s="16"/>
      <c r="R558" s="96"/>
      <c r="S558" s="96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6"/>
      <c r="B559" s="13"/>
      <c r="C559" s="16"/>
      <c r="D559" s="16"/>
      <c r="E559" s="16"/>
      <c r="F559" s="16"/>
      <c r="G559" s="16"/>
      <c r="H559" s="16"/>
      <c r="I559" s="125"/>
      <c r="J559" s="16"/>
      <c r="K559" s="13"/>
      <c r="L559" s="13"/>
      <c r="M559" s="13"/>
      <c r="N559" s="16"/>
      <c r="O559" s="16"/>
      <c r="P559" s="16"/>
      <c r="Q559" s="16"/>
      <c r="R559" s="96"/>
      <c r="S559" s="96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6"/>
      <c r="B560" s="13"/>
      <c r="C560" s="16"/>
      <c r="D560" s="16"/>
      <c r="E560" s="16"/>
      <c r="F560" s="16"/>
      <c r="G560" s="16"/>
      <c r="H560" s="16"/>
      <c r="I560" s="125"/>
      <c r="J560" s="16"/>
      <c r="K560" s="13"/>
      <c r="L560" s="13"/>
      <c r="M560" s="13"/>
      <c r="N560" s="16"/>
      <c r="O560" s="16"/>
      <c r="P560" s="16"/>
      <c r="Q560" s="16"/>
      <c r="R560" s="96"/>
      <c r="S560" s="96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6"/>
      <c r="B561" s="13"/>
      <c r="C561" s="16"/>
      <c r="D561" s="16"/>
      <c r="E561" s="16"/>
      <c r="F561" s="16"/>
      <c r="G561" s="16"/>
      <c r="H561" s="16"/>
      <c r="I561" s="125"/>
      <c r="J561" s="16"/>
      <c r="K561" s="13"/>
      <c r="L561" s="13"/>
      <c r="M561" s="13"/>
      <c r="N561" s="16"/>
      <c r="O561" s="16"/>
      <c r="P561" s="16"/>
      <c r="Q561" s="16"/>
      <c r="R561" s="96"/>
      <c r="S561" s="96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6"/>
      <c r="B562" s="13"/>
      <c r="C562" s="16"/>
      <c r="D562" s="16"/>
      <c r="E562" s="16"/>
      <c r="F562" s="16"/>
      <c r="G562" s="16"/>
      <c r="H562" s="16"/>
      <c r="I562" s="125"/>
      <c r="J562" s="16"/>
      <c r="K562" s="13"/>
      <c r="L562" s="13"/>
      <c r="M562" s="13"/>
      <c r="N562" s="16"/>
      <c r="O562" s="16"/>
      <c r="P562" s="16"/>
      <c r="Q562" s="16"/>
      <c r="R562" s="96"/>
      <c r="S562" s="96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6"/>
      <c r="B563" s="13"/>
      <c r="C563" s="16"/>
      <c r="D563" s="16"/>
      <c r="E563" s="16"/>
      <c r="F563" s="16"/>
      <c r="G563" s="16"/>
      <c r="H563" s="16"/>
      <c r="I563" s="125"/>
      <c r="J563" s="16"/>
      <c r="K563" s="13"/>
      <c r="L563" s="13"/>
      <c r="M563" s="13"/>
      <c r="N563" s="16"/>
      <c r="O563" s="16"/>
      <c r="P563" s="16"/>
      <c r="Q563" s="16"/>
      <c r="R563" s="96"/>
      <c r="S563" s="96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6"/>
      <c r="B564" s="13"/>
      <c r="C564" s="16"/>
      <c r="D564" s="16"/>
      <c r="E564" s="16"/>
      <c r="F564" s="16"/>
      <c r="G564" s="16"/>
      <c r="H564" s="16"/>
      <c r="I564" s="125"/>
      <c r="J564" s="16"/>
      <c r="K564" s="13"/>
      <c r="L564" s="13"/>
      <c r="M564" s="13"/>
      <c r="N564" s="16"/>
      <c r="O564" s="16"/>
      <c r="P564" s="16"/>
      <c r="Q564" s="16"/>
      <c r="R564" s="96"/>
      <c r="S564" s="96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6"/>
      <c r="B565" s="13"/>
      <c r="C565" s="16"/>
      <c r="D565" s="16"/>
      <c r="E565" s="16"/>
      <c r="F565" s="16"/>
      <c r="G565" s="16"/>
      <c r="H565" s="16"/>
      <c r="I565" s="125"/>
      <c r="J565" s="16"/>
      <c r="K565" s="13"/>
      <c r="L565" s="13"/>
      <c r="M565" s="13"/>
      <c r="N565" s="16"/>
      <c r="O565" s="16"/>
      <c r="P565" s="16"/>
      <c r="Q565" s="16"/>
      <c r="R565" s="96"/>
      <c r="S565" s="96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6"/>
      <c r="B566" s="13"/>
      <c r="C566" s="16"/>
      <c r="D566" s="16"/>
      <c r="E566" s="16"/>
      <c r="F566" s="16"/>
      <c r="G566" s="16"/>
      <c r="H566" s="16"/>
      <c r="I566" s="125"/>
      <c r="J566" s="16"/>
      <c r="K566" s="13"/>
      <c r="L566" s="13"/>
      <c r="M566" s="13"/>
      <c r="N566" s="16"/>
      <c r="O566" s="16"/>
      <c r="P566" s="16"/>
      <c r="Q566" s="16"/>
      <c r="R566" s="96"/>
      <c r="S566" s="96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6"/>
      <c r="B567" s="13"/>
      <c r="C567" s="16"/>
      <c r="D567" s="16"/>
      <c r="E567" s="16"/>
      <c r="F567" s="16"/>
      <c r="G567" s="16"/>
      <c r="H567" s="16"/>
      <c r="I567" s="125"/>
      <c r="J567" s="16"/>
      <c r="K567" s="13"/>
      <c r="L567" s="13"/>
      <c r="M567" s="13"/>
      <c r="N567" s="16"/>
      <c r="O567" s="16"/>
      <c r="P567" s="16"/>
      <c r="Q567" s="16"/>
      <c r="R567" s="96"/>
      <c r="S567" s="96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6"/>
      <c r="B568" s="13"/>
      <c r="C568" s="16"/>
      <c r="D568" s="16"/>
      <c r="E568" s="16"/>
      <c r="F568" s="16"/>
      <c r="G568" s="16"/>
      <c r="H568" s="16"/>
      <c r="I568" s="125"/>
      <c r="J568" s="16"/>
      <c r="K568" s="13"/>
      <c r="L568" s="13"/>
      <c r="M568" s="13"/>
      <c r="N568" s="16"/>
      <c r="O568" s="16"/>
      <c r="P568" s="16"/>
      <c r="Q568" s="16"/>
      <c r="R568" s="96"/>
      <c r="S568" s="96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6"/>
      <c r="B569" s="13"/>
      <c r="C569" s="16"/>
      <c r="D569" s="16"/>
      <c r="E569" s="16"/>
      <c r="F569" s="16"/>
      <c r="G569" s="16"/>
      <c r="H569" s="16"/>
      <c r="I569" s="125"/>
      <c r="J569" s="16"/>
      <c r="K569" s="13"/>
      <c r="L569" s="13"/>
      <c r="M569" s="13"/>
      <c r="N569" s="16"/>
      <c r="O569" s="16"/>
      <c r="P569" s="16"/>
      <c r="Q569" s="16"/>
      <c r="R569" s="96"/>
      <c r="S569" s="96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6"/>
      <c r="B570" s="13"/>
      <c r="C570" s="16"/>
      <c r="D570" s="16"/>
      <c r="E570" s="16"/>
      <c r="F570" s="16"/>
      <c r="G570" s="16"/>
      <c r="H570" s="16"/>
      <c r="I570" s="125"/>
      <c r="J570" s="16"/>
      <c r="K570" s="13"/>
      <c r="L570" s="13"/>
      <c r="M570" s="13"/>
      <c r="N570" s="16"/>
      <c r="O570" s="16"/>
      <c r="P570" s="16"/>
      <c r="Q570" s="16"/>
      <c r="R570" s="96"/>
      <c r="S570" s="96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6"/>
      <c r="B571" s="13"/>
      <c r="C571" s="16"/>
      <c r="D571" s="16"/>
      <c r="E571" s="16"/>
      <c r="F571" s="16"/>
      <c r="G571" s="16"/>
      <c r="H571" s="16"/>
      <c r="I571" s="125"/>
      <c r="J571" s="16"/>
      <c r="K571" s="13"/>
      <c r="L571" s="13"/>
      <c r="M571" s="13"/>
      <c r="N571" s="16"/>
      <c r="O571" s="16"/>
      <c r="P571" s="16"/>
      <c r="Q571" s="16"/>
      <c r="R571" s="96"/>
      <c r="S571" s="96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6"/>
      <c r="B572" s="13"/>
      <c r="C572" s="16"/>
      <c r="D572" s="16"/>
      <c r="E572" s="16"/>
      <c r="F572" s="16"/>
      <c r="G572" s="16"/>
      <c r="H572" s="16"/>
      <c r="I572" s="125"/>
      <c r="J572" s="16"/>
      <c r="K572" s="13"/>
      <c r="L572" s="13"/>
      <c r="M572" s="13"/>
      <c r="N572" s="16"/>
      <c r="O572" s="16"/>
      <c r="P572" s="16"/>
      <c r="Q572" s="16"/>
      <c r="R572" s="96"/>
      <c r="S572" s="96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6"/>
      <c r="B573" s="13"/>
      <c r="C573" s="16"/>
      <c r="D573" s="16"/>
      <c r="E573" s="16"/>
      <c r="F573" s="16"/>
      <c r="G573" s="16"/>
      <c r="H573" s="16"/>
      <c r="I573" s="125"/>
      <c r="J573" s="16"/>
      <c r="K573" s="13"/>
      <c r="L573" s="13"/>
      <c r="M573" s="13"/>
      <c r="N573" s="16"/>
      <c r="O573" s="16"/>
      <c r="P573" s="16"/>
      <c r="Q573" s="16"/>
      <c r="R573" s="96"/>
      <c r="S573" s="96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6"/>
      <c r="B574" s="13"/>
      <c r="C574" s="16"/>
      <c r="D574" s="16"/>
      <c r="E574" s="16"/>
      <c r="F574" s="16"/>
      <c r="G574" s="16"/>
      <c r="H574" s="16"/>
      <c r="I574" s="125"/>
      <c r="J574" s="16"/>
      <c r="K574" s="13"/>
      <c r="L574" s="13"/>
      <c r="M574" s="13"/>
      <c r="N574" s="16"/>
      <c r="O574" s="16"/>
      <c r="P574" s="16"/>
      <c r="Q574" s="16"/>
      <c r="R574" s="96"/>
      <c r="S574" s="96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6"/>
      <c r="B575" s="13"/>
      <c r="C575" s="16"/>
      <c r="D575" s="16"/>
      <c r="E575" s="16"/>
      <c r="F575" s="16"/>
      <c r="G575" s="16"/>
      <c r="H575" s="16"/>
      <c r="I575" s="125"/>
      <c r="J575" s="16"/>
      <c r="K575" s="13"/>
      <c r="L575" s="13"/>
      <c r="M575" s="13"/>
      <c r="N575" s="16"/>
      <c r="O575" s="16"/>
      <c r="P575" s="16"/>
      <c r="Q575" s="16"/>
      <c r="R575" s="96"/>
      <c r="S575" s="96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6"/>
      <c r="B576" s="13"/>
      <c r="C576" s="16"/>
      <c r="D576" s="16"/>
      <c r="E576" s="16"/>
      <c r="F576" s="16"/>
      <c r="G576" s="16"/>
      <c r="H576" s="16"/>
      <c r="I576" s="125"/>
      <c r="J576" s="16"/>
      <c r="K576" s="13"/>
      <c r="L576" s="13"/>
      <c r="M576" s="13"/>
      <c r="N576" s="16"/>
      <c r="O576" s="16"/>
      <c r="P576" s="16"/>
      <c r="Q576" s="16"/>
      <c r="R576" s="96"/>
      <c r="S576" s="96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6"/>
      <c r="B577" s="13"/>
      <c r="C577" s="16"/>
      <c r="D577" s="16"/>
      <c r="E577" s="16"/>
      <c r="F577" s="16"/>
      <c r="G577" s="16"/>
      <c r="H577" s="16"/>
      <c r="I577" s="125"/>
      <c r="J577" s="16"/>
      <c r="K577" s="13"/>
      <c r="L577" s="13"/>
      <c r="M577" s="13"/>
      <c r="N577" s="16"/>
      <c r="O577" s="16"/>
      <c r="P577" s="16"/>
      <c r="Q577" s="16"/>
      <c r="R577" s="96"/>
      <c r="S577" s="96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6"/>
      <c r="B578" s="13"/>
      <c r="C578" s="16"/>
      <c r="D578" s="16"/>
      <c r="E578" s="16"/>
      <c r="F578" s="16"/>
      <c r="G578" s="16"/>
      <c r="H578" s="16"/>
      <c r="I578" s="125"/>
      <c r="J578" s="16"/>
      <c r="K578" s="13"/>
      <c r="L578" s="13"/>
      <c r="M578" s="13"/>
      <c r="N578" s="16"/>
      <c r="O578" s="16"/>
      <c r="P578" s="16"/>
      <c r="Q578" s="16"/>
      <c r="R578" s="96"/>
      <c r="S578" s="96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6"/>
      <c r="B579" s="13"/>
      <c r="C579" s="16"/>
      <c r="D579" s="16"/>
      <c r="E579" s="16"/>
      <c r="F579" s="16"/>
      <c r="G579" s="16"/>
      <c r="H579" s="16"/>
      <c r="I579" s="125"/>
      <c r="J579" s="16"/>
      <c r="K579" s="13"/>
      <c r="L579" s="13"/>
      <c r="M579" s="13"/>
      <c r="N579" s="16"/>
      <c r="O579" s="16"/>
      <c r="P579" s="16"/>
      <c r="Q579" s="16"/>
      <c r="R579" s="96"/>
      <c r="S579" s="96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6"/>
      <c r="B580" s="13"/>
      <c r="C580" s="16"/>
      <c r="D580" s="16"/>
      <c r="E580" s="16"/>
      <c r="F580" s="16"/>
      <c r="G580" s="16"/>
      <c r="H580" s="16"/>
      <c r="I580" s="125"/>
      <c r="J580" s="16"/>
      <c r="K580" s="13"/>
      <c r="L580" s="13"/>
      <c r="M580" s="13"/>
      <c r="N580" s="16"/>
      <c r="O580" s="16"/>
      <c r="P580" s="16"/>
      <c r="Q580" s="16"/>
      <c r="R580" s="96"/>
      <c r="S580" s="96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6"/>
      <c r="B581" s="13"/>
      <c r="C581" s="16"/>
      <c r="D581" s="16"/>
      <c r="E581" s="16"/>
      <c r="F581" s="16"/>
      <c r="G581" s="16"/>
      <c r="H581" s="16"/>
      <c r="I581" s="125"/>
      <c r="J581" s="16"/>
      <c r="K581" s="13"/>
      <c r="L581" s="13"/>
      <c r="M581" s="13"/>
      <c r="N581" s="16"/>
      <c r="O581" s="16"/>
      <c r="P581" s="16"/>
      <c r="Q581" s="16"/>
      <c r="R581" s="96"/>
      <c r="S581" s="96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6"/>
      <c r="B582" s="13"/>
      <c r="C582" s="16"/>
      <c r="D582" s="16"/>
      <c r="E582" s="16"/>
      <c r="F582" s="16"/>
      <c r="G582" s="16"/>
      <c r="H582" s="16"/>
      <c r="I582" s="125"/>
      <c r="J582" s="16"/>
      <c r="K582" s="13"/>
      <c r="L582" s="13"/>
      <c r="M582" s="13"/>
      <c r="N582" s="16"/>
      <c r="O582" s="16"/>
      <c r="P582" s="16"/>
      <c r="Q582" s="16"/>
      <c r="R582" s="96"/>
      <c r="S582" s="96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6"/>
      <c r="B583" s="13"/>
      <c r="C583" s="16"/>
      <c r="D583" s="16"/>
      <c r="E583" s="16"/>
      <c r="F583" s="16"/>
      <c r="G583" s="16"/>
      <c r="H583" s="16"/>
      <c r="I583" s="125"/>
      <c r="J583" s="16"/>
      <c r="K583" s="13"/>
      <c r="L583" s="13"/>
      <c r="M583" s="13"/>
      <c r="N583" s="16"/>
      <c r="O583" s="16"/>
      <c r="P583" s="16"/>
      <c r="Q583" s="16"/>
      <c r="R583" s="96"/>
      <c r="S583" s="96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6"/>
      <c r="B584" s="13"/>
      <c r="C584" s="16"/>
      <c r="D584" s="16"/>
      <c r="E584" s="16"/>
      <c r="F584" s="16"/>
      <c r="G584" s="16"/>
      <c r="H584" s="16"/>
      <c r="I584" s="125"/>
      <c r="J584" s="16"/>
      <c r="K584" s="13"/>
      <c r="L584" s="13"/>
      <c r="M584" s="13"/>
      <c r="N584" s="16"/>
      <c r="O584" s="16"/>
      <c r="P584" s="16"/>
      <c r="Q584" s="16"/>
      <c r="R584" s="96"/>
      <c r="S584" s="96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6"/>
      <c r="B585" s="13"/>
      <c r="C585" s="16"/>
      <c r="D585" s="16"/>
      <c r="E585" s="16"/>
      <c r="F585" s="16"/>
      <c r="G585" s="16"/>
      <c r="H585" s="16"/>
      <c r="I585" s="125"/>
      <c r="J585" s="16"/>
      <c r="K585" s="13"/>
      <c r="L585" s="13"/>
      <c r="M585" s="13"/>
      <c r="N585" s="16"/>
      <c r="O585" s="16"/>
      <c r="P585" s="16"/>
      <c r="Q585" s="16"/>
      <c r="R585" s="96"/>
      <c r="S585" s="96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6"/>
      <c r="B586" s="13"/>
      <c r="C586" s="16"/>
      <c r="D586" s="16"/>
      <c r="E586" s="16"/>
      <c r="F586" s="16"/>
      <c r="G586" s="16"/>
      <c r="H586" s="16"/>
      <c r="I586" s="125"/>
      <c r="J586" s="16"/>
      <c r="K586" s="13"/>
      <c r="L586" s="13"/>
      <c r="M586" s="13"/>
      <c r="N586" s="16"/>
      <c r="O586" s="16"/>
      <c r="P586" s="16"/>
      <c r="Q586" s="16"/>
      <c r="R586" s="96"/>
      <c r="S586" s="96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6"/>
      <c r="B587" s="13"/>
      <c r="C587" s="16"/>
      <c r="D587" s="16"/>
      <c r="E587" s="16"/>
      <c r="F587" s="16"/>
      <c r="G587" s="16"/>
      <c r="H587" s="16"/>
      <c r="I587" s="125"/>
      <c r="J587" s="16"/>
      <c r="K587" s="13"/>
      <c r="L587" s="13"/>
      <c r="M587" s="13"/>
      <c r="N587" s="16"/>
      <c r="O587" s="16"/>
      <c r="P587" s="16"/>
      <c r="Q587" s="16"/>
      <c r="R587" s="96"/>
      <c r="S587" s="96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6"/>
      <c r="B588" s="13"/>
      <c r="C588" s="16"/>
      <c r="D588" s="16"/>
      <c r="E588" s="16"/>
      <c r="F588" s="16"/>
      <c r="G588" s="16"/>
      <c r="H588" s="16"/>
      <c r="I588" s="125"/>
      <c r="J588" s="16"/>
      <c r="K588" s="13"/>
      <c r="L588" s="13"/>
      <c r="M588" s="13"/>
      <c r="N588" s="16"/>
      <c r="O588" s="16"/>
      <c r="P588" s="16"/>
      <c r="Q588" s="16"/>
      <c r="R588" s="96"/>
      <c r="S588" s="96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6"/>
      <c r="B589" s="13"/>
      <c r="C589" s="16"/>
      <c r="D589" s="16"/>
      <c r="E589" s="16"/>
      <c r="F589" s="16"/>
      <c r="G589" s="16"/>
      <c r="H589" s="16"/>
      <c r="I589" s="125"/>
      <c r="J589" s="16"/>
      <c r="K589" s="13"/>
      <c r="L589" s="13"/>
      <c r="M589" s="13"/>
      <c r="N589" s="16"/>
      <c r="O589" s="16"/>
      <c r="P589" s="16"/>
      <c r="Q589" s="16"/>
      <c r="R589" s="96"/>
      <c r="S589" s="96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6"/>
      <c r="B590" s="13"/>
      <c r="C590" s="16"/>
      <c r="D590" s="16"/>
      <c r="E590" s="16"/>
      <c r="F590" s="16"/>
      <c r="G590" s="16"/>
      <c r="H590" s="16"/>
      <c r="I590" s="125"/>
      <c r="J590" s="16"/>
      <c r="K590" s="13"/>
      <c r="L590" s="13"/>
      <c r="M590" s="13"/>
      <c r="N590" s="16"/>
      <c r="O590" s="16"/>
      <c r="P590" s="16"/>
      <c r="Q590" s="16"/>
      <c r="R590" s="96"/>
      <c r="S590" s="96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6"/>
      <c r="B591" s="13"/>
      <c r="C591" s="16"/>
      <c r="D591" s="16"/>
      <c r="E591" s="16"/>
      <c r="F591" s="16"/>
      <c r="G591" s="16"/>
      <c r="H591" s="16"/>
      <c r="I591" s="125"/>
      <c r="J591" s="16"/>
      <c r="K591" s="13"/>
      <c r="L591" s="13"/>
      <c r="M591" s="13"/>
      <c r="N591" s="16"/>
      <c r="O591" s="16"/>
      <c r="P591" s="16"/>
      <c r="Q591" s="16"/>
      <c r="R591" s="96"/>
      <c r="S591" s="96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6"/>
      <c r="B592" s="13"/>
      <c r="C592" s="16"/>
      <c r="D592" s="16"/>
      <c r="E592" s="16"/>
      <c r="F592" s="16"/>
      <c r="G592" s="16"/>
      <c r="H592" s="16"/>
      <c r="I592" s="125"/>
      <c r="J592" s="16"/>
      <c r="K592" s="13"/>
      <c r="L592" s="13"/>
      <c r="M592" s="13"/>
      <c r="N592" s="16"/>
      <c r="O592" s="16"/>
      <c r="P592" s="16"/>
      <c r="Q592" s="16"/>
      <c r="R592" s="96"/>
      <c r="S592" s="96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6"/>
      <c r="B593" s="13"/>
      <c r="C593" s="16"/>
      <c r="D593" s="16"/>
      <c r="E593" s="16"/>
      <c r="F593" s="16"/>
      <c r="G593" s="16"/>
      <c r="H593" s="16"/>
      <c r="I593" s="125"/>
      <c r="J593" s="16"/>
      <c r="K593" s="13"/>
      <c r="L593" s="13"/>
      <c r="M593" s="13"/>
      <c r="N593" s="16"/>
      <c r="O593" s="16"/>
      <c r="P593" s="16"/>
      <c r="Q593" s="16"/>
      <c r="R593" s="96"/>
      <c r="S593" s="96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6"/>
      <c r="B594" s="13"/>
      <c r="C594" s="16"/>
      <c r="D594" s="16"/>
      <c r="E594" s="16"/>
      <c r="F594" s="16"/>
      <c r="G594" s="16"/>
      <c r="H594" s="16"/>
      <c r="I594" s="125"/>
      <c r="J594" s="16"/>
      <c r="K594" s="13"/>
      <c r="L594" s="13"/>
      <c r="M594" s="13"/>
      <c r="N594" s="16"/>
      <c r="O594" s="16"/>
      <c r="P594" s="16"/>
      <c r="Q594" s="16"/>
      <c r="R594" s="96"/>
      <c r="S594" s="96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6"/>
      <c r="B595" s="13"/>
      <c r="C595" s="16"/>
      <c r="D595" s="16"/>
      <c r="E595" s="16"/>
      <c r="F595" s="16"/>
      <c r="G595" s="16"/>
      <c r="H595" s="16"/>
      <c r="I595" s="125"/>
      <c r="J595" s="16"/>
      <c r="K595" s="13"/>
      <c r="L595" s="13"/>
      <c r="M595" s="13"/>
      <c r="N595" s="16"/>
      <c r="O595" s="16"/>
      <c r="P595" s="16"/>
      <c r="Q595" s="16"/>
      <c r="R595" s="96"/>
      <c r="S595" s="96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6"/>
      <c r="B596" s="13"/>
      <c r="C596" s="16"/>
      <c r="D596" s="16"/>
      <c r="E596" s="16"/>
      <c r="F596" s="16"/>
      <c r="G596" s="16"/>
      <c r="H596" s="16"/>
      <c r="I596" s="125"/>
      <c r="J596" s="16"/>
      <c r="K596" s="13"/>
      <c r="L596" s="13"/>
      <c r="M596" s="13"/>
      <c r="N596" s="16"/>
      <c r="O596" s="16"/>
      <c r="P596" s="16"/>
      <c r="Q596" s="16"/>
      <c r="R596" s="96"/>
      <c r="S596" s="96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6"/>
      <c r="B597" s="13"/>
      <c r="C597" s="16"/>
      <c r="D597" s="16"/>
      <c r="E597" s="16"/>
      <c r="F597" s="16"/>
      <c r="G597" s="16"/>
      <c r="H597" s="16"/>
      <c r="I597" s="125"/>
      <c r="J597" s="16"/>
      <c r="K597" s="13"/>
      <c r="L597" s="13"/>
      <c r="M597" s="13"/>
      <c r="N597" s="16"/>
      <c r="O597" s="16"/>
      <c r="P597" s="16"/>
      <c r="Q597" s="16"/>
      <c r="R597" s="96"/>
      <c r="S597" s="96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6"/>
      <c r="B598" s="13"/>
      <c r="C598" s="16"/>
      <c r="D598" s="16"/>
      <c r="E598" s="16"/>
      <c r="F598" s="16"/>
      <c r="G598" s="16"/>
      <c r="H598" s="16"/>
      <c r="I598" s="125"/>
      <c r="J598" s="16"/>
      <c r="K598" s="13"/>
      <c r="L598" s="13"/>
      <c r="M598" s="13"/>
      <c r="N598" s="16"/>
      <c r="O598" s="16"/>
      <c r="P598" s="16"/>
      <c r="Q598" s="16"/>
      <c r="R598" s="96"/>
      <c r="S598" s="96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6"/>
      <c r="B599" s="13"/>
      <c r="C599" s="16"/>
      <c r="D599" s="16"/>
      <c r="E599" s="16"/>
      <c r="F599" s="16"/>
      <c r="G599" s="16"/>
      <c r="H599" s="16"/>
      <c r="I599" s="125"/>
      <c r="J599" s="16"/>
      <c r="K599" s="13"/>
      <c r="L599" s="13"/>
      <c r="M599" s="13"/>
      <c r="N599" s="16"/>
      <c r="O599" s="16"/>
      <c r="P599" s="16"/>
      <c r="Q599" s="16"/>
      <c r="R599" s="96"/>
      <c r="S599" s="96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6"/>
      <c r="B600" s="13"/>
      <c r="C600" s="16"/>
      <c r="D600" s="16"/>
      <c r="E600" s="16"/>
      <c r="F600" s="16"/>
      <c r="G600" s="16"/>
      <c r="H600" s="16"/>
      <c r="I600" s="125"/>
      <c r="J600" s="16"/>
      <c r="K600" s="13"/>
      <c r="L600" s="13"/>
      <c r="M600" s="13"/>
      <c r="N600" s="16"/>
      <c r="O600" s="16"/>
      <c r="P600" s="16"/>
      <c r="Q600" s="16"/>
      <c r="R600" s="96"/>
      <c r="S600" s="96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6"/>
      <c r="B601" s="13"/>
      <c r="C601" s="16"/>
      <c r="D601" s="16"/>
      <c r="E601" s="16"/>
      <c r="F601" s="16"/>
      <c r="G601" s="16"/>
      <c r="H601" s="16"/>
      <c r="I601" s="125"/>
      <c r="J601" s="16"/>
      <c r="K601" s="13"/>
      <c r="L601" s="13"/>
      <c r="M601" s="13"/>
      <c r="N601" s="16"/>
      <c r="O601" s="16"/>
      <c r="P601" s="16"/>
      <c r="Q601" s="16"/>
      <c r="R601" s="96"/>
      <c r="S601" s="96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6"/>
      <c r="B602" s="13"/>
      <c r="C602" s="16"/>
      <c r="D602" s="16"/>
      <c r="E602" s="16"/>
      <c r="F602" s="16"/>
      <c r="G602" s="16"/>
      <c r="H602" s="16"/>
      <c r="I602" s="125"/>
      <c r="J602" s="16"/>
      <c r="K602" s="13"/>
      <c r="L602" s="13"/>
      <c r="M602" s="13"/>
      <c r="N602" s="16"/>
      <c r="O602" s="16"/>
      <c r="P602" s="16"/>
      <c r="Q602" s="16"/>
      <c r="R602" s="96"/>
      <c r="S602" s="96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6"/>
      <c r="B603" s="13"/>
      <c r="C603" s="16"/>
      <c r="D603" s="16"/>
      <c r="E603" s="16"/>
      <c r="F603" s="16"/>
      <c r="G603" s="16"/>
      <c r="H603" s="16"/>
      <c r="I603" s="125"/>
      <c r="J603" s="16"/>
      <c r="K603" s="13"/>
      <c r="L603" s="13"/>
      <c r="M603" s="13"/>
      <c r="N603" s="16"/>
      <c r="O603" s="16"/>
      <c r="P603" s="16"/>
      <c r="Q603" s="16"/>
      <c r="R603" s="96"/>
      <c r="S603" s="96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6"/>
      <c r="B604" s="13"/>
      <c r="C604" s="16"/>
      <c r="D604" s="16"/>
      <c r="E604" s="16"/>
      <c r="F604" s="16"/>
      <c r="G604" s="16"/>
      <c r="H604" s="16"/>
      <c r="I604" s="125"/>
      <c r="J604" s="16"/>
      <c r="K604" s="13"/>
      <c r="L604" s="13"/>
      <c r="M604" s="13"/>
      <c r="N604" s="16"/>
      <c r="O604" s="16"/>
      <c r="P604" s="16"/>
      <c r="Q604" s="16"/>
      <c r="R604" s="96"/>
      <c r="S604" s="96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6"/>
      <c r="B605" s="13"/>
      <c r="C605" s="16"/>
      <c r="D605" s="16"/>
      <c r="E605" s="16"/>
      <c r="F605" s="16"/>
      <c r="G605" s="16"/>
      <c r="H605" s="16"/>
      <c r="I605" s="125"/>
      <c r="J605" s="16"/>
      <c r="K605" s="13"/>
      <c r="L605" s="13"/>
      <c r="M605" s="13"/>
      <c r="N605" s="16"/>
      <c r="O605" s="16"/>
      <c r="P605" s="16"/>
      <c r="Q605" s="16"/>
      <c r="R605" s="96"/>
      <c r="S605" s="96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6"/>
      <c r="B606" s="13"/>
      <c r="C606" s="16"/>
      <c r="D606" s="16"/>
      <c r="E606" s="16"/>
      <c r="F606" s="16"/>
      <c r="G606" s="16"/>
      <c r="H606" s="16"/>
      <c r="I606" s="125"/>
      <c r="J606" s="16"/>
      <c r="K606" s="13"/>
      <c r="L606" s="13"/>
      <c r="M606" s="13"/>
      <c r="N606" s="16"/>
      <c r="O606" s="16"/>
      <c r="P606" s="16"/>
      <c r="Q606" s="16"/>
      <c r="R606" s="96"/>
      <c r="S606" s="96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6"/>
      <c r="B607" s="13"/>
      <c r="C607" s="16"/>
      <c r="D607" s="16"/>
      <c r="E607" s="16"/>
      <c r="F607" s="16"/>
      <c r="G607" s="16"/>
      <c r="H607" s="16"/>
      <c r="I607" s="125"/>
      <c r="J607" s="16"/>
      <c r="K607" s="13"/>
      <c r="L607" s="13"/>
      <c r="M607" s="13"/>
      <c r="N607" s="16"/>
      <c r="O607" s="16"/>
      <c r="P607" s="16"/>
      <c r="Q607" s="16"/>
      <c r="R607" s="96"/>
      <c r="S607" s="96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6"/>
      <c r="B608" s="13"/>
      <c r="C608" s="16"/>
      <c r="D608" s="16"/>
      <c r="E608" s="16"/>
      <c r="F608" s="16"/>
      <c r="G608" s="16"/>
      <c r="H608" s="16"/>
      <c r="I608" s="125"/>
      <c r="J608" s="16"/>
      <c r="K608" s="13"/>
      <c r="L608" s="13"/>
      <c r="M608" s="13"/>
      <c r="N608" s="16"/>
      <c r="O608" s="16"/>
      <c r="P608" s="16"/>
      <c r="Q608" s="16"/>
      <c r="R608" s="96"/>
      <c r="S608" s="96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6"/>
      <c r="B609" s="13"/>
      <c r="C609" s="16"/>
      <c r="D609" s="16"/>
      <c r="E609" s="16"/>
      <c r="F609" s="16"/>
      <c r="G609" s="16"/>
      <c r="H609" s="16"/>
      <c r="I609" s="125"/>
      <c r="J609" s="16"/>
      <c r="K609" s="13"/>
      <c r="L609" s="13"/>
      <c r="M609" s="13"/>
      <c r="N609" s="16"/>
      <c r="O609" s="16"/>
      <c r="P609" s="16"/>
      <c r="Q609" s="16"/>
      <c r="R609" s="96"/>
      <c r="S609" s="96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6"/>
      <c r="B610" s="13"/>
      <c r="C610" s="16"/>
      <c r="D610" s="16"/>
      <c r="E610" s="16"/>
      <c r="F610" s="16"/>
      <c r="G610" s="16"/>
      <c r="H610" s="16"/>
      <c r="I610" s="125"/>
      <c r="J610" s="16"/>
      <c r="K610" s="13"/>
      <c r="L610" s="13"/>
      <c r="M610" s="13"/>
      <c r="N610" s="16"/>
      <c r="O610" s="16"/>
      <c r="P610" s="16"/>
      <c r="Q610" s="16"/>
      <c r="R610" s="96"/>
      <c r="S610" s="96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6"/>
      <c r="B611" s="13"/>
      <c r="C611" s="16"/>
      <c r="D611" s="16"/>
      <c r="E611" s="16"/>
      <c r="F611" s="16"/>
      <c r="G611" s="16"/>
      <c r="H611" s="16"/>
      <c r="I611" s="125"/>
      <c r="J611" s="16"/>
      <c r="K611" s="13"/>
      <c r="L611" s="13"/>
      <c r="M611" s="13"/>
      <c r="N611" s="16"/>
      <c r="O611" s="16"/>
      <c r="P611" s="16"/>
      <c r="Q611" s="16"/>
      <c r="R611" s="96"/>
      <c r="S611" s="96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6"/>
      <c r="B612" s="13"/>
      <c r="C612" s="16"/>
      <c r="D612" s="16"/>
      <c r="E612" s="16"/>
      <c r="F612" s="16"/>
      <c r="G612" s="16"/>
      <c r="H612" s="16"/>
      <c r="I612" s="125"/>
      <c r="J612" s="16"/>
      <c r="K612" s="13"/>
      <c r="L612" s="13"/>
      <c r="M612" s="13"/>
      <c r="N612" s="16"/>
      <c r="O612" s="16"/>
      <c r="P612" s="16"/>
      <c r="Q612" s="16"/>
      <c r="R612" s="96"/>
      <c r="S612" s="96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6"/>
      <c r="B613" s="13"/>
      <c r="C613" s="16"/>
      <c r="D613" s="16"/>
      <c r="E613" s="16"/>
      <c r="F613" s="16"/>
      <c r="G613" s="16"/>
      <c r="H613" s="16"/>
      <c r="I613" s="125"/>
      <c r="J613" s="16"/>
      <c r="K613" s="13"/>
      <c r="L613" s="13"/>
      <c r="M613" s="13"/>
      <c r="N613" s="16"/>
      <c r="O613" s="16"/>
      <c r="P613" s="16"/>
      <c r="Q613" s="16"/>
      <c r="R613" s="96"/>
      <c r="S613" s="96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6"/>
      <c r="B614" s="13"/>
      <c r="C614" s="16"/>
      <c r="D614" s="16"/>
      <c r="E614" s="16"/>
      <c r="F614" s="16"/>
      <c r="G614" s="16"/>
      <c r="H614" s="16"/>
      <c r="I614" s="125"/>
      <c r="J614" s="16"/>
      <c r="K614" s="13"/>
      <c r="L614" s="13"/>
      <c r="M614" s="13"/>
      <c r="N614" s="16"/>
      <c r="O614" s="16"/>
      <c r="P614" s="16"/>
      <c r="Q614" s="16"/>
      <c r="R614" s="96"/>
      <c r="S614" s="96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6"/>
      <c r="B615" s="13"/>
      <c r="C615" s="16"/>
      <c r="D615" s="16"/>
      <c r="E615" s="16"/>
      <c r="F615" s="16"/>
      <c r="G615" s="16"/>
      <c r="H615" s="16"/>
      <c r="I615" s="125"/>
      <c r="J615" s="16"/>
      <c r="K615" s="13"/>
      <c r="L615" s="13"/>
      <c r="M615" s="13"/>
      <c r="N615" s="16"/>
      <c r="O615" s="16"/>
      <c r="P615" s="16"/>
      <c r="Q615" s="16"/>
      <c r="R615" s="96"/>
      <c r="S615" s="96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6"/>
      <c r="B616" s="13"/>
      <c r="C616" s="16"/>
      <c r="D616" s="16"/>
      <c r="E616" s="16"/>
      <c r="F616" s="16"/>
      <c r="G616" s="16"/>
      <c r="H616" s="16"/>
      <c r="I616" s="125"/>
      <c r="J616" s="16"/>
      <c r="K616" s="13"/>
      <c r="L616" s="13"/>
      <c r="M616" s="13"/>
      <c r="N616" s="16"/>
      <c r="O616" s="16"/>
      <c r="P616" s="16"/>
      <c r="Q616" s="16"/>
      <c r="R616" s="96"/>
      <c r="S616" s="96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6"/>
      <c r="B617" s="13"/>
      <c r="C617" s="16"/>
      <c r="D617" s="16"/>
      <c r="E617" s="16"/>
      <c r="F617" s="16"/>
      <c r="G617" s="16"/>
      <c r="H617" s="16"/>
      <c r="I617" s="125"/>
      <c r="J617" s="16"/>
      <c r="K617" s="13"/>
      <c r="L617" s="13"/>
      <c r="M617" s="13"/>
      <c r="N617" s="16"/>
      <c r="O617" s="16"/>
      <c r="P617" s="16"/>
      <c r="Q617" s="16"/>
      <c r="R617" s="96"/>
      <c r="S617" s="96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6"/>
      <c r="B618" s="13"/>
      <c r="C618" s="16"/>
      <c r="D618" s="16"/>
      <c r="E618" s="16"/>
      <c r="F618" s="16"/>
      <c r="G618" s="16"/>
      <c r="H618" s="16"/>
      <c r="I618" s="125"/>
      <c r="J618" s="16"/>
      <c r="K618" s="13"/>
      <c r="L618" s="13"/>
      <c r="M618" s="13"/>
      <c r="N618" s="16"/>
      <c r="O618" s="16"/>
      <c r="P618" s="16"/>
      <c r="Q618" s="16"/>
      <c r="R618" s="96"/>
      <c r="S618" s="96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6"/>
      <c r="B619" s="13"/>
      <c r="C619" s="16"/>
      <c r="D619" s="16"/>
      <c r="E619" s="16"/>
      <c r="F619" s="16"/>
      <c r="G619" s="16"/>
      <c r="H619" s="16"/>
      <c r="I619" s="125"/>
      <c r="J619" s="16"/>
      <c r="K619" s="13"/>
      <c r="L619" s="13"/>
      <c r="M619" s="13"/>
      <c r="N619" s="16"/>
      <c r="O619" s="16"/>
      <c r="P619" s="16"/>
      <c r="Q619" s="16"/>
      <c r="R619" s="96"/>
      <c r="S619" s="96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6"/>
      <c r="B620" s="13"/>
      <c r="C620" s="16"/>
      <c r="D620" s="16"/>
      <c r="E620" s="16"/>
      <c r="F620" s="16"/>
      <c r="G620" s="16"/>
      <c r="H620" s="16"/>
      <c r="I620" s="125"/>
      <c r="J620" s="16"/>
      <c r="K620" s="13"/>
      <c r="L620" s="13"/>
      <c r="M620" s="13"/>
      <c r="N620" s="16"/>
      <c r="O620" s="16"/>
      <c r="P620" s="16"/>
      <c r="Q620" s="16"/>
      <c r="R620" s="96"/>
      <c r="S620" s="96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6"/>
      <c r="B621" s="13"/>
      <c r="C621" s="16"/>
      <c r="D621" s="16"/>
      <c r="E621" s="16"/>
      <c r="F621" s="16"/>
      <c r="G621" s="16"/>
      <c r="H621" s="16"/>
      <c r="I621" s="125"/>
      <c r="J621" s="16"/>
      <c r="K621" s="13"/>
      <c r="L621" s="13"/>
      <c r="M621" s="13"/>
      <c r="N621" s="16"/>
      <c r="O621" s="16"/>
      <c r="P621" s="16"/>
      <c r="Q621" s="16"/>
      <c r="R621" s="96"/>
      <c r="S621" s="96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6"/>
      <c r="B622" s="13"/>
      <c r="C622" s="16"/>
      <c r="D622" s="16"/>
      <c r="E622" s="16"/>
      <c r="F622" s="16"/>
      <c r="G622" s="16"/>
      <c r="H622" s="16"/>
      <c r="I622" s="125"/>
      <c r="J622" s="16"/>
      <c r="K622" s="13"/>
      <c r="L622" s="13"/>
      <c r="M622" s="13"/>
      <c r="N622" s="16"/>
      <c r="O622" s="16"/>
      <c r="P622" s="16"/>
      <c r="Q622" s="16"/>
      <c r="R622" s="96"/>
      <c r="S622" s="96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6"/>
      <c r="B623" s="13"/>
      <c r="C623" s="16"/>
      <c r="D623" s="16"/>
      <c r="E623" s="16"/>
      <c r="F623" s="16"/>
      <c r="G623" s="16"/>
      <c r="H623" s="16"/>
      <c r="I623" s="125"/>
      <c r="J623" s="16"/>
      <c r="K623" s="13"/>
      <c r="L623" s="13"/>
      <c r="M623" s="13"/>
      <c r="N623" s="16"/>
      <c r="O623" s="16"/>
      <c r="P623" s="16"/>
      <c r="Q623" s="16"/>
      <c r="R623" s="96"/>
      <c r="S623" s="96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6"/>
      <c r="B624" s="13"/>
      <c r="C624" s="16"/>
      <c r="D624" s="16"/>
      <c r="E624" s="16"/>
      <c r="F624" s="16"/>
      <c r="G624" s="16"/>
      <c r="H624" s="16"/>
      <c r="I624" s="125"/>
      <c r="J624" s="16"/>
      <c r="K624" s="13"/>
      <c r="L624" s="13"/>
      <c r="M624" s="13"/>
      <c r="N624" s="16"/>
      <c r="O624" s="16"/>
      <c r="P624" s="16"/>
      <c r="Q624" s="16"/>
      <c r="R624" s="96"/>
      <c r="S624" s="96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6"/>
      <c r="B625" s="13"/>
      <c r="C625" s="16"/>
      <c r="D625" s="16"/>
      <c r="E625" s="16"/>
      <c r="F625" s="16"/>
      <c r="G625" s="16"/>
      <c r="H625" s="16"/>
      <c r="I625" s="125"/>
      <c r="J625" s="16"/>
      <c r="K625" s="13"/>
      <c r="L625" s="13"/>
      <c r="M625" s="13"/>
      <c r="N625" s="16"/>
      <c r="O625" s="16"/>
      <c r="P625" s="16"/>
      <c r="Q625" s="16"/>
      <c r="R625" s="96"/>
      <c r="S625" s="96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6"/>
      <c r="B626" s="13"/>
      <c r="C626" s="16"/>
      <c r="D626" s="16"/>
      <c r="E626" s="16"/>
      <c r="F626" s="16"/>
      <c r="G626" s="16"/>
      <c r="H626" s="16"/>
      <c r="I626" s="125"/>
      <c r="J626" s="16"/>
      <c r="K626" s="13"/>
      <c r="L626" s="13"/>
      <c r="M626" s="13"/>
      <c r="N626" s="16"/>
      <c r="O626" s="16"/>
      <c r="P626" s="16"/>
      <c r="Q626" s="16"/>
      <c r="R626" s="96"/>
      <c r="S626" s="96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6"/>
      <c r="B627" s="13"/>
      <c r="C627" s="16"/>
      <c r="D627" s="16"/>
      <c r="E627" s="16"/>
      <c r="F627" s="16"/>
      <c r="G627" s="16"/>
      <c r="H627" s="16"/>
      <c r="I627" s="125"/>
      <c r="J627" s="16"/>
      <c r="K627" s="13"/>
      <c r="L627" s="13"/>
      <c r="M627" s="13"/>
      <c r="N627" s="16"/>
      <c r="O627" s="16"/>
      <c r="P627" s="16"/>
      <c r="Q627" s="16"/>
      <c r="R627" s="96"/>
      <c r="S627" s="96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6"/>
      <c r="B628" s="13"/>
      <c r="C628" s="16"/>
      <c r="D628" s="16"/>
      <c r="E628" s="16"/>
      <c r="F628" s="16"/>
      <c r="G628" s="16"/>
      <c r="H628" s="16"/>
      <c r="I628" s="125"/>
      <c r="J628" s="16"/>
      <c r="K628" s="13"/>
      <c r="L628" s="13"/>
      <c r="M628" s="13"/>
      <c r="N628" s="16"/>
      <c r="O628" s="16"/>
      <c r="P628" s="16"/>
      <c r="Q628" s="16"/>
      <c r="R628" s="96"/>
      <c r="S628" s="96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6"/>
      <c r="B629" s="13"/>
      <c r="C629" s="16"/>
      <c r="D629" s="16"/>
      <c r="E629" s="16"/>
      <c r="F629" s="16"/>
      <c r="G629" s="16"/>
      <c r="H629" s="16"/>
      <c r="I629" s="125"/>
      <c r="J629" s="16"/>
      <c r="K629" s="13"/>
      <c r="L629" s="13"/>
      <c r="M629" s="13"/>
      <c r="N629" s="16"/>
      <c r="O629" s="16"/>
      <c r="P629" s="16"/>
      <c r="Q629" s="16"/>
      <c r="R629" s="96"/>
      <c r="S629" s="96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6"/>
      <c r="B630" s="13"/>
      <c r="C630" s="16"/>
      <c r="D630" s="16"/>
      <c r="E630" s="16"/>
      <c r="F630" s="16"/>
      <c r="G630" s="16"/>
      <c r="H630" s="16"/>
      <c r="I630" s="125"/>
      <c r="J630" s="16"/>
      <c r="K630" s="13"/>
      <c r="L630" s="13"/>
      <c r="M630" s="13"/>
      <c r="N630" s="16"/>
      <c r="O630" s="16"/>
      <c r="P630" s="16"/>
      <c r="Q630" s="16"/>
      <c r="R630" s="96"/>
      <c r="S630" s="96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6"/>
      <c r="B631" s="13"/>
      <c r="C631" s="16"/>
      <c r="D631" s="16"/>
      <c r="E631" s="16"/>
      <c r="F631" s="16"/>
      <c r="G631" s="16"/>
      <c r="H631" s="16"/>
      <c r="I631" s="125"/>
      <c r="J631" s="16"/>
      <c r="K631" s="13"/>
      <c r="L631" s="13"/>
      <c r="M631" s="13"/>
      <c r="N631" s="16"/>
      <c r="O631" s="16"/>
      <c r="P631" s="16"/>
      <c r="Q631" s="16"/>
      <c r="R631" s="96"/>
      <c r="S631" s="96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6"/>
      <c r="B632" s="13"/>
      <c r="C632" s="16"/>
      <c r="D632" s="16"/>
      <c r="E632" s="16"/>
      <c r="F632" s="16"/>
      <c r="G632" s="16"/>
      <c r="H632" s="16"/>
      <c r="I632" s="125"/>
      <c r="J632" s="16"/>
      <c r="K632" s="13"/>
      <c r="L632" s="13"/>
      <c r="M632" s="13"/>
      <c r="N632" s="16"/>
      <c r="O632" s="16"/>
      <c r="P632" s="16"/>
      <c r="Q632" s="16"/>
      <c r="R632" s="96"/>
      <c r="S632" s="96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6"/>
      <c r="B633" s="13"/>
      <c r="C633" s="16"/>
      <c r="D633" s="16"/>
      <c r="E633" s="16"/>
      <c r="F633" s="16"/>
      <c r="G633" s="16"/>
      <c r="H633" s="16"/>
      <c r="I633" s="125"/>
      <c r="J633" s="16"/>
      <c r="K633" s="13"/>
      <c r="L633" s="13"/>
      <c r="M633" s="13"/>
      <c r="N633" s="16"/>
      <c r="O633" s="16"/>
      <c r="P633" s="16"/>
      <c r="Q633" s="16"/>
      <c r="R633" s="96"/>
      <c r="S633" s="96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6"/>
      <c r="B634" s="13"/>
      <c r="C634" s="16"/>
      <c r="D634" s="16"/>
      <c r="E634" s="16"/>
      <c r="F634" s="16"/>
      <c r="G634" s="16"/>
      <c r="H634" s="16"/>
      <c r="I634" s="125"/>
      <c r="J634" s="16"/>
      <c r="K634" s="13"/>
      <c r="L634" s="13"/>
      <c r="M634" s="13"/>
      <c r="N634" s="16"/>
      <c r="O634" s="16"/>
      <c r="P634" s="16"/>
      <c r="Q634" s="16"/>
      <c r="R634" s="96"/>
      <c r="S634" s="96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6"/>
      <c r="B635" s="13"/>
      <c r="C635" s="16"/>
      <c r="D635" s="16"/>
      <c r="E635" s="16"/>
      <c r="F635" s="16"/>
      <c r="G635" s="16"/>
      <c r="H635" s="16"/>
      <c r="I635" s="125"/>
      <c r="J635" s="16"/>
      <c r="K635" s="13"/>
      <c r="L635" s="13"/>
      <c r="M635" s="13"/>
      <c r="N635" s="16"/>
      <c r="O635" s="16"/>
      <c r="P635" s="16"/>
      <c r="Q635" s="16"/>
      <c r="R635" s="96"/>
      <c r="S635" s="96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6"/>
      <c r="B636" s="13"/>
      <c r="C636" s="16"/>
      <c r="D636" s="16"/>
      <c r="E636" s="16"/>
      <c r="F636" s="16"/>
      <c r="G636" s="16"/>
      <c r="H636" s="16"/>
      <c r="I636" s="125"/>
      <c r="J636" s="16"/>
      <c r="K636" s="13"/>
      <c r="L636" s="13"/>
      <c r="M636" s="13"/>
      <c r="N636" s="16"/>
      <c r="O636" s="16"/>
      <c r="P636" s="16"/>
      <c r="Q636" s="16"/>
      <c r="R636" s="96"/>
      <c r="S636" s="96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6"/>
      <c r="B637" s="13"/>
      <c r="C637" s="16"/>
      <c r="D637" s="16"/>
      <c r="E637" s="16"/>
      <c r="F637" s="16"/>
      <c r="G637" s="16"/>
      <c r="H637" s="16"/>
      <c r="I637" s="125"/>
      <c r="J637" s="16"/>
      <c r="K637" s="13"/>
      <c r="L637" s="13"/>
      <c r="M637" s="13"/>
      <c r="N637" s="16"/>
      <c r="O637" s="16"/>
      <c r="P637" s="16"/>
      <c r="Q637" s="16"/>
      <c r="R637" s="96"/>
      <c r="S637" s="96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6"/>
      <c r="B638" s="13"/>
      <c r="C638" s="16"/>
      <c r="D638" s="16"/>
      <c r="E638" s="16"/>
      <c r="F638" s="16"/>
      <c r="G638" s="16"/>
      <c r="H638" s="16"/>
      <c r="I638" s="125"/>
      <c r="J638" s="16"/>
      <c r="K638" s="13"/>
      <c r="L638" s="13"/>
      <c r="M638" s="13"/>
      <c r="N638" s="16"/>
      <c r="O638" s="16"/>
      <c r="P638" s="16"/>
      <c r="Q638" s="16"/>
      <c r="R638" s="96"/>
      <c r="S638" s="96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6"/>
      <c r="B639" s="13"/>
      <c r="C639" s="16"/>
      <c r="D639" s="16"/>
      <c r="E639" s="16"/>
      <c r="F639" s="16"/>
      <c r="G639" s="16"/>
      <c r="H639" s="16"/>
      <c r="I639" s="125"/>
      <c r="J639" s="16"/>
      <c r="K639" s="13"/>
      <c r="L639" s="13"/>
      <c r="M639" s="13"/>
      <c r="N639" s="16"/>
      <c r="O639" s="16"/>
      <c r="P639" s="16"/>
      <c r="Q639" s="16"/>
      <c r="R639" s="96"/>
      <c r="S639" s="96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6"/>
      <c r="B640" s="13"/>
      <c r="C640" s="16"/>
      <c r="D640" s="16"/>
      <c r="E640" s="16"/>
      <c r="F640" s="16"/>
      <c r="G640" s="16"/>
      <c r="H640" s="16"/>
      <c r="I640" s="125"/>
      <c r="J640" s="16"/>
      <c r="K640" s="13"/>
      <c r="L640" s="13"/>
      <c r="M640" s="13"/>
      <c r="N640" s="16"/>
      <c r="O640" s="16"/>
      <c r="P640" s="16"/>
      <c r="Q640" s="16"/>
      <c r="R640" s="96"/>
      <c r="S640" s="96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6"/>
      <c r="B641" s="13"/>
      <c r="C641" s="16"/>
      <c r="D641" s="16"/>
      <c r="E641" s="16"/>
      <c r="F641" s="16"/>
      <c r="G641" s="16"/>
      <c r="H641" s="16"/>
      <c r="I641" s="125"/>
      <c r="J641" s="16"/>
      <c r="K641" s="13"/>
      <c r="L641" s="13"/>
      <c r="M641" s="13"/>
      <c r="N641" s="16"/>
      <c r="O641" s="16"/>
      <c r="P641" s="16"/>
      <c r="Q641" s="16"/>
      <c r="R641" s="96"/>
      <c r="S641" s="96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6"/>
      <c r="B642" s="13"/>
      <c r="C642" s="16"/>
      <c r="D642" s="16"/>
      <c r="E642" s="16"/>
      <c r="F642" s="16"/>
      <c r="G642" s="16"/>
      <c r="H642" s="16"/>
      <c r="I642" s="125"/>
      <c r="J642" s="16"/>
      <c r="K642" s="13"/>
      <c r="L642" s="13"/>
      <c r="M642" s="13"/>
      <c r="N642" s="16"/>
      <c r="O642" s="16"/>
      <c r="P642" s="16"/>
      <c r="Q642" s="16"/>
      <c r="R642" s="96"/>
      <c r="S642" s="96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6"/>
      <c r="B643" s="13"/>
      <c r="C643" s="16"/>
      <c r="D643" s="16"/>
      <c r="E643" s="16"/>
      <c r="F643" s="16"/>
      <c r="G643" s="16"/>
      <c r="H643" s="16"/>
      <c r="I643" s="125"/>
      <c r="J643" s="16"/>
      <c r="K643" s="13"/>
      <c r="L643" s="13"/>
      <c r="M643" s="13"/>
      <c r="N643" s="16"/>
      <c r="O643" s="16"/>
      <c r="P643" s="16"/>
      <c r="Q643" s="16"/>
      <c r="R643" s="96"/>
      <c r="S643" s="96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6"/>
      <c r="B644" s="13"/>
      <c r="C644" s="16"/>
      <c r="D644" s="16"/>
      <c r="E644" s="16"/>
      <c r="F644" s="16"/>
      <c r="G644" s="16"/>
      <c r="H644" s="16"/>
      <c r="I644" s="125"/>
      <c r="J644" s="16"/>
      <c r="K644" s="13"/>
      <c r="L644" s="13"/>
      <c r="M644" s="13"/>
      <c r="N644" s="16"/>
      <c r="O644" s="16"/>
      <c r="P644" s="16"/>
      <c r="Q644" s="16"/>
      <c r="R644" s="96"/>
      <c r="S644" s="96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6"/>
      <c r="B645" s="13"/>
      <c r="C645" s="16"/>
      <c r="D645" s="16"/>
      <c r="E645" s="16"/>
      <c r="F645" s="16"/>
      <c r="G645" s="16"/>
      <c r="H645" s="16"/>
      <c r="I645" s="125"/>
      <c r="J645" s="16"/>
      <c r="K645" s="13"/>
      <c r="L645" s="13"/>
      <c r="M645" s="13"/>
      <c r="N645" s="16"/>
      <c r="O645" s="16"/>
      <c r="P645" s="16"/>
      <c r="Q645" s="16"/>
      <c r="R645" s="96"/>
      <c r="S645" s="96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6"/>
      <c r="B646" s="13"/>
      <c r="C646" s="16"/>
      <c r="D646" s="16"/>
      <c r="E646" s="16"/>
      <c r="F646" s="16"/>
      <c r="G646" s="16"/>
      <c r="H646" s="16"/>
      <c r="I646" s="125"/>
      <c r="J646" s="16"/>
      <c r="K646" s="13"/>
      <c r="L646" s="13"/>
      <c r="M646" s="13"/>
      <c r="N646" s="16"/>
      <c r="O646" s="16"/>
      <c r="P646" s="16"/>
      <c r="Q646" s="16"/>
      <c r="R646" s="96"/>
      <c r="S646" s="96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6"/>
      <c r="B647" s="13"/>
      <c r="C647" s="16"/>
      <c r="D647" s="16"/>
      <c r="E647" s="16"/>
      <c r="F647" s="16"/>
      <c r="G647" s="16"/>
      <c r="H647" s="16"/>
      <c r="I647" s="125"/>
      <c r="J647" s="16"/>
      <c r="K647" s="13"/>
      <c r="L647" s="13"/>
      <c r="M647" s="13"/>
      <c r="N647" s="16"/>
      <c r="O647" s="16"/>
      <c r="P647" s="16"/>
      <c r="Q647" s="16"/>
      <c r="R647" s="96"/>
      <c r="S647" s="96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6"/>
      <c r="B648" s="13"/>
      <c r="C648" s="16"/>
      <c r="D648" s="16"/>
      <c r="E648" s="16"/>
      <c r="F648" s="16"/>
      <c r="G648" s="16"/>
      <c r="H648" s="16"/>
      <c r="I648" s="125"/>
      <c r="J648" s="16"/>
      <c r="K648" s="13"/>
      <c r="L648" s="13"/>
      <c r="M648" s="13"/>
      <c r="N648" s="16"/>
      <c r="O648" s="16"/>
      <c r="P648" s="16"/>
      <c r="Q648" s="16"/>
      <c r="R648" s="96"/>
      <c r="S648" s="96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6"/>
      <c r="B649" s="13"/>
      <c r="C649" s="16"/>
      <c r="D649" s="16"/>
      <c r="E649" s="16"/>
      <c r="F649" s="16"/>
      <c r="G649" s="16"/>
      <c r="H649" s="16"/>
      <c r="I649" s="125"/>
      <c r="J649" s="16"/>
      <c r="K649" s="13"/>
      <c r="L649" s="13"/>
      <c r="M649" s="13"/>
      <c r="N649" s="16"/>
      <c r="O649" s="16"/>
      <c r="P649" s="16"/>
      <c r="Q649" s="16"/>
      <c r="R649" s="96"/>
      <c r="S649" s="96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6"/>
      <c r="B650" s="13"/>
      <c r="C650" s="16"/>
      <c r="D650" s="16"/>
      <c r="E650" s="16"/>
      <c r="F650" s="16"/>
      <c r="G650" s="16"/>
      <c r="H650" s="16"/>
      <c r="I650" s="125"/>
      <c r="J650" s="16"/>
      <c r="K650" s="13"/>
      <c r="L650" s="13"/>
      <c r="M650" s="13"/>
      <c r="N650" s="16"/>
      <c r="O650" s="16"/>
      <c r="P650" s="16"/>
      <c r="Q650" s="16"/>
      <c r="R650" s="96"/>
      <c r="S650" s="96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6"/>
      <c r="B651" s="13"/>
      <c r="C651" s="16"/>
      <c r="D651" s="16"/>
      <c r="E651" s="16"/>
      <c r="F651" s="16"/>
      <c r="G651" s="16"/>
      <c r="H651" s="16"/>
      <c r="I651" s="125"/>
      <c r="J651" s="16"/>
      <c r="K651" s="13"/>
      <c r="L651" s="13"/>
      <c r="M651" s="13"/>
      <c r="N651" s="16"/>
      <c r="O651" s="16"/>
      <c r="P651" s="16"/>
      <c r="Q651" s="16"/>
      <c r="R651" s="96"/>
      <c r="S651" s="96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6"/>
      <c r="B652" s="13"/>
      <c r="C652" s="16"/>
      <c r="D652" s="16"/>
      <c r="E652" s="16"/>
      <c r="F652" s="16"/>
      <c r="G652" s="16"/>
      <c r="H652" s="16"/>
      <c r="I652" s="125"/>
      <c r="J652" s="16"/>
      <c r="K652" s="13"/>
      <c r="L652" s="13"/>
      <c r="M652" s="13"/>
      <c r="N652" s="16"/>
      <c r="O652" s="16"/>
      <c r="P652" s="16"/>
      <c r="Q652" s="16"/>
      <c r="R652" s="96"/>
      <c r="S652" s="96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6"/>
      <c r="B653" s="13"/>
      <c r="C653" s="16"/>
      <c r="D653" s="16"/>
      <c r="E653" s="16"/>
      <c r="F653" s="16"/>
      <c r="G653" s="16"/>
      <c r="H653" s="16"/>
      <c r="I653" s="125"/>
      <c r="J653" s="16"/>
      <c r="K653" s="13"/>
      <c r="L653" s="13"/>
      <c r="M653" s="13"/>
      <c r="N653" s="16"/>
      <c r="O653" s="16"/>
      <c r="P653" s="16"/>
      <c r="Q653" s="16"/>
      <c r="R653" s="96"/>
      <c r="S653" s="96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6"/>
      <c r="B654" s="13"/>
      <c r="C654" s="16"/>
      <c r="D654" s="16"/>
      <c r="E654" s="16"/>
      <c r="F654" s="16"/>
      <c r="G654" s="16"/>
      <c r="H654" s="16"/>
      <c r="I654" s="125"/>
      <c r="J654" s="16"/>
      <c r="K654" s="13"/>
      <c r="L654" s="13"/>
      <c r="M654" s="13"/>
      <c r="N654" s="16"/>
      <c r="O654" s="16"/>
      <c r="P654" s="16"/>
      <c r="Q654" s="16"/>
      <c r="R654" s="96"/>
      <c r="S654" s="96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6"/>
      <c r="B655" s="13"/>
      <c r="C655" s="16"/>
      <c r="D655" s="16"/>
      <c r="E655" s="16"/>
      <c r="F655" s="16"/>
      <c r="G655" s="16"/>
      <c r="H655" s="16"/>
      <c r="I655" s="125"/>
      <c r="J655" s="16"/>
      <c r="K655" s="13"/>
      <c r="L655" s="13"/>
      <c r="M655" s="13"/>
      <c r="N655" s="16"/>
      <c r="O655" s="16"/>
      <c r="P655" s="16"/>
      <c r="Q655" s="16"/>
      <c r="R655" s="96"/>
      <c r="S655" s="96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6"/>
      <c r="B656" s="13"/>
      <c r="C656" s="16"/>
      <c r="D656" s="16"/>
      <c r="E656" s="16"/>
      <c r="F656" s="16"/>
      <c r="G656" s="16"/>
      <c r="H656" s="16"/>
      <c r="I656" s="125"/>
      <c r="J656" s="16"/>
      <c r="K656" s="13"/>
      <c r="L656" s="13"/>
      <c r="M656" s="13"/>
      <c r="N656" s="16"/>
      <c r="O656" s="16"/>
      <c r="P656" s="16"/>
      <c r="Q656" s="16"/>
      <c r="R656" s="96"/>
      <c r="S656" s="96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6"/>
      <c r="B657" s="13"/>
      <c r="C657" s="16"/>
      <c r="D657" s="16"/>
      <c r="E657" s="16"/>
      <c r="F657" s="16"/>
      <c r="G657" s="16"/>
      <c r="H657" s="16"/>
      <c r="I657" s="125"/>
      <c r="J657" s="16"/>
      <c r="K657" s="13"/>
      <c r="L657" s="13"/>
      <c r="M657" s="13"/>
      <c r="N657" s="16"/>
      <c r="O657" s="16"/>
      <c r="P657" s="16"/>
      <c r="Q657" s="16"/>
      <c r="R657" s="96"/>
      <c r="S657" s="96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6"/>
      <c r="B658" s="13"/>
      <c r="C658" s="16"/>
      <c r="D658" s="16"/>
      <c r="E658" s="16"/>
      <c r="F658" s="16"/>
      <c r="G658" s="16"/>
      <c r="H658" s="16"/>
      <c r="I658" s="125"/>
      <c r="J658" s="16"/>
      <c r="K658" s="13"/>
      <c r="L658" s="13"/>
      <c r="M658" s="13"/>
      <c r="N658" s="16"/>
      <c r="O658" s="16"/>
      <c r="P658" s="16"/>
      <c r="Q658" s="16"/>
      <c r="R658" s="96"/>
      <c r="S658" s="96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6"/>
      <c r="B659" s="13"/>
      <c r="C659" s="16"/>
      <c r="D659" s="16"/>
      <c r="E659" s="16"/>
      <c r="F659" s="16"/>
      <c r="G659" s="16"/>
      <c r="H659" s="16"/>
      <c r="I659" s="125"/>
      <c r="J659" s="16"/>
      <c r="K659" s="13"/>
      <c r="L659" s="13"/>
      <c r="M659" s="13"/>
      <c r="N659" s="16"/>
      <c r="O659" s="16"/>
      <c r="P659" s="16"/>
      <c r="Q659" s="16"/>
      <c r="R659" s="96"/>
      <c r="S659" s="96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6"/>
      <c r="B660" s="13"/>
      <c r="C660" s="16"/>
      <c r="D660" s="16"/>
      <c r="E660" s="16"/>
      <c r="F660" s="16"/>
      <c r="G660" s="16"/>
      <c r="H660" s="16"/>
      <c r="I660" s="125"/>
      <c r="J660" s="16"/>
      <c r="K660" s="13"/>
      <c r="L660" s="13"/>
      <c r="M660" s="13"/>
      <c r="N660" s="16"/>
      <c r="O660" s="16"/>
      <c r="P660" s="16"/>
      <c r="Q660" s="16"/>
      <c r="R660" s="96"/>
      <c r="S660" s="96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6"/>
      <c r="B661" s="13"/>
      <c r="C661" s="16"/>
      <c r="D661" s="16"/>
      <c r="E661" s="16"/>
      <c r="F661" s="16"/>
      <c r="G661" s="16"/>
      <c r="H661" s="16"/>
      <c r="I661" s="125"/>
      <c r="J661" s="16"/>
      <c r="K661" s="13"/>
      <c r="L661" s="13"/>
      <c r="M661" s="13"/>
      <c r="N661" s="16"/>
      <c r="O661" s="16"/>
      <c r="P661" s="16"/>
      <c r="Q661" s="16"/>
      <c r="R661" s="96"/>
      <c r="S661" s="96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6"/>
      <c r="B662" s="13"/>
      <c r="C662" s="16"/>
      <c r="D662" s="16"/>
      <c r="E662" s="16"/>
      <c r="F662" s="16"/>
      <c r="G662" s="16"/>
      <c r="H662" s="16"/>
      <c r="I662" s="125"/>
      <c r="J662" s="16"/>
      <c r="K662" s="13"/>
      <c r="L662" s="13"/>
      <c r="M662" s="13"/>
      <c r="N662" s="16"/>
      <c r="O662" s="16"/>
      <c r="P662" s="16"/>
      <c r="Q662" s="16"/>
      <c r="R662" s="96"/>
      <c r="S662" s="96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6"/>
      <c r="B663" s="13"/>
      <c r="C663" s="16"/>
      <c r="D663" s="16"/>
      <c r="E663" s="16"/>
      <c r="F663" s="16"/>
      <c r="G663" s="16"/>
      <c r="H663" s="16"/>
      <c r="I663" s="125"/>
      <c r="J663" s="16"/>
      <c r="K663" s="13"/>
      <c r="L663" s="13"/>
      <c r="M663" s="13"/>
      <c r="N663" s="16"/>
      <c r="O663" s="16"/>
      <c r="P663" s="16"/>
      <c r="Q663" s="16"/>
      <c r="R663" s="96"/>
      <c r="S663" s="96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6"/>
      <c r="B664" s="13"/>
      <c r="C664" s="16"/>
      <c r="D664" s="16"/>
      <c r="E664" s="16"/>
      <c r="F664" s="16"/>
      <c r="G664" s="16"/>
      <c r="H664" s="16"/>
      <c r="I664" s="125"/>
      <c r="J664" s="16"/>
      <c r="K664" s="13"/>
      <c r="L664" s="13"/>
      <c r="M664" s="13"/>
      <c r="N664" s="16"/>
      <c r="O664" s="16"/>
      <c r="P664" s="16"/>
      <c r="Q664" s="16"/>
      <c r="R664" s="96"/>
      <c r="S664" s="96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6"/>
      <c r="B665" s="13"/>
      <c r="C665" s="16"/>
      <c r="D665" s="16"/>
      <c r="E665" s="16"/>
      <c r="F665" s="16"/>
      <c r="G665" s="16"/>
      <c r="H665" s="16"/>
      <c r="I665" s="125"/>
      <c r="J665" s="16"/>
      <c r="K665" s="13"/>
      <c r="L665" s="13"/>
      <c r="M665" s="13"/>
      <c r="N665" s="16"/>
      <c r="O665" s="16"/>
      <c r="P665" s="16"/>
      <c r="Q665" s="16"/>
      <c r="R665" s="96"/>
      <c r="S665" s="96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6"/>
      <c r="B666" s="13"/>
      <c r="C666" s="16"/>
      <c r="D666" s="16"/>
      <c r="E666" s="16"/>
      <c r="F666" s="16"/>
      <c r="G666" s="16"/>
      <c r="H666" s="16"/>
      <c r="I666" s="125"/>
      <c r="J666" s="16"/>
      <c r="K666" s="13"/>
      <c r="L666" s="13"/>
      <c r="M666" s="13"/>
      <c r="N666" s="16"/>
      <c r="O666" s="16"/>
      <c r="P666" s="16"/>
      <c r="Q666" s="16"/>
      <c r="R666" s="96"/>
      <c r="S666" s="96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6"/>
      <c r="B667" s="13"/>
      <c r="C667" s="16"/>
      <c r="D667" s="16"/>
      <c r="E667" s="16"/>
      <c r="F667" s="16"/>
      <c r="G667" s="16"/>
      <c r="H667" s="16"/>
      <c r="I667" s="125"/>
      <c r="J667" s="16"/>
      <c r="K667" s="13"/>
      <c r="L667" s="13"/>
      <c r="M667" s="13"/>
      <c r="N667" s="16"/>
      <c r="O667" s="16"/>
      <c r="P667" s="16"/>
      <c r="Q667" s="16"/>
      <c r="R667" s="96"/>
      <c r="S667" s="96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6"/>
      <c r="B668" s="13"/>
      <c r="C668" s="16"/>
      <c r="D668" s="16"/>
      <c r="E668" s="16"/>
      <c r="F668" s="16"/>
      <c r="G668" s="16"/>
      <c r="H668" s="16"/>
      <c r="I668" s="125"/>
      <c r="J668" s="16"/>
      <c r="K668" s="13"/>
      <c r="L668" s="13"/>
      <c r="M668" s="13"/>
      <c r="N668" s="16"/>
      <c r="O668" s="16"/>
      <c r="P668" s="16"/>
      <c r="Q668" s="16"/>
      <c r="R668" s="96"/>
      <c r="S668" s="96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6"/>
      <c r="B669" s="13"/>
      <c r="C669" s="16"/>
      <c r="D669" s="16"/>
      <c r="E669" s="16"/>
      <c r="F669" s="16"/>
      <c r="G669" s="16"/>
      <c r="H669" s="16"/>
      <c r="I669" s="125"/>
      <c r="J669" s="16"/>
      <c r="K669" s="13"/>
      <c r="L669" s="13"/>
      <c r="M669" s="13"/>
      <c r="N669" s="16"/>
      <c r="O669" s="16"/>
      <c r="P669" s="16"/>
      <c r="Q669" s="16"/>
      <c r="R669" s="96"/>
      <c r="S669" s="96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6"/>
      <c r="B670" s="13"/>
      <c r="C670" s="16"/>
      <c r="D670" s="16"/>
      <c r="E670" s="16"/>
      <c r="F670" s="16"/>
      <c r="G670" s="16"/>
      <c r="H670" s="16"/>
      <c r="I670" s="125"/>
      <c r="J670" s="16"/>
      <c r="K670" s="13"/>
      <c r="L670" s="13"/>
      <c r="M670" s="13"/>
      <c r="N670" s="16"/>
      <c r="O670" s="16"/>
      <c r="P670" s="16"/>
      <c r="Q670" s="16"/>
      <c r="R670" s="96"/>
      <c r="S670" s="96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6"/>
      <c r="B671" s="13"/>
      <c r="C671" s="16"/>
      <c r="D671" s="16"/>
      <c r="E671" s="16"/>
      <c r="F671" s="16"/>
      <c r="G671" s="16"/>
      <c r="H671" s="16"/>
      <c r="I671" s="125"/>
      <c r="J671" s="16"/>
      <c r="K671" s="13"/>
      <c r="L671" s="13"/>
      <c r="M671" s="13"/>
      <c r="N671" s="16"/>
      <c r="O671" s="16"/>
      <c r="P671" s="16"/>
      <c r="Q671" s="16"/>
      <c r="R671" s="96"/>
      <c r="S671" s="96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6"/>
      <c r="B672" s="13"/>
      <c r="C672" s="16"/>
      <c r="D672" s="16"/>
      <c r="E672" s="16"/>
      <c r="F672" s="16"/>
      <c r="G672" s="16"/>
      <c r="H672" s="16"/>
      <c r="I672" s="125"/>
      <c r="J672" s="16"/>
      <c r="K672" s="13"/>
      <c r="L672" s="13"/>
      <c r="M672" s="13"/>
      <c r="N672" s="16"/>
      <c r="O672" s="16"/>
      <c r="P672" s="16"/>
      <c r="Q672" s="16"/>
      <c r="R672" s="96"/>
      <c r="S672" s="96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6"/>
      <c r="B673" s="13"/>
      <c r="C673" s="16"/>
      <c r="D673" s="16"/>
      <c r="E673" s="16"/>
      <c r="F673" s="16"/>
      <c r="G673" s="16"/>
      <c r="H673" s="16"/>
      <c r="I673" s="125"/>
      <c r="J673" s="16"/>
      <c r="K673" s="13"/>
      <c r="L673" s="13"/>
      <c r="M673" s="13"/>
      <c r="N673" s="16"/>
      <c r="O673" s="16"/>
      <c r="P673" s="16"/>
      <c r="Q673" s="16"/>
      <c r="R673" s="96"/>
      <c r="S673" s="96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6"/>
      <c r="B674" s="13"/>
      <c r="C674" s="16"/>
      <c r="D674" s="16"/>
      <c r="E674" s="16"/>
      <c r="F674" s="16"/>
      <c r="G674" s="16"/>
      <c r="H674" s="16"/>
      <c r="I674" s="125"/>
      <c r="J674" s="16"/>
      <c r="K674" s="13"/>
      <c r="L674" s="13"/>
      <c r="M674" s="13"/>
      <c r="N674" s="16"/>
      <c r="O674" s="16"/>
      <c r="P674" s="16"/>
      <c r="Q674" s="16"/>
      <c r="R674" s="96"/>
      <c r="S674" s="96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6"/>
      <c r="B675" s="13"/>
      <c r="C675" s="16"/>
      <c r="D675" s="16"/>
      <c r="E675" s="16"/>
      <c r="F675" s="16"/>
      <c r="G675" s="16"/>
      <c r="H675" s="16"/>
      <c r="I675" s="125"/>
      <c r="J675" s="16"/>
      <c r="K675" s="13"/>
      <c r="L675" s="13"/>
      <c r="M675" s="13"/>
      <c r="N675" s="16"/>
      <c r="O675" s="16"/>
      <c r="P675" s="16"/>
      <c r="Q675" s="16"/>
      <c r="R675" s="96"/>
      <c r="S675" s="96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6"/>
      <c r="B676" s="13"/>
      <c r="C676" s="16"/>
      <c r="D676" s="16"/>
      <c r="E676" s="16"/>
      <c r="F676" s="16"/>
      <c r="G676" s="16"/>
      <c r="H676" s="16"/>
      <c r="I676" s="125"/>
      <c r="J676" s="16"/>
      <c r="K676" s="13"/>
      <c r="L676" s="13"/>
      <c r="M676" s="13"/>
      <c r="N676" s="16"/>
      <c r="O676" s="16"/>
      <c r="P676" s="16"/>
      <c r="Q676" s="16"/>
      <c r="R676" s="96"/>
      <c r="S676" s="96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6"/>
      <c r="B677" s="13"/>
      <c r="C677" s="16"/>
      <c r="D677" s="16"/>
      <c r="E677" s="16"/>
      <c r="F677" s="16"/>
      <c r="G677" s="16"/>
      <c r="H677" s="16"/>
      <c r="I677" s="125"/>
      <c r="J677" s="16"/>
      <c r="K677" s="13"/>
      <c r="L677" s="13"/>
      <c r="M677" s="13"/>
      <c r="N677" s="16"/>
      <c r="O677" s="16"/>
      <c r="P677" s="16"/>
      <c r="Q677" s="16"/>
      <c r="R677" s="96"/>
      <c r="S677" s="96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6"/>
      <c r="B678" s="13"/>
      <c r="C678" s="16"/>
      <c r="D678" s="16"/>
      <c r="E678" s="16"/>
      <c r="F678" s="16"/>
      <c r="G678" s="16"/>
      <c r="H678" s="16"/>
      <c r="I678" s="125"/>
      <c r="J678" s="16"/>
      <c r="K678" s="13"/>
      <c r="L678" s="13"/>
      <c r="M678" s="13"/>
      <c r="N678" s="16"/>
      <c r="O678" s="16"/>
      <c r="P678" s="16"/>
      <c r="Q678" s="16"/>
      <c r="R678" s="96"/>
      <c r="S678" s="96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6"/>
      <c r="B679" s="13"/>
      <c r="C679" s="16"/>
      <c r="D679" s="16"/>
      <c r="E679" s="16"/>
      <c r="F679" s="16"/>
      <c r="G679" s="16"/>
      <c r="H679" s="16"/>
      <c r="I679" s="125"/>
      <c r="J679" s="16"/>
      <c r="K679" s="13"/>
      <c r="L679" s="13"/>
      <c r="M679" s="13"/>
      <c r="N679" s="16"/>
      <c r="O679" s="16"/>
      <c r="P679" s="16"/>
      <c r="Q679" s="16"/>
      <c r="R679" s="96"/>
      <c r="S679" s="96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6"/>
      <c r="B680" s="13"/>
      <c r="C680" s="16"/>
      <c r="D680" s="16"/>
      <c r="E680" s="16"/>
      <c r="F680" s="16"/>
      <c r="G680" s="16"/>
      <c r="H680" s="16"/>
      <c r="I680" s="125"/>
      <c r="J680" s="16"/>
      <c r="K680" s="13"/>
      <c r="L680" s="13"/>
      <c r="M680" s="13"/>
      <c r="N680" s="16"/>
      <c r="O680" s="16"/>
      <c r="P680" s="16"/>
      <c r="Q680" s="16"/>
      <c r="R680" s="96"/>
      <c r="S680" s="96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6"/>
      <c r="B681" s="13"/>
      <c r="C681" s="16"/>
      <c r="D681" s="16"/>
      <c r="E681" s="16"/>
      <c r="F681" s="16"/>
      <c r="G681" s="16"/>
      <c r="H681" s="16"/>
      <c r="I681" s="125"/>
      <c r="J681" s="16"/>
      <c r="K681" s="13"/>
      <c r="L681" s="13"/>
      <c r="M681" s="13"/>
      <c r="N681" s="16"/>
      <c r="O681" s="16"/>
      <c r="P681" s="16"/>
      <c r="Q681" s="16"/>
      <c r="R681" s="96"/>
      <c r="S681" s="96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6"/>
      <c r="B682" s="13"/>
      <c r="C682" s="16"/>
      <c r="D682" s="16"/>
      <c r="E682" s="16"/>
      <c r="F682" s="16"/>
      <c r="G682" s="16"/>
      <c r="H682" s="16"/>
      <c r="I682" s="125"/>
      <c r="J682" s="16"/>
      <c r="K682" s="13"/>
      <c r="L682" s="13"/>
      <c r="M682" s="13"/>
      <c r="N682" s="16"/>
      <c r="O682" s="16"/>
      <c r="P682" s="16"/>
      <c r="Q682" s="16"/>
      <c r="R682" s="96"/>
      <c r="S682" s="96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6"/>
      <c r="B683" s="13"/>
      <c r="C683" s="16"/>
      <c r="D683" s="16"/>
      <c r="E683" s="16"/>
      <c r="F683" s="16"/>
      <c r="G683" s="16"/>
      <c r="H683" s="16"/>
      <c r="I683" s="125"/>
      <c r="J683" s="16"/>
      <c r="K683" s="13"/>
      <c r="L683" s="13"/>
      <c r="M683" s="13"/>
      <c r="N683" s="16"/>
      <c r="O683" s="16"/>
      <c r="P683" s="16"/>
      <c r="Q683" s="16"/>
      <c r="R683" s="96"/>
      <c r="S683" s="96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6"/>
      <c r="B684" s="13"/>
      <c r="C684" s="16"/>
      <c r="D684" s="16"/>
      <c r="E684" s="16"/>
      <c r="F684" s="16"/>
      <c r="G684" s="16"/>
      <c r="H684" s="16"/>
      <c r="I684" s="125"/>
      <c r="J684" s="16"/>
      <c r="K684" s="13"/>
      <c r="L684" s="13"/>
      <c r="M684" s="13"/>
      <c r="N684" s="16"/>
      <c r="O684" s="16"/>
      <c r="P684" s="16"/>
      <c r="Q684" s="16"/>
      <c r="R684" s="96"/>
      <c r="S684" s="96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6"/>
      <c r="B685" s="13"/>
      <c r="C685" s="16"/>
      <c r="D685" s="16"/>
      <c r="E685" s="16"/>
      <c r="F685" s="16"/>
      <c r="G685" s="16"/>
      <c r="H685" s="16"/>
      <c r="I685" s="125"/>
      <c r="J685" s="16"/>
      <c r="K685" s="13"/>
      <c r="L685" s="13"/>
      <c r="M685" s="13"/>
      <c r="N685" s="16"/>
      <c r="O685" s="16"/>
      <c r="P685" s="16"/>
      <c r="Q685" s="16"/>
      <c r="R685" s="96"/>
      <c r="S685" s="96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6"/>
      <c r="B686" s="13"/>
      <c r="C686" s="16"/>
      <c r="D686" s="16"/>
      <c r="E686" s="16"/>
      <c r="F686" s="16"/>
      <c r="G686" s="16"/>
      <c r="H686" s="16"/>
      <c r="I686" s="125"/>
      <c r="J686" s="16"/>
      <c r="K686" s="13"/>
      <c r="L686" s="13"/>
      <c r="M686" s="13"/>
      <c r="N686" s="16"/>
      <c r="O686" s="16"/>
      <c r="P686" s="16"/>
      <c r="Q686" s="16"/>
      <c r="R686" s="96"/>
      <c r="S686" s="96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6"/>
      <c r="B687" s="13"/>
      <c r="C687" s="16"/>
      <c r="D687" s="16"/>
      <c r="E687" s="16"/>
      <c r="F687" s="16"/>
      <c r="G687" s="16"/>
      <c r="H687" s="16"/>
      <c r="I687" s="125"/>
      <c r="J687" s="16"/>
      <c r="K687" s="13"/>
      <c r="L687" s="13"/>
      <c r="M687" s="13"/>
      <c r="N687" s="16"/>
      <c r="O687" s="16"/>
      <c r="P687" s="16"/>
      <c r="Q687" s="16"/>
      <c r="R687" s="96"/>
      <c r="S687" s="96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6"/>
      <c r="B688" s="13"/>
      <c r="C688" s="16"/>
      <c r="D688" s="16"/>
      <c r="E688" s="16"/>
      <c r="F688" s="16"/>
      <c r="G688" s="16"/>
      <c r="H688" s="16"/>
      <c r="I688" s="125"/>
      <c r="J688" s="16"/>
      <c r="K688" s="13"/>
      <c r="L688" s="13"/>
      <c r="M688" s="13"/>
      <c r="N688" s="16"/>
      <c r="O688" s="16"/>
      <c r="P688" s="16"/>
      <c r="Q688" s="16"/>
      <c r="R688" s="96"/>
      <c r="S688" s="96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6"/>
      <c r="B689" s="13"/>
      <c r="C689" s="16"/>
      <c r="D689" s="16"/>
      <c r="E689" s="16"/>
      <c r="F689" s="16"/>
      <c r="G689" s="16"/>
      <c r="H689" s="16"/>
      <c r="I689" s="125"/>
      <c r="J689" s="16"/>
      <c r="K689" s="13"/>
      <c r="L689" s="13"/>
      <c r="M689" s="13"/>
      <c r="N689" s="16"/>
      <c r="O689" s="16"/>
      <c r="P689" s="16"/>
      <c r="Q689" s="16"/>
      <c r="R689" s="96"/>
      <c r="S689" s="96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6"/>
      <c r="B690" s="13"/>
      <c r="C690" s="16"/>
      <c r="D690" s="16"/>
      <c r="E690" s="16"/>
      <c r="F690" s="16"/>
      <c r="G690" s="16"/>
      <c r="H690" s="16"/>
      <c r="I690" s="125"/>
      <c r="J690" s="16"/>
      <c r="K690" s="13"/>
      <c r="L690" s="13"/>
      <c r="M690" s="13"/>
      <c r="N690" s="16"/>
      <c r="O690" s="16"/>
      <c r="P690" s="16"/>
      <c r="Q690" s="16"/>
      <c r="R690" s="96"/>
      <c r="S690" s="96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6"/>
      <c r="B691" s="13"/>
      <c r="C691" s="16"/>
      <c r="D691" s="16"/>
      <c r="E691" s="16"/>
      <c r="F691" s="16"/>
      <c r="G691" s="16"/>
      <c r="H691" s="16"/>
      <c r="I691" s="125"/>
      <c r="J691" s="16"/>
      <c r="K691" s="13"/>
      <c r="L691" s="13"/>
      <c r="M691" s="13"/>
      <c r="N691" s="16"/>
      <c r="O691" s="16"/>
      <c r="P691" s="16"/>
      <c r="Q691" s="16"/>
      <c r="R691" s="96"/>
      <c r="S691" s="96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6"/>
      <c r="B692" s="13"/>
      <c r="C692" s="16"/>
      <c r="D692" s="16"/>
      <c r="E692" s="16"/>
      <c r="F692" s="16"/>
      <c r="G692" s="16"/>
      <c r="H692" s="16"/>
      <c r="I692" s="125"/>
      <c r="J692" s="16"/>
      <c r="K692" s="13"/>
      <c r="L692" s="13"/>
      <c r="M692" s="13"/>
      <c r="N692" s="16"/>
      <c r="O692" s="16"/>
      <c r="P692" s="16"/>
      <c r="Q692" s="16"/>
      <c r="R692" s="96"/>
      <c r="S692" s="96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6"/>
      <c r="B693" s="13"/>
      <c r="C693" s="16"/>
      <c r="D693" s="16"/>
      <c r="E693" s="16"/>
      <c r="F693" s="16"/>
      <c r="G693" s="16"/>
      <c r="H693" s="16"/>
      <c r="I693" s="125"/>
      <c r="J693" s="16"/>
      <c r="K693" s="13"/>
      <c r="L693" s="13"/>
      <c r="M693" s="13"/>
      <c r="N693" s="16"/>
      <c r="O693" s="16"/>
      <c r="P693" s="16"/>
      <c r="Q693" s="16"/>
      <c r="R693" s="96"/>
      <c r="S693" s="96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6"/>
      <c r="B694" s="13"/>
      <c r="C694" s="16"/>
      <c r="D694" s="16"/>
      <c r="E694" s="16"/>
      <c r="F694" s="16"/>
      <c r="G694" s="16"/>
      <c r="H694" s="16"/>
      <c r="I694" s="125"/>
      <c r="J694" s="16"/>
      <c r="K694" s="13"/>
      <c r="L694" s="13"/>
      <c r="M694" s="13"/>
      <c r="N694" s="16"/>
      <c r="O694" s="16"/>
      <c r="P694" s="16"/>
      <c r="Q694" s="16"/>
      <c r="R694" s="96"/>
      <c r="S694" s="96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6"/>
      <c r="B695" s="13"/>
      <c r="C695" s="16"/>
      <c r="D695" s="16"/>
      <c r="E695" s="16"/>
      <c r="F695" s="16"/>
      <c r="G695" s="16"/>
      <c r="H695" s="16"/>
      <c r="I695" s="125"/>
      <c r="J695" s="16"/>
      <c r="K695" s="13"/>
      <c r="L695" s="13"/>
      <c r="M695" s="13"/>
      <c r="N695" s="16"/>
      <c r="O695" s="16"/>
      <c r="P695" s="16"/>
      <c r="Q695" s="16"/>
      <c r="R695" s="96"/>
      <c r="S695" s="96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6"/>
      <c r="B696" s="13"/>
      <c r="C696" s="16"/>
      <c r="D696" s="16"/>
      <c r="E696" s="16"/>
      <c r="F696" s="16"/>
      <c r="G696" s="16"/>
      <c r="H696" s="16"/>
      <c r="I696" s="125"/>
      <c r="J696" s="16"/>
      <c r="K696" s="13"/>
      <c r="L696" s="13"/>
      <c r="M696" s="13"/>
      <c r="N696" s="16"/>
      <c r="O696" s="16"/>
      <c r="P696" s="16"/>
      <c r="Q696" s="16"/>
      <c r="R696" s="96"/>
      <c r="S696" s="96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6"/>
      <c r="B697" s="13"/>
      <c r="C697" s="16"/>
      <c r="D697" s="16"/>
      <c r="E697" s="16"/>
      <c r="F697" s="16"/>
      <c r="G697" s="16"/>
      <c r="H697" s="16"/>
      <c r="I697" s="125"/>
      <c r="J697" s="16"/>
      <c r="K697" s="13"/>
      <c r="L697" s="13"/>
      <c r="M697" s="13"/>
      <c r="N697" s="16"/>
      <c r="O697" s="16"/>
      <c r="P697" s="16"/>
      <c r="Q697" s="16"/>
      <c r="R697" s="96"/>
      <c r="S697" s="96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6"/>
      <c r="B698" s="13"/>
      <c r="C698" s="16"/>
      <c r="D698" s="16"/>
      <c r="E698" s="16"/>
      <c r="F698" s="16"/>
      <c r="G698" s="16"/>
      <c r="H698" s="16"/>
      <c r="I698" s="125"/>
      <c r="J698" s="16"/>
      <c r="K698" s="13"/>
      <c r="L698" s="13"/>
      <c r="M698" s="13"/>
      <c r="N698" s="16"/>
      <c r="O698" s="16"/>
      <c r="P698" s="16"/>
      <c r="Q698" s="16"/>
      <c r="R698" s="96"/>
      <c r="S698" s="96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6"/>
      <c r="B699" s="13"/>
      <c r="C699" s="16"/>
      <c r="D699" s="16"/>
      <c r="E699" s="16"/>
      <c r="F699" s="16"/>
      <c r="G699" s="16"/>
      <c r="H699" s="16"/>
      <c r="I699" s="125"/>
      <c r="J699" s="16"/>
      <c r="K699" s="13"/>
      <c r="L699" s="13"/>
      <c r="M699" s="13"/>
      <c r="N699" s="16"/>
      <c r="O699" s="16"/>
      <c r="P699" s="16"/>
      <c r="Q699" s="16"/>
      <c r="R699" s="96"/>
      <c r="S699" s="96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6"/>
      <c r="B700" s="13"/>
      <c r="C700" s="16"/>
      <c r="D700" s="16"/>
      <c r="E700" s="16"/>
      <c r="F700" s="16"/>
      <c r="G700" s="16"/>
      <c r="H700" s="16"/>
      <c r="I700" s="125"/>
      <c r="J700" s="16"/>
      <c r="K700" s="13"/>
      <c r="L700" s="13"/>
      <c r="M700" s="13"/>
      <c r="N700" s="16"/>
      <c r="O700" s="16"/>
      <c r="P700" s="16"/>
      <c r="Q700" s="16"/>
      <c r="R700" s="96"/>
      <c r="S700" s="96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6"/>
      <c r="B701" s="13"/>
      <c r="C701" s="16"/>
      <c r="D701" s="16"/>
      <c r="E701" s="16"/>
      <c r="F701" s="16"/>
      <c r="G701" s="16"/>
      <c r="H701" s="16"/>
      <c r="I701" s="125"/>
      <c r="J701" s="16"/>
      <c r="K701" s="13"/>
      <c r="L701" s="13"/>
      <c r="M701" s="13"/>
      <c r="N701" s="16"/>
      <c r="O701" s="16"/>
      <c r="P701" s="16"/>
      <c r="Q701" s="16"/>
      <c r="R701" s="96"/>
      <c r="S701" s="96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6"/>
      <c r="B702" s="13"/>
      <c r="C702" s="16"/>
      <c r="D702" s="16"/>
      <c r="E702" s="16"/>
      <c r="F702" s="16"/>
      <c r="G702" s="16"/>
      <c r="H702" s="16"/>
      <c r="I702" s="125"/>
      <c r="J702" s="16"/>
      <c r="K702" s="13"/>
      <c r="L702" s="13"/>
      <c r="M702" s="13"/>
      <c r="N702" s="16"/>
      <c r="O702" s="16"/>
      <c r="P702" s="16"/>
      <c r="Q702" s="16"/>
      <c r="R702" s="96"/>
      <c r="S702" s="96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6"/>
      <c r="B703" s="13"/>
      <c r="C703" s="16"/>
      <c r="D703" s="16"/>
      <c r="E703" s="16"/>
      <c r="F703" s="16"/>
      <c r="G703" s="16"/>
      <c r="H703" s="16"/>
      <c r="I703" s="125"/>
      <c r="J703" s="16"/>
      <c r="K703" s="13"/>
      <c r="L703" s="13"/>
      <c r="M703" s="13"/>
      <c r="N703" s="16"/>
      <c r="O703" s="16"/>
      <c r="P703" s="16"/>
      <c r="Q703" s="16"/>
      <c r="R703" s="96"/>
      <c r="S703" s="96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6"/>
      <c r="B704" s="13"/>
      <c r="C704" s="16"/>
      <c r="D704" s="16"/>
      <c r="E704" s="16"/>
      <c r="F704" s="16"/>
      <c r="G704" s="16"/>
      <c r="H704" s="16"/>
      <c r="I704" s="125"/>
      <c r="J704" s="16"/>
      <c r="K704" s="13"/>
      <c r="L704" s="13"/>
      <c r="M704" s="13"/>
      <c r="N704" s="16"/>
      <c r="O704" s="16"/>
      <c r="P704" s="16"/>
      <c r="Q704" s="16"/>
      <c r="R704" s="96"/>
      <c r="S704" s="96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6"/>
      <c r="B705" s="13"/>
      <c r="C705" s="16"/>
      <c r="D705" s="16"/>
      <c r="E705" s="16"/>
      <c r="F705" s="16"/>
      <c r="G705" s="16"/>
      <c r="H705" s="16"/>
      <c r="I705" s="125"/>
      <c r="J705" s="16"/>
      <c r="K705" s="13"/>
      <c r="L705" s="13"/>
      <c r="M705" s="13"/>
      <c r="N705" s="16"/>
      <c r="O705" s="16"/>
      <c r="P705" s="16"/>
      <c r="Q705" s="16"/>
      <c r="R705" s="96"/>
      <c r="S705" s="96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6"/>
      <c r="B706" s="13"/>
      <c r="C706" s="16"/>
      <c r="D706" s="16"/>
      <c r="E706" s="16"/>
      <c r="F706" s="16"/>
      <c r="G706" s="16"/>
      <c r="H706" s="16"/>
      <c r="I706" s="125"/>
      <c r="J706" s="16"/>
      <c r="K706" s="13"/>
      <c r="L706" s="13"/>
      <c r="M706" s="13"/>
      <c r="N706" s="16"/>
      <c r="O706" s="16"/>
      <c r="P706" s="16"/>
      <c r="Q706" s="16"/>
      <c r="R706" s="96"/>
      <c r="S706" s="96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6"/>
      <c r="B707" s="13"/>
      <c r="C707" s="16"/>
      <c r="D707" s="16"/>
      <c r="E707" s="16"/>
      <c r="F707" s="16"/>
      <c r="G707" s="16"/>
      <c r="H707" s="16"/>
      <c r="I707" s="125"/>
      <c r="J707" s="16"/>
      <c r="K707" s="13"/>
      <c r="L707" s="13"/>
      <c r="M707" s="13"/>
      <c r="N707" s="16"/>
      <c r="O707" s="16"/>
      <c r="P707" s="16"/>
      <c r="Q707" s="16"/>
      <c r="R707" s="96"/>
      <c r="S707" s="96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6"/>
      <c r="B708" s="13"/>
      <c r="C708" s="16"/>
      <c r="D708" s="16"/>
      <c r="E708" s="16"/>
      <c r="F708" s="16"/>
      <c r="G708" s="16"/>
      <c r="H708" s="16"/>
      <c r="I708" s="125"/>
      <c r="J708" s="16"/>
      <c r="K708" s="13"/>
      <c r="L708" s="13"/>
      <c r="M708" s="13"/>
      <c r="N708" s="16"/>
      <c r="O708" s="16"/>
      <c r="P708" s="16"/>
      <c r="Q708" s="16"/>
      <c r="R708" s="96"/>
      <c r="S708" s="96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6"/>
      <c r="B709" s="13"/>
      <c r="C709" s="16"/>
      <c r="D709" s="16"/>
      <c r="E709" s="16"/>
      <c r="F709" s="16"/>
      <c r="G709" s="16"/>
      <c r="H709" s="16"/>
      <c r="I709" s="125"/>
      <c r="J709" s="16"/>
      <c r="K709" s="13"/>
      <c r="L709" s="13"/>
      <c r="M709" s="13"/>
      <c r="N709" s="16"/>
      <c r="O709" s="16"/>
      <c r="P709" s="16"/>
      <c r="Q709" s="16"/>
      <c r="R709" s="96"/>
      <c r="S709" s="96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6"/>
      <c r="B710" s="13"/>
      <c r="C710" s="16"/>
      <c r="D710" s="16"/>
      <c r="E710" s="16"/>
      <c r="F710" s="16"/>
      <c r="G710" s="16"/>
      <c r="H710" s="16"/>
      <c r="I710" s="125"/>
      <c r="J710" s="16"/>
      <c r="K710" s="13"/>
      <c r="L710" s="13"/>
      <c r="M710" s="13"/>
      <c r="N710" s="16"/>
      <c r="O710" s="16"/>
      <c r="P710" s="16"/>
      <c r="Q710" s="16"/>
      <c r="R710" s="96"/>
      <c r="S710" s="96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6"/>
      <c r="B711" s="13"/>
      <c r="C711" s="16"/>
      <c r="D711" s="16"/>
      <c r="E711" s="16"/>
      <c r="F711" s="16"/>
      <c r="G711" s="16"/>
      <c r="H711" s="16"/>
      <c r="I711" s="125"/>
      <c r="J711" s="16"/>
      <c r="K711" s="13"/>
      <c r="L711" s="13"/>
      <c r="M711" s="13"/>
      <c r="N711" s="16"/>
      <c r="O711" s="16"/>
      <c r="P711" s="16"/>
      <c r="Q711" s="16"/>
      <c r="R711" s="96"/>
      <c r="S711" s="96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6"/>
      <c r="B712" s="13"/>
      <c r="C712" s="16"/>
      <c r="D712" s="16"/>
      <c r="E712" s="16"/>
      <c r="F712" s="16"/>
      <c r="G712" s="16"/>
      <c r="H712" s="16"/>
      <c r="I712" s="125"/>
      <c r="J712" s="16"/>
      <c r="K712" s="13"/>
      <c r="L712" s="13"/>
      <c r="M712" s="13"/>
      <c r="N712" s="16"/>
      <c r="O712" s="16"/>
      <c r="P712" s="16"/>
      <c r="Q712" s="16"/>
      <c r="R712" s="96"/>
      <c r="S712" s="96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6"/>
      <c r="B713" s="13"/>
      <c r="C713" s="16"/>
      <c r="D713" s="16"/>
      <c r="E713" s="16"/>
      <c r="F713" s="16"/>
      <c r="G713" s="16"/>
      <c r="H713" s="16"/>
      <c r="I713" s="125"/>
      <c r="J713" s="16"/>
      <c r="K713" s="13"/>
      <c r="L713" s="13"/>
      <c r="M713" s="13"/>
      <c r="N713" s="16"/>
      <c r="O713" s="16"/>
      <c r="P713" s="16"/>
      <c r="Q713" s="16"/>
      <c r="R713" s="96"/>
      <c r="S713" s="96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6"/>
      <c r="B714" s="13"/>
      <c r="C714" s="16"/>
      <c r="D714" s="16"/>
      <c r="E714" s="16"/>
      <c r="F714" s="16"/>
      <c r="G714" s="16"/>
      <c r="H714" s="16"/>
      <c r="I714" s="125"/>
      <c r="J714" s="16"/>
      <c r="K714" s="13"/>
      <c r="L714" s="13"/>
      <c r="M714" s="13"/>
      <c r="N714" s="16"/>
      <c r="O714" s="16"/>
      <c r="P714" s="16"/>
      <c r="Q714" s="16"/>
      <c r="R714" s="96"/>
      <c r="S714" s="96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6"/>
      <c r="B715" s="13"/>
      <c r="C715" s="16"/>
      <c r="D715" s="16"/>
      <c r="E715" s="16"/>
      <c r="F715" s="16"/>
      <c r="G715" s="16"/>
      <c r="H715" s="16"/>
      <c r="I715" s="125"/>
      <c r="J715" s="16"/>
      <c r="K715" s="13"/>
      <c r="L715" s="13"/>
      <c r="M715" s="13"/>
      <c r="N715" s="16"/>
      <c r="O715" s="16"/>
      <c r="P715" s="16"/>
      <c r="Q715" s="16"/>
      <c r="R715" s="96"/>
      <c r="S715" s="96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6"/>
      <c r="B716" s="13"/>
      <c r="C716" s="16"/>
      <c r="D716" s="16"/>
      <c r="E716" s="16"/>
      <c r="F716" s="16"/>
      <c r="G716" s="16"/>
      <c r="H716" s="16"/>
      <c r="I716" s="125"/>
      <c r="J716" s="16"/>
      <c r="K716" s="13"/>
      <c r="L716" s="13"/>
      <c r="M716" s="13"/>
      <c r="N716" s="16"/>
      <c r="O716" s="16"/>
      <c r="P716" s="16"/>
      <c r="Q716" s="16"/>
      <c r="R716" s="96"/>
      <c r="S716" s="96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6"/>
      <c r="B717" s="13"/>
      <c r="C717" s="16"/>
      <c r="D717" s="16"/>
      <c r="E717" s="16"/>
      <c r="F717" s="16"/>
      <c r="G717" s="16"/>
      <c r="H717" s="16"/>
      <c r="I717" s="125"/>
      <c r="J717" s="16"/>
      <c r="K717" s="13"/>
      <c r="L717" s="13"/>
      <c r="M717" s="13"/>
      <c r="N717" s="16"/>
      <c r="O717" s="16"/>
      <c r="P717" s="16"/>
      <c r="Q717" s="16"/>
      <c r="R717" s="96"/>
      <c r="S717" s="96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6"/>
      <c r="B718" s="13"/>
      <c r="C718" s="16"/>
      <c r="D718" s="16"/>
      <c r="E718" s="16"/>
      <c r="F718" s="16"/>
      <c r="G718" s="16"/>
      <c r="H718" s="16"/>
      <c r="I718" s="125"/>
      <c r="J718" s="16"/>
      <c r="K718" s="13"/>
      <c r="L718" s="13"/>
      <c r="M718" s="13"/>
      <c r="N718" s="16"/>
      <c r="O718" s="16"/>
      <c r="P718" s="16"/>
      <c r="Q718" s="16"/>
      <c r="R718" s="96"/>
      <c r="S718" s="96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6"/>
      <c r="B719" s="13"/>
      <c r="C719" s="16"/>
      <c r="D719" s="16"/>
      <c r="E719" s="16"/>
      <c r="F719" s="16"/>
      <c r="G719" s="16"/>
      <c r="H719" s="16"/>
      <c r="I719" s="125"/>
      <c r="J719" s="16"/>
      <c r="K719" s="13"/>
      <c r="L719" s="13"/>
      <c r="M719" s="13"/>
      <c r="N719" s="16"/>
      <c r="O719" s="16"/>
      <c r="P719" s="16"/>
      <c r="Q719" s="16"/>
      <c r="R719" s="96"/>
      <c r="S719" s="96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6"/>
      <c r="B720" s="13"/>
      <c r="C720" s="16"/>
      <c r="D720" s="16"/>
      <c r="E720" s="16"/>
      <c r="F720" s="16"/>
      <c r="G720" s="16"/>
      <c r="H720" s="16"/>
      <c r="I720" s="125"/>
      <c r="J720" s="16"/>
      <c r="K720" s="13"/>
      <c r="L720" s="13"/>
      <c r="M720" s="13"/>
      <c r="N720" s="16"/>
      <c r="O720" s="16"/>
      <c r="P720" s="16"/>
      <c r="Q720" s="16"/>
      <c r="R720" s="96"/>
      <c r="S720" s="96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6"/>
      <c r="B721" s="13"/>
      <c r="C721" s="16"/>
      <c r="D721" s="16"/>
      <c r="E721" s="16"/>
      <c r="F721" s="16"/>
      <c r="G721" s="16"/>
      <c r="H721" s="16"/>
      <c r="I721" s="125"/>
      <c r="J721" s="16"/>
      <c r="K721" s="13"/>
      <c r="L721" s="13"/>
      <c r="M721" s="13"/>
      <c r="N721" s="16"/>
      <c r="O721" s="16"/>
      <c r="P721" s="16"/>
      <c r="Q721" s="16"/>
      <c r="R721" s="96"/>
      <c r="S721" s="96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6"/>
      <c r="B722" s="13"/>
      <c r="C722" s="16"/>
      <c r="D722" s="16"/>
      <c r="E722" s="16"/>
      <c r="F722" s="16"/>
      <c r="G722" s="16"/>
      <c r="H722" s="16"/>
      <c r="I722" s="125"/>
      <c r="J722" s="16"/>
      <c r="K722" s="13"/>
      <c r="L722" s="13"/>
      <c r="M722" s="13"/>
      <c r="N722" s="16"/>
      <c r="O722" s="16"/>
      <c r="P722" s="16"/>
      <c r="Q722" s="16"/>
      <c r="R722" s="96"/>
      <c r="S722" s="96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6"/>
      <c r="B723" s="13"/>
      <c r="C723" s="16"/>
      <c r="D723" s="16"/>
      <c r="E723" s="16"/>
      <c r="F723" s="16"/>
      <c r="G723" s="16"/>
      <c r="H723" s="16"/>
      <c r="I723" s="125"/>
      <c r="J723" s="16"/>
      <c r="K723" s="13"/>
      <c r="L723" s="13"/>
      <c r="M723" s="13"/>
      <c r="N723" s="16"/>
      <c r="O723" s="16"/>
      <c r="P723" s="16"/>
      <c r="Q723" s="16"/>
      <c r="R723" s="96"/>
      <c r="S723" s="96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6"/>
      <c r="B724" s="13"/>
      <c r="C724" s="16"/>
      <c r="D724" s="16"/>
      <c r="E724" s="16"/>
      <c r="F724" s="16"/>
      <c r="G724" s="16"/>
      <c r="H724" s="16"/>
      <c r="I724" s="125"/>
      <c r="J724" s="16"/>
      <c r="K724" s="13"/>
      <c r="L724" s="13"/>
      <c r="M724" s="13"/>
      <c r="N724" s="16"/>
      <c r="O724" s="16"/>
      <c r="P724" s="16"/>
      <c r="Q724" s="16"/>
      <c r="R724" s="96"/>
      <c r="S724" s="96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6"/>
      <c r="B725" s="13"/>
      <c r="C725" s="16"/>
      <c r="D725" s="16"/>
      <c r="E725" s="16"/>
      <c r="F725" s="16"/>
      <c r="G725" s="16"/>
      <c r="H725" s="16"/>
      <c r="I725" s="125"/>
      <c r="J725" s="16"/>
      <c r="K725" s="13"/>
      <c r="L725" s="13"/>
      <c r="M725" s="13"/>
      <c r="N725" s="16"/>
      <c r="O725" s="16"/>
      <c r="P725" s="16"/>
      <c r="Q725" s="16"/>
      <c r="R725" s="96"/>
      <c r="S725" s="96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6"/>
      <c r="B726" s="13"/>
      <c r="C726" s="16"/>
      <c r="D726" s="16"/>
      <c r="E726" s="16"/>
      <c r="F726" s="16"/>
      <c r="G726" s="16"/>
      <c r="H726" s="16"/>
      <c r="I726" s="125"/>
      <c r="J726" s="16"/>
      <c r="K726" s="13"/>
      <c r="L726" s="13"/>
      <c r="M726" s="13"/>
      <c r="N726" s="16"/>
      <c r="O726" s="16"/>
      <c r="P726" s="16"/>
      <c r="Q726" s="16"/>
      <c r="R726" s="96"/>
      <c r="S726" s="96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6"/>
      <c r="B727" s="13"/>
      <c r="C727" s="16"/>
      <c r="D727" s="16"/>
      <c r="E727" s="16"/>
      <c r="F727" s="16"/>
      <c r="G727" s="16"/>
      <c r="H727" s="16"/>
      <c r="I727" s="125"/>
      <c r="J727" s="16"/>
      <c r="K727" s="13"/>
      <c r="L727" s="13"/>
      <c r="M727" s="13"/>
      <c r="N727" s="16"/>
      <c r="O727" s="16"/>
      <c r="P727" s="16"/>
      <c r="Q727" s="16"/>
      <c r="R727" s="96"/>
      <c r="S727" s="96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6"/>
      <c r="B728" s="13"/>
      <c r="C728" s="16"/>
      <c r="D728" s="16"/>
      <c r="E728" s="16"/>
      <c r="F728" s="16"/>
      <c r="G728" s="16"/>
      <c r="H728" s="16"/>
      <c r="I728" s="125"/>
      <c r="J728" s="16"/>
      <c r="K728" s="13"/>
      <c r="L728" s="13"/>
      <c r="M728" s="13"/>
      <c r="N728" s="16"/>
      <c r="O728" s="16"/>
      <c r="P728" s="16"/>
      <c r="Q728" s="16"/>
      <c r="R728" s="96"/>
      <c r="S728" s="96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6"/>
      <c r="B729" s="13"/>
      <c r="C729" s="16"/>
      <c r="D729" s="16"/>
      <c r="E729" s="16"/>
      <c r="F729" s="16"/>
      <c r="G729" s="16"/>
      <c r="H729" s="16"/>
      <c r="I729" s="125"/>
      <c r="J729" s="16"/>
      <c r="K729" s="13"/>
      <c r="L729" s="13"/>
      <c r="M729" s="13"/>
      <c r="N729" s="16"/>
      <c r="O729" s="16"/>
      <c r="P729" s="16"/>
      <c r="Q729" s="16"/>
      <c r="R729" s="96"/>
      <c r="S729" s="96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6"/>
      <c r="B730" s="13"/>
      <c r="C730" s="16"/>
      <c r="D730" s="16"/>
      <c r="E730" s="16"/>
      <c r="F730" s="16"/>
      <c r="G730" s="16"/>
      <c r="H730" s="16"/>
      <c r="I730" s="125"/>
      <c r="J730" s="16"/>
      <c r="K730" s="13"/>
      <c r="L730" s="13"/>
      <c r="M730" s="13"/>
      <c r="N730" s="16"/>
      <c r="O730" s="16"/>
      <c r="P730" s="16"/>
      <c r="Q730" s="16"/>
      <c r="R730" s="96"/>
      <c r="S730" s="96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6"/>
      <c r="B731" s="13"/>
      <c r="C731" s="16"/>
      <c r="D731" s="16"/>
      <c r="E731" s="16"/>
      <c r="F731" s="16"/>
      <c r="G731" s="16"/>
      <c r="H731" s="16"/>
      <c r="I731" s="125"/>
      <c r="J731" s="16"/>
      <c r="K731" s="13"/>
      <c r="L731" s="13"/>
      <c r="M731" s="13"/>
      <c r="N731" s="16"/>
      <c r="O731" s="16"/>
      <c r="P731" s="16"/>
      <c r="Q731" s="16"/>
      <c r="R731" s="96"/>
      <c r="S731" s="96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6"/>
      <c r="B732" s="13"/>
      <c r="C732" s="16"/>
      <c r="D732" s="16"/>
      <c r="E732" s="16"/>
      <c r="F732" s="16"/>
      <c r="G732" s="16"/>
      <c r="H732" s="16"/>
      <c r="I732" s="125"/>
      <c r="J732" s="16"/>
      <c r="K732" s="13"/>
      <c r="L732" s="13"/>
      <c r="M732" s="13"/>
      <c r="N732" s="16"/>
      <c r="O732" s="16"/>
      <c r="P732" s="16"/>
      <c r="Q732" s="16"/>
      <c r="R732" s="96"/>
      <c r="S732" s="96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6"/>
      <c r="B733" s="13"/>
      <c r="C733" s="16"/>
      <c r="D733" s="16"/>
      <c r="E733" s="16"/>
      <c r="F733" s="16"/>
      <c r="G733" s="16"/>
      <c r="H733" s="16"/>
      <c r="I733" s="125"/>
      <c r="J733" s="16"/>
      <c r="K733" s="13"/>
      <c r="L733" s="13"/>
      <c r="M733" s="13"/>
      <c r="N733" s="16"/>
      <c r="O733" s="16"/>
      <c r="P733" s="16"/>
      <c r="Q733" s="16"/>
      <c r="R733" s="96"/>
      <c r="S733" s="96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6"/>
      <c r="B734" s="13"/>
      <c r="C734" s="16"/>
      <c r="D734" s="16"/>
      <c r="E734" s="16"/>
      <c r="F734" s="16"/>
      <c r="G734" s="16"/>
      <c r="H734" s="16"/>
      <c r="I734" s="125"/>
      <c r="J734" s="16"/>
      <c r="K734" s="13"/>
      <c r="L734" s="13"/>
      <c r="M734" s="13"/>
      <c r="N734" s="16"/>
      <c r="O734" s="16"/>
      <c r="P734" s="16"/>
      <c r="Q734" s="16"/>
      <c r="R734" s="96"/>
      <c r="S734" s="96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6"/>
      <c r="B735" s="13"/>
      <c r="C735" s="16"/>
      <c r="D735" s="16"/>
      <c r="E735" s="16"/>
      <c r="F735" s="16"/>
      <c r="G735" s="16"/>
      <c r="H735" s="16"/>
      <c r="I735" s="125"/>
      <c r="J735" s="16"/>
      <c r="K735" s="13"/>
      <c r="L735" s="13"/>
      <c r="M735" s="13"/>
      <c r="N735" s="16"/>
      <c r="O735" s="16"/>
      <c r="P735" s="16"/>
      <c r="Q735" s="16"/>
      <c r="R735" s="96"/>
      <c r="S735" s="96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6"/>
      <c r="B736" s="13"/>
      <c r="C736" s="16"/>
      <c r="D736" s="16"/>
      <c r="E736" s="16"/>
      <c r="F736" s="16"/>
      <c r="G736" s="16"/>
      <c r="H736" s="16"/>
      <c r="I736" s="125"/>
      <c r="J736" s="16"/>
      <c r="K736" s="13"/>
      <c r="L736" s="13"/>
      <c r="M736" s="13"/>
      <c r="N736" s="16"/>
      <c r="O736" s="16"/>
      <c r="P736" s="16"/>
      <c r="Q736" s="16"/>
      <c r="R736" s="96"/>
      <c r="S736" s="96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6"/>
      <c r="B737" s="13"/>
      <c r="C737" s="16"/>
      <c r="D737" s="16"/>
      <c r="E737" s="16"/>
      <c r="F737" s="16"/>
      <c r="G737" s="16"/>
      <c r="H737" s="16"/>
      <c r="I737" s="125"/>
      <c r="J737" s="16"/>
      <c r="K737" s="13"/>
      <c r="L737" s="13"/>
      <c r="M737" s="13"/>
      <c r="N737" s="16"/>
      <c r="O737" s="16"/>
      <c r="P737" s="16"/>
      <c r="Q737" s="16"/>
      <c r="R737" s="96"/>
      <c r="S737" s="96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6"/>
      <c r="B738" s="13"/>
      <c r="C738" s="16"/>
      <c r="D738" s="16"/>
      <c r="E738" s="16"/>
      <c r="F738" s="16"/>
      <c r="G738" s="16"/>
      <c r="H738" s="16"/>
      <c r="I738" s="125"/>
      <c r="J738" s="16"/>
      <c r="K738" s="13"/>
      <c r="L738" s="13"/>
      <c r="M738" s="13"/>
      <c r="N738" s="16"/>
      <c r="O738" s="16"/>
      <c r="P738" s="16"/>
      <c r="Q738" s="16"/>
      <c r="R738" s="96"/>
      <c r="S738" s="96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6"/>
      <c r="B739" s="13"/>
      <c r="C739" s="16"/>
      <c r="D739" s="16"/>
      <c r="E739" s="16"/>
      <c r="F739" s="16"/>
      <c r="G739" s="16"/>
      <c r="H739" s="16"/>
      <c r="I739" s="125"/>
      <c r="J739" s="16"/>
      <c r="K739" s="13"/>
      <c r="L739" s="13"/>
      <c r="M739" s="13"/>
      <c r="N739" s="16"/>
      <c r="O739" s="16"/>
      <c r="P739" s="16"/>
      <c r="Q739" s="16"/>
      <c r="R739" s="96"/>
      <c r="S739" s="96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6"/>
      <c r="B740" s="13"/>
      <c r="C740" s="16"/>
      <c r="D740" s="16"/>
      <c r="E740" s="16"/>
      <c r="F740" s="16"/>
      <c r="G740" s="16"/>
      <c r="H740" s="16"/>
      <c r="I740" s="125"/>
      <c r="J740" s="16"/>
      <c r="K740" s="13"/>
      <c r="L740" s="13"/>
      <c r="M740" s="13"/>
      <c r="N740" s="16"/>
      <c r="O740" s="16"/>
      <c r="P740" s="16"/>
      <c r="Q740" s="16"/>
      <c r="R740" s="96"/>
      <c r="S740" s="96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6"/>
      <c r="B741" s="13"/>
      <c r="C741" s="16"/>
      <c r="D741" s="16"/>
      <c r="E741" s="16"/>
      <c r="F741" s="16"/>
      <c r="G741" s="16"/>
      <c r="H741" s="16"/>
      <c r="I741" s="125"/>
      <c r="J741" s="16"/>
      <c r="K741" s="13"/>
      <c r="L741" s="13"/>
      <c r="M741" s="13"/>
      <c r="N741" s="16"/>
      <c r="O741" s="16"/>
      <c r="P741" s="16"/>
      <c r="Q741" s="16"/>
      <c r="R741" s="96"/>
      <c r="S741" s="96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6"/>
      <c r="B742" s="13"/>
      <c r="C742" s="16"/>
      <c r="D742" s="16"/>
      <c r="E742" s="16"/>
      <c r="F742" s="16"/>
      <c r="G742" s="16"/>
      <c r="H742" s="16"/>
      <c r="I742" s="125"/>
      <c r="J742" s="16"/>
      <c r="K742" s="13"/>
      <c r="L742" s="13"/>
      <c r="M742" s="13"/>
      <c r="N742" s="16"/>
      <c r="O742" s="16"/>
      <c r="P742" s="16"/>
      <c r="Q742" s="16"/>
      <c r="R742" s="96"/>
      <c r="S742" s="96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6"/>
      <c r="B743" s="13"/>
      <c r="C743" s="16"/>
      <c r="D743" s="16"/>
      <c r="E743" s="16"/>
      <c r="F743" s="16"/>
      <c r="G743" s="16"/>
      <c r="H743" s="16"/>
      <c r="I743" s="125"/>
      <c r="J743" s="16"/>
      <c r="K743" s="13"/>
      <c r="L743" s="13"/>
      <c r="M743" s="13"/>
      <c r="N743" s="16"/>
      <c r="O743" s="16"/>
      <c r="P743" s="16"/>
      <c r="Q743" s="16"/>
      <c r="R743" s="96"/>
      <c r="S743" s="96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6"/>
      <c r="B744" s="13"/>
      <c r="C744" s="16"/>
      <c r="D744" s="16"/>
      <c r="E744" s="16"/>
      <c r="F744" s="16"/>
      <c r="G744" s="16"/>
      <c r="H744" s="16"/>
      <c r="I744" s="125"/>
      <c r="J744" s="16"/>
      <c r="K744" s="13"/>
      <c r="L744" s="13"/>
      <c r="M744" s="13"/>
      <c r="N744" s="16"/>
      <c r="O744" s="16"/>
      <c r="P744" s="16"/>
      <c r="Q744" s="16"/>
      <c r="R744" s="96"/>
      <c r="S744" s="96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6"/>
      <c r="B745" s="13"/>
      <c r="C745" s="16"/>
      <c r="D745" s="16"/>
      <c r="E745" s="16"/>
      <c r="F745" s="16"/>
      <c r="G745" s="16"/>
      <c r="H745" s="16"/>
      <c r="I745" s="125"/>
      <c r="J745" s="16"/>
      <c r="K745" s="13"/>
      <c r="L745" s="13"/>
      <c r="M745" s="13"/>
      <c r="N745" s="16"/>
      <c r="O745" s="16"/>
      <c r="P745" s="16"/>
      <c r="Q745" s="16"/>
      <c r="R745" s="96"/>
      <c r="S745" s="96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6"/>
      <c r="B746" s="13"/>
      <c r="C746" s="16"/>
      <c r="D746" s="16"/>
      <c r="E746" s="16"/>
      <c r="F746" s="16"/>
      <c r="G746" s="16"/>
      <c r="H746" s="16"/>
      <c r="I746" s="125"/>
      <c r="J746" s="16"/>
      <c r="K746" s="13"/>
      <c r="L746" s="13"/>
      <c r="M746" s="13"/>
      <c r="N746" s="16"/>
      <c r="O746" s="16"/>
      <c r="P746" s="16"/>
      <c r="Q746" s="16"/>
      <c r="R746" s="96"/>
      <c r="S746" s="96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6"/>
      <c r="B747" s="13"/>
      <c r="C747" s="16"/>
      <c r="D747" s="16"/>
      <c r="E747" s="16"/>
      <c r="F747" s="16"/>
      <c r="G747" s="16"/>
      <c r="H747" s="16"/>
      <c r="I747" s="125"/>
      <c r="J747" s="16"/>
      <c r="K747" s="13"/>
      <c r="L747" s="13"/>
      <c r="M747" s="13"/>
      <c r="N747" s="16"/>
      <c r="O747" s="16"/>
      <c r="P747" s="16"/>
      <c r="Q747" s="16"/>
      <c r="R747" s="96"/>
      <c r="S747" s="96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6"/>
      <c r="B748" s="13"/>
      <c r="C748" s="16"/>
      <c r="D748" s="16"/>
      <c r="E748" s="16"/>
      <c r="F748" s="16"/>
      <c r="G748" s="16"/>
      <c r="H748" s="16"/>
      <c r="I748" s="125"/>
      <c r="J748" s="16"/>
      <c r="K748" s="13"/>
      <c r="L748" s="13"/>
      <c r="M748" s="13"/>
      <c r="N748" s="16"/>
      <c r="O748" s="16"/>
      <c r="P748" s="16"/>
      <c r="Q748" s="16"/>
      <c r="R748" s="96"/>
      <c r="S748" s="96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6"/>
      <c r="B749" s="13"/>
      <c r="C749" s="16"/>
      <c r="D749" s="16"/>
      <c r="E749" s="16"/>
      <c r="F749" s="16"/>
      <c r="G749" s="16"/>
      <c r="H749" s="16"/>
      <c r="I749" s="125"/>
      <c r="J749" s="16"/>
      <c r="K749" s="13"/>
      <c r="L749" s="13"/>
      <c r="M749" s="13"/>
      <c r="N749" s="16"/>
      <c r="O749" s="16"/>
      <c r="P749" s="16"/>
      <c r="Q749" s="16"/>
      <c r="R749" s="96"/>
      <c r="S749" s="96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6"/>
      <c r="B750" s="13"/>
      <c r="C750" s="16"/>
      <c r="D750" s="16"/>
      <c r="E750" s="16"/>
      <c r="F750" s="16"/>
      <c r="G750" s="16"/>
      <c r="H750" s="16"/>
      <c r="I750" s="125"/>
      <c r="J750" s="16"/>
      <c r="K750" s="13"/>
      <c r="L750" s="13"/>
      <c r="M750" s="13"/>
      <c r="N750" s="16"/>
      <c r="O750" s="16"/>
      <c r="P750" s="16"/>
      <c r="Q750" s="16"/>
      <c r="R750" s="96"/>
      <c r="S750" s="96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6"/>
      <c r="B751" s="13"/>
      <c r="C751" s="16"/>
      <c r="D751" s="16"/>
      <c r="E751" s="16"/>
      <c r="F751" s="16"/>
      <c r="G751" s="16"/>
      <c r="H751" s="16"/>
      <c r="I751" s="125"/>
      <c r="J751" s="16"/>
      <c r="K751" s="13"/>
      <c r="L751" s="13"/>
      <c r="M751" s="13"/>
      <c r="N751" s="16"/>
      <c r="O751" s="16"/>
      <c r="P751" s="16"/>
      <c r="Q751" s="16"/>
      <c r="R751" s="96"/>
      <c r="S751" s="96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6"/>
      <c r="B752" s="13"/>
      <c r="C752" s="16"/>
      <c r="D752" s="16"/>
      <c r="E752" s="16"/>
      <c r="F752" s="16"/>
      <c r="G752" s="16"/>
      <c r="H752" s="16"/>
      <c r="I752" s="125"/>
      <c r="J752" s="16"/>
      <c r="K752" s="13"/>
      <c r="L752" s="13"/>
      <c r="M752" s="13"/>
      <c r="N752" s="16"/>
      <c r="O752" s="16"/>
      <c r="P752" s="16"/>
      <c r="Q752" s="16"/>
      <c r="R752" s="96"/>
      <c r="S752" s="96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6"/>
      <c r="B753" s="13"/>
      <c r="C753" s="16"/>
      <c r="D753" s="16"/>
      <c r="E753" s="16"/>
      <c r="F753" s="16"/>
      <c r="G753" s="16"/>
      <c r="H753" s="16"/>
      <c r="I753" s="125"/>
      <c r="J753" s="16"/>
      <c r="K753" s="13"/>
      <c r="L753" s="13"/>
      <c r="M753" s="13"/>
      <c r="N753" s="16"/>
      <c r="O753" s="16"/>
      <c r="P753" s="16"/>
      <c r="Q753" s="16"/>
      <c r="R753" s="96"/>
      <c r="S753" s="96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6"/>
      <c r="B754" s="13"/>
      <c r="C754" s="16"/>
      <c r="D754" s="16"/>
      <c r="E754" s="16"/>
      <c r="F754" s="16"/>
      <c r="G754" s="16"/>
      <c r="H754" s="16"/>
      <c r="I754" s="125"/>
      <c r="J754" s="16"/>
      <c r="K754" s="13"/>
      <c r="L754" s="13"/>
      <c r="M754" s="13"/>
      <c r="N754" s="16"/>
      <c r="O754" s="16"/>
      <c r="P754" s="16"/>
      <c r="Q754" s="16"/>
      <c r="R754" s="96"/>
      <c r="S754" s="96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6"/>
      <c r="B755" s="13"/>
      <c r="C755" s="16"/>
      <c r="D755" s="16"/>
      <c r="E755" s="16"/>
      <c r="F755" s="16"/>
      <c r="G755" s="16"/>
      <c r="H755" s="16"/>
      <c r="I755" s="125"/>
      <c r="J755" s="16"/>
      <c r="K755" s="13"/>
      <c r="L755" s="13"/>
      <c r="M755" s="13"/>
      <c r="N755" s="16"/>
      <c r="O755" s="16"/>
      <c r="P755" s="16"/>
      <c r="Q755" s="16"/>
      <c r="R755" s="96"/>
      <c r="S755" s="96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6"/>
      <c r="B756" s="13"/>
      <c r="C756" s="16"/>
      <c r="D756" s="16"/>
      <c r="E756" s="16"/>
      <c r="F756" s="16"/>
      <c r="G756" s="16"/>
      <c r="H756" s="16"/>
      <c r="I756" s="125"/>
      <c r="J756" s="16"/>
      <c r="K756" s="13"/>
      <c r="L756" s="13"/>
      <c r="M756" s="13"/>
      <c r="N756" s="16"/>
      <c r="O756" s="16"/>
      <c r="P756" s="16"/>
      <c r="Q756" s="16"/>
      <c r="R756" s="96"/>
      <c r="S756" s="96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6"/>
      <c r="B757" s="13"/>
      <c r="C757" s="16"/>
      <c r="D757" s="16"/>
      <c r="E757" s="16"/>
      <c r="F757" s="16"/>
      <c r="G757" s="16"/>
      <c r="H757" s="16"/>
      <c r="I757" s="125"/>
      <c r="J757" s="16"/>
      <c r="K757" s="13"/>
      <c r="L757" s="13"/>
      <c r="M757" s="13"/>
      <c r="N757" s="16"/>
      <c r="O757" s="16"/>
      <c r="P757" s="16"/>
      <c r="Q757" s="16"/>
      <c r="R757" s="96"/>
      <c r="S757" s="96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6"/>
      <c r="B758" s="13"/>
      <c r="C758" s="16"/>
      <c r="D758" s="16"/>
      <c r="E758" s="16"/>
      <c r="F758" s="16"/>
      <c r="G758" s="16"/>
      <c r="H758" s="16"/>
      <c r="I758" s="125"/>
      <c r="J758" s="16"/>
      <c r="K758" s="13"/>
      <c r="L758" s="13"/>
      <c r="M758" s="13"/>
      <c r="N758" s="16"/>
      <c r="O758" s="16"/>
      <c r="P758" s="16"/>
      <c r="Q758" s="16"/>
      <c r="R758" s="96"/>
      <c r="S758" s="96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6"/>
      <c r="B759" s="13"/>
      <c r="C759" s="16"/>
      <c r="D759" s="16"/>
      <c r="E759" s="16"/>
      <c r="F759" s="16"/>
      <c r="G759" s="16"/>
      <c r="H759" s="16"/>
      <c r="I759" s="125"/>
      <c r="J759" s="16"/>
      <c r="K759" s="13"/>
      <c r="L759" s="13"/>
      <c r="M759" s="13"/>
      <c r="N759" s="16"/>
      <c r="O759" s="16"/>
      <c r="P759" s="16"/>
      <c r="Q759" s="16"/>
      <c r="R759" s="96"/>
      <c r="S759" s="96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6"/>
      <c r="B760" s="13"/>
      <c r="C760" s="16"/>
      <c r="D760" s="16"/>
      <c r="E760" s="16"/>
      <c r="F760" s="16"/>
      <c r="G760" s="16"/>
      <c r="H760" s="16"/>
      <c r="I760" s="125"/>
      <c r="J760" s="16"/>
      <c r="K760" s="13"/>
      <c r="L760" s="13"/>
      <c r="M760" s="13"/>
      <c r="N760" s="16"/>
      <c r="O760" s="16"/>
      <c r="P760" s="16"/>
      <c r="Q760" s="16"/>
      <c r="R760" s="96"/>
      <c r="S760" s="96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6"/>
      <c r="B761" s="13"/>
      <c r="C761" s="16"/>
      <c r="D761" s="16"/>
      <c r="E761" s="16"/>
      <c r="F761" s="16"/>
      <c r="G761" s="16"/>
      <c r="H761" s="16"/>
      <c r="I761" s="125"/>
      <c r="J761" s="16"/>
      <c r="K761" s="13"/>
      <c r="L761" s="13"/>
      <c r="M761" s="13"/>
      <c r="N761" s="16"/>
      <c r="O761" s="16"/>
      <c r="P761" s="16"/>
      <c r="Q761" s="16"/>
      <c r="R761" s="96"/>
      <c r="S761" s="96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6"/>
      <c r="B762" s="13"/>
      <c r="C762" s="16"/>
      <c r="D762" s="16"/>
      <c r="E762" s="16"/>
      <c r="F762" s="16"/>
      <c r="G762" s="16"/>
      <c r="H762" s="16"/>
      <c r="I762" s="125"/>
      <c r="J762" s="16"/>
      <c r="K762" s="13"/>
      <c r="L762" s="13"/>
      <c r="M762" s="13"/>
      <c r="N762" s="16"/>
      <c r="O762" s="16"/>
      <c r="P762" s="16"/>
      <c r="Q762" s="16"/>
      <c r="R762" s="96"/>
      <c r="S762" s="96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6"/>
      <c r="B763" s="13"/>
      <c r="C763" s="16"/>
      <c r="D763" s="16"/>
      <c r="E763" s="16"/>
      <c r="F763" s="16"/>
      <c r="G763" s="16"/>
      <c r="H763" s="16"/>
      <c r="I763" s="125"/>
      <c r="J763" s="16"/>
      <c r="K763" s="13"/>
      <c r="L763" s="13"/>
      <c r="M763" s="13"/>
      <c r="N763" s="16"/>
      <c r="O763" s="16"/>
      <c r="P763" s="16"/>
      <c r="Q763" s="16"/>
      <c r="R763" s="96"/>
      <c r="S763" s="96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6"/>
      <c r="B764" s="13"/>
      <c r="C764" s="16"/>
      <c r="D764" s="16"/>
      <c r="E764" s="16"/>
      <c r="F764" s="16"/>
      <c r="G764" s="16"/>
      <c r="H764" s="16"/>
      <c r="I764" s="125"/>
      <c r="J764" s="16"/>
      <c r="K764" s="13"/>
      <c r="L764" s="13"/>
      <c r="M764" s="13"/>
      <c r="N764" s="16"/>
      <c r="O764" s="16"/>
      <c r="P764" s="16"/>
      <c r="Q764" s="16"/>
      <c r="R764" s="96"/>
      <c r="S764" s="96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6"/>
      <c r="B765" s="13"/>
      <c r="C765" s="16"/>
      <c r="D765" s="16"/>
      <c r="E765" s="16"/>
      <c r="F765" s="16"/>
      <c r="G765" s="16"/>
      <c r="H765" s="16"/>
      <c r="I765" s="125"/>
      <c r="J765" s="16"/>
      <c r="K765" s="13"/>
      <c r="L765" s="13"/>
      <c r="M765" s="13"/>
      <c r="N765" s="16"/>
      <c r="O765" s="16"/>
      <c r="P765" s="16"/>
      <c r="Q765" s="16"/>
      <c r="R765" s="96"/>
      <c r="S765" s="96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6"/>
      <c r="B766" s="13"/>
      <c r="C766" s="16"/>
      <c r="D766" s="16"/>
      <c r="E766" s="16"/>
      <c r="F766" s="16"/>
      <c r="G766" s="16"/>
      <c r="H766" s="16"/>
      <c r="I766" s="125"/>
      <c r="J766" s="16"/>
      <c r="K766" s="13"/>
      <c r="L766" s="13"/>
      <c r="M766" s="13"/>
      <c r="N766" s="16"/>
      <c r="O766" s="16"/>
      <c r="P766" s="16"/>
      <c r="Q766" s="16"/>
      <c r="R766" s="96"/>
      <c r="S766" s="96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6"/>
      <c r="B767" s="13"/>
      <c r="C767" s="16"/>
      <c r="D767" s="16"/>
      <c r="E767" s="16"/>
      <c r="F767" s="16"/>
      <c r="G767" s="16"/>
      <c r="H767" s="16"/>
      <c r="I767" s="125"/>
      <c r="J767" s="16"/>
      <c r="K767" s="13"/>
      <c r="L767" s="13"/>
      <c r="M767" s="13"/>
      <c r="N767" s="16"/>
      <c r="O767" s="16"/>
      <c r="P767" s="16"/>
      <c r="Q767" s="16"/>
      <c r="R767" s="96"/>
      <c r="S767" s="96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6"/>
      <c r="B768" s="13"/>
      <c r="C768" s="16"/>
      <c r="D768" s="16"/>
      <c r="E768" s="16"/>
      <c r="F768" s="16"/>
      <c r="G768" s="16"/>
      <c r="H768" s="16"/>
      <c r="I768" s="125"/>
      <c r="J768" s="16"/>
      <c r="K768" s="13"/>
      <c r="L768" s="13"/>
      <c r="M768" s="13"/>
      <c r="N768" s="16"/>
      <c r="O768" s="16"/>
      <c r="P768" s="16"/>
      <c r="Q768" s="16"/>
      <c r="R768" s="96"/>
      <c r="S768" s="96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6"/>
      <c r="B769" s="13"/>
      <c r="C769" s="16"/>
      <c r="D769" s="16"/>
      <c r="E769" s="16"/>
      <c r="F769" s="16"/>
      <c r="G769" s="16"/>
      <c r="H769" s="16"/>
      <c r="I769" s="125"/>
      <c r="J769" s="16"/>
      <c r="K769" s="13"/>
      <c r="L769" s="13"/>
      <c r="M769" s="13"/>
      <c r="N769" s="16"/>
      <c r="O769" s="16"/>
      <c r="P769" s="16"/>
      <c r="Q769" s="16"/>
      <c r="R769" s="96"/>
      <c r="S769" s="96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6"/>
      <c r="B770" s="13"/>
      <c r="C770" s="16"/>
      <c r="D770" s="16"/>
      <c r="E770" s="16"/>
      <c r="F770" s="16"/>
      <c r="G770" s="16"/>
      <c r="H770" s="16"/>
      <c r="I770" s="125"/>
      <c r="J770" s="16"/>
      <c r="K770" s="13"/>
      <c r="L770" s="13"/>
      <c r="M770" s="13"/>
      <c r="N770" s="16"/>
      <c r="O770" s="16"/>
      <c r="P770" s="16"/>
      <c r="Q770" s="16"/>
      <c r="R770" s="96"/>
      <c r="S770" s="96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6"/>
      <c r="B771" s="13"/>
      <c r="C771" s="16"/>
      <c r="D771" s="16"/>
      <c r="E771" s="16"/>
      <c r="F771" s="16"/>
      <c r="G771" s="16"/>
      <c r="H771" s="16"/>
      <c r="I771" s="125"/>
      <c r="J771" s="16"/>
      <c r="K771" s="13"/>
      <c r="L771" s="13"/>
      <c r="M771" s="13"/>
      <c r="N771" s="16"/>
      <c r="O771" s="16"/>
      <c r="P771" s="16"/>
      <c r="Q771" s="16"/>
      <c r="R771" s="96"/>
      <c r="S771" s="96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6"/>
      <c r="B772" s="13"/>
      <c r="C772" s="16"/>
      <c r="D772" s="16"/>
      <c r="E772" s="16"/>
      <c r="F772" s="16"/>
      <c r="G772" s="16"/>
      <c r="H772" s="16"/>
      <c r="I772" s="125"/>
      <c r="J772" s="16"/>
      <c r="K772" s="13"/>
      <c r="L772" s="13"/>
      <c r="M772" s="13"/>
      <c r="N772" s="16"/>
      <c r="O772" s="16"/>
      <c r="P772" s="16"/>
      <c r="Q772" s="16"/>
      <c r="R772" s="96"/>
      <c r="S772" s="96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6"/>
      <c r="B773" s="13"/>
      <c r="C773" s="16"/>
      <c r="D773" s="16"/>
      <c r="E773" s="16"/>
      <c r="F773" s="16"/>
      <c r="G773" s="16"/>
      <c r="H773" s="16"/>
      <c r="I773" s="125"/>
      <c r="J773" s="16"/>
      <c r="K773" s="13"/>
      <c r="L773" s="13"/>
      <c r="M773" s="13"/>
      <c r="N773" s="16"/>
      <c r="O773" s="16"/>
      <c r="P773" s="16"/>
      <c r="Q773" s="16"/>
      <c r="R773" s="96"/>
      <c r="S773" s="96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6"/>
      <c r="B774" s="13"/>
      <c r="C774" s="16"/>
      <c r="D774" s="16"/>
      <c r="E774" s="16"/>
      <c r="F774" s="16"/>
      <c r="G774" s="16"/>
      <c r="H774" s="16"/>
      <c r="I774" s="125"/>
      <c r="J774" s="16"/>
      <c r="K774" s="13"/>
      <c r="L774" s="13"/>
      <c r="M774" s="13"/>
      <c r="N774" s="16"/>
      <c r="O774" s="16"/>
      <c r="P774" s="16"/>
      <c r="Q774" s="16"/>
      <c r="R774" s="96"/>
      <c r="S774" s="96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6"/>
      <c r="B775" s="13"/>
      <c r="C775" s="16"/>
      <c r="D775" s="16"/>
      <c r="E775" s="16"/>
      <c r="F775" s="16"/>
      <c r="G775" s="16"/>
      <c r="H775" s="16"/>
      <c r="I775" s="125"/>
      <c r="J775" s="16"/>
      <c r="K775" s="13"/>
      <c r="L775" s="13"/>
      <c r="M775" s="13"/>
      <c r="N775" s="16"/>
      <c r="O775" s="16"/>
      <c r="P775" s="16"/>
      <c r="Q775" s="16"/>
      <c r="R775" s="96"/>
      <c r="S775" s="96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6"/>
      <c r="B776" s="13"/>
      <c r="C776" s="16"/>
      <c r="D776" s="16"/>
      <c r="E776" s="16"/>
      <c r="F776" s="16"/>
      <c r="G776" s="16"/>
      <c r="H776" s="16"/>
      <c r="I776" s="125"/>
      <c r="J776" s="16"/>
      <c r="K776" s="13"/>
      <c r="L776" s="13"/>
      <c r="M776" s="13"/>
      <c r="N776" s="16"/>
      <c r="O776" s="16"/>
      <c r="P776" s="16"/>
      <c r="Q776" s="16"/>
      <c r="R776" s="96"/>
      <c r="S776" s="96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6"/>
      <c r="B777" s="13"/>
      <c r="C777" s="16"/>
      <c r="D777" s="16"/>
      <c r="E777" s="16"/>
      <c r="F777" s="16"/>
      <c r="G777" s="16"/>
      <c r="H777" s="16"/>
      <c r="I777" s="125"/>
      <c r="J777" s="16"/>
      <c r="K777" s="13"/>
      <c r="L777" s="13"/>
      <c r="M777" s="13"/>
      <c r="N777" s="16"/>
      <c r="O777" s="16"/>
      <c r="P777" s="16"/>
      <c r="Q777" s="16"/>
      <c r="R777" s="96"/>
      <c r="S777" s="96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6"/>
      <c r="B778" s="13"/>
      <c r="C778" s="16"/>
      <c r="D778" s="16"/>
      <c r="E778" s="16"/>
      <c r="F778" s="16"/>
      <c r="G778" s="16"/>
      <c r="H778" s="16"/>
      <c r="I778" s="125"/>
      <c r="J778" s="16"/>
      <c r="K778" s="13"/>
      <c r="L778" s="13"/>
      <c r="M778" s="13"/>
      <c r="N778" s="16"/>
      <c r="O778" s="16"/>
      <c r="P778" s="16"/>
      <c r="Q778" s="16"/>
      <c r="R778" s="96"/>
      <c r="S778" s="96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6"/>
      <c r="B779" s="13"/>
      <c r="C779" s="16"/>
      <c r="D779" s="16"/>
      <c r="E779" s="16"/>
      <c r="F779" s="16"/>
      <c r="G779" s="16"/>
      <c r="H779" s="16"/>
      <c r="I779" s="125"/>
      <c r="J779" s="16"/>
      <c r="K779" s="13"/>
      <c r="L779" s="13"/>
      <c r="M779" s="13"/>
      <c r="N779" s="16"/>
      <c r="O779" s="16"/>
      <c r="P779" s="16"/>
      <c r="Q779" s="16"/>
      <c r="R779" s="96"/>
      <c r="S779" s="96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6"/>
      <c r="B780" s="13"/>
      <c r="C780" s="16"/>
      <c r="D780" s="16"/>
      <c r="E780" s="16"/>
      <c r="F780" s="16"/>
      <c r="G780" s="16"/>
      <c r="H780" s="16"/>
      <c r="I780" s="125"/>
      <c r="J780" s="16"/>
      <c r="K780" s="13"/>
      <c r="L780" s="13"/>
      <c r="M780" s="13"/>
      <c r="N780" s="16"/>
      <c r="O780" s="16"/>
      <c r="P780" s="16"/>
      <c r="Q780" s="16"/>
      <c r="R780" s="96"/>
      <c r="S780" s="96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6"/>
      <c r="B781" s="13"/>
      <c r="C781" s="16"/>
      <c r="D781" s="16"/>
      <c r="E781" s="16"/>
      <c r="F781" s="16"/>
      <c r="G781" s="16"/>
      <c r="H781" s="16"/>
      <c r="I781" s="125"/>
      <c r="J781" s="16"/>
      <c r="K781" s="13"/>
      <c r="L781" s="13"/>
      <c r="M781" s="13"/>
      <c r="N781" s="16"/>
      <c r="O781" s="16"/>
      <c r="P781" s="16"/>
      <c r="Q781" s="16"/>
      <c r="R781" s="96"/>
      <c r="S781" s="96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6"/>
      <c r="B782" s="13"/>
      <c r="C782" s="16"/>
      <c r="D782" s="16"/>
      <c r="E782" s="16"/>
      <c r="F782" s="16"/>
      <c r="G782" s="16"/>
      <c r="H782" s="16"/>
      <c r="I782" s="125"/>
      <c r="J782" s="16"/>
      <c r="K782" s="13"/>
      <c r="L782" s="13"/>
      <c r="M782" s="13"/>
      <c r="N782" s="16"/>
      <c r="O782" s="16"/>
      <c r="P782" s="16"/>
      <c r="Q782" s="16"/>
      <c r="R782" s="96"/>
      <c r="S782" s="96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6"/>
      <c r="B783" s="13"/>
      <c r="C783" s="16"/>
      <c r="D783" s="16"/>
      <c r="E783" s="16"/>
      <c r="F783" s="16"/>
      <c r="G783" s="16"/>
      <c r="H783" s="16"/>
      <c r="I783" s="125"/>
      <c r="J783" s="16"/>
      <c r="K783" s="13"/>
      <c r="L783" s="13"/>
      <c r="M783" s="13"/>
      <c r="N783" s="16"/>
      <c r="O783" s="16"/>
      <c r="P783" s="16"/>
      <c r="Q783" s="16"/>
      <c r="R783" s="96"/>
      <c r="S783" s="96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6"/>
      <c r="B784" s="13"/>
      <c r="C784" s="16"/>
      <c r="D784" s="16"/>
      <c r="E784" s="16"/>
      <c r="F784" s="16"/>
      <c r="G784" s="16"/>
      <c r="H784" s="16"/>
      <c r="I784" s="125"/>
      <c r="J784" s="16"/>
      <c r="K784" s="13"/>
      <c r="L784" s="13"/>
      <c r="M784" s="13"/>
      <c r="N784" s="16"/>
      <c r="O784" s="16"/>
      <c r="P784" s="16"/>
      <c r="Q784" s="16"/>
      <c r="R784" s="96"/>
      <c r="S784" s="96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6"/>
      <c r="B785" s="13"/>
      <c r="C785" s="16"/>
      <c r="D785" s="16"/>
      <c r="E785" s="16"/>
      <c r="F785" s="16"/>
      <c r="G785" s="16"/>
      <c r="H785" s="16"/>
      <c r="I785" s="125"/>
      <c r="J785" s="16"/>
      <c r="K785" s="13"/>
      <c r="L785" s="13"/>
      <c r="M785" s="13"/>
      <c r="N785" s="16"/>
      <c r="O785" s="16"/>
      <c r="P785" s="16"/>
      <c r="Q785" s="16"/>
      <c r="R785" s="96"/>
      <c r="S785" s="96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6"/>
      <c r="B786" s="13"/>
      <c r="C786" s="16"/>
      <c r="D786" s="16"/>
      <c r="E786" s="16"/>
      <c r="F786" s="16"/>
      <c r="G786" s="16"/>
      <c r="H786" s="16"/>
      <c r="I786" s="125"/>
      <c r="J786" s="16"/>
      <c r="K786" s="13"/>
      <c r="L786" s="13"/>
      <c r="M786" s="13"/>
      <c r="N786" s="16"/>
      <c r="O786" s="16"/>
      <c r="P786" s="16"/>
      <c r="Q786" s="16"/>
      <c r="R786" s="96"/>
      <c r="S786" s="96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6"/>
      <c r="B787" s="13"/>
      <c r="C787" s="16"/>
      <c r="D787" s="16"/>
      <c r="E787" s="16"/>
      <c r="F787" s="16"/>
      <c r="G787" s="16"/>
      <c r="H787" s="16"/>
      <c r="I787" s="125"/>
      <c r="J787" s="16"/>
      <c r="K787" s="13"/>
      <c r="L787" s="13"/>
      <c r="M787" s="13"/>
      <c r="N787" s="16"/>
      <c r="O787" s="16"/>
      <c r="P787" s="16"/>
      <c r="Q787" s="16"/>
      <c r="R787" s="96"/>
      <c r="S787" s="96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6"/>
      <c r="B788" s="13"/>
      <c r="C788" s="16"/>
      <c r="D788" s="16"/>
      <c r="E788" s="16"/>
      <c r="F788" s="16"/>
      <c r="G788" s="16"/>
      <c r="H788" s="16"/>
      <c r="I788" s="125"/>
      <c r="J788" s="16"/>
      <c r="K788" s="13"/>
      <c r="L788" s="13"/>
      <c r="M788" s="13"/>
      <c r="N788" s="16"/>
      <c r="O788" s="16"/>
      <c r="P788" s="16"/>
      <c r="Q788" s="16"/>
      <c r="R788" s="96"/>
      <c r="S788" s="96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6"/>
      <c r="B789" s="13"/>
      <c r="C789" s="16"/>
      <c r="D789" s="16"/>
      <c r="E789" s="16"/>
      <c r="F789" s="16"/>
      <c r="G789" s="16"/>
      <c r="H789" s="16"/>
      <c r="I789" s="125"/>
      <c r="J789" s="16"/>
      <c r="K789" s="13"/>
      <c r="L789" s="13"/>
      <c r="M789" s="13"/>
      <c r="N789" s="16"/>
      <c r="O789" s="16"/>
      <c r="P789" s="16"/>
      <c r="Q789" s="16"/>
      <c r="R789" s="96"/>
      <c r="S789" s="96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6"/>
      <c r="B790" s="13"/>
      <c r="C790" s="16"/>
      <c r="D790" s="16"/>
      <c r="E790" s="16"/>
      <c r="F790" s="16"/>
      <c r="G790" s="16"/>
      <c r="H790" s="16"/>
      <c r="I790" s="125"/>
      <c r="J790" s="16"/>
      <c r="K790" s="13"/>
      <c r="L790" s="13"/>
      <c r="M790" s="13"/>
      <c r="N790" s="16"/>
      <c r="O790" s="16"/>
      <c r="P790" s="16"/>
      <c r="Q790" s="16"/>
      <c r="R790" s="96"/>
      <c r="S790" s="96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6"/>
      <c r="B791" s="13"/>
      <c r="C791" s="16"/>
      <c r="D791" s="16"/>
      <c r="E791" s="16"/>
      <c r="F791" s="16"/>
      <c r="G791" s="16"/>
      <c r="H791" s="16"/>
      <c r="I791" s="125"/>
      <c r="J791" s="16"/>
      <c r="K791" s="13"/>
      <c r="L791" s="13"/>
      <c r="M791" s="13"/>
      <c r="N791" s="16"/>
      <c r="O791" s="16"/>
      <c r="P791" s="16"/>
      <c r="Q791" s="16"/>
      <c r="R791" s="96"/>
      <c r="S791" s="96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6"/>
      <c r="B792" s="13"/>
      <c r="C792" s="16"/>
      <c r="D792" s="16"/>
      <c r="E792" s="16"/>
      <c r="F792" s="16"/>
      <c r="G792" s="16"/>
      <c r="H792" s="16"/>
      <c r="I792" s="125"/>
      <c r="J792" s="16"/>
      <c r="K792" s="13"/>
      <c r="L792" s="13"/>
      <c r="M792" s="13"/>
      <c r="N792" s="16"/>
      <c r="O792" s="16"/>
      <c r="P792" s="16"/>
      <c r="Q792" s="16"/>
      <c r="R792" s="96"/>
      <c r="S792" s="96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6"/>
      <c r="B793" s="13"/>
      <c r="C793" s="16"/>
      <c r="D793" s="16"/>
      <c r="E793" s="16"/>
      <c r="F793" s="16"/>
      <c r="G793" s="16"/>
      <c r="H793" s="16"/>
      <c r="I793" s="125"/>
      <c r="J793" s="16"/>
      <c r="K793" s="13"/>
      <c r="L793" s="13"/>
      <c r="M793" s="13"/>
      <c r="N793" s="16"/>
      <c r="O793" s="16"/>
      <c r="P793" s="16"/>
      <c r="Q793" s="16"/>
      <c r="R793" s="96"/>
      <c r="S793" s="96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6"/>
      <c r="B794" s="13"/>
      <c r="C794" s="16"/>
      <c r="D794" s="16"/>
      <c r="E794" s="16"/>
      <c r="F794" s="16"/>
      <c r="G794" s="16"/>
      <c r="H794" s="16"/>
      <c r="I794" s="125"/>
      <c r="J794" s="16"/>
      <c r="K794" s="13"/>
      <c r="L794" s="13"/>
      <c r="M794" s="13"/>
      <c r="N794" s="16"/>
      <c r="O794" s="16"/>
      <c r="P794" s="16"/>
      <c r="Q794" s="16"/>
      <c r="R794" s="96"/>
      <c r="S794" s="96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6"/>
      <c r="B795" s="13"/>
      <c r="C795" s="16"/>
      <c r="D795" s="16"/>
      <c r="E795" s="16"/>
      <c r="F795" s="16"/>
      <c r="G795" s="16"/>
      <c r="H795" s="16"/>
      <c r="I795" s="125"/>
      <c r="J795" s="16"/>
      <c r="K795" s="13"/>
      <c r="L795" s="13"/>
      <c r="M795" s="13"/>
      <c r="N795" s="16"/>
      <c r="O795" s="16"/>
      <c r="P795" s="16"/>
      <c r="Q795" s="16"/>
      <c r="R795" s="96"/>
      <c r="S795" s="96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6"/>
      <c r="B796" s="13"/>
      <c r="C796" s="16"/>
      <c r="D796" s="16"/>
      <c r="E796" s="16"/>
      <c r="F796" s="16"/>
      <c r="G796" s="16"/>
      <c r="H796" s="16"/>
      <c r="I796" s="125"/>
      <c r="J796" s="16"/>
      <c r="K796" s="13"/>
      <c r="L796" s="13"/>
      <c r="M796" s="13"/>
      <c r="N796" s="16"/>
      <c r="O796" s="16"/>
      <c r="P796" s="16"/>
      <c r="Q796" s="16"/>
      <c r="R796" s="96"/>
      <c r="S796" s="96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6"/>
      <c r="B797" s="13"/>
      <c r="C797" s="16"/>
      <c r="D797" s="16"/>
      <c r="E797" s="16"/>
      <c r="F797" s="16"/>
      <c r="G797" s="16"/>
      <c r="H797" s="16"/>
      <c r="I797" s="125"/>
      <c r="J797" s="16"/>
      <c r="K797" s="13"/>
      <c r="L797" s="13"/>
      <c r="M797" s="13"/>
      <c r="N797" s="16"/>
      <c r="O797" s="16"/>
      <c r="P797" s="16"/>
      <c r="Q797" s="16"/>
      <c r="R797" s="96"/>
      <c r="S797" s="96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6"/>
      <c r="B798" s="13"/>
      <c r="C798" s="16"/>
      <c r="D798" s="16"/>
      <c r="E798" s="16"/>
      <c r="F798" s="16"/>
      <c r="G798" s="16"/>
      <c r="H798" s="16"/>
      <c r="I798" s="125"/>
      <c r="J798" s="16"/>
      <c r="K798" s="13"/>
      <c r="L798" s="13"/>
      <c r="M798" s="13"/>
      <c r="N798" s="16"/>
      <c r="O798" s="16"/>
      <c r="P798" s="16"/>
      <c r="Q798" s="16"/>
      <c r="R798" s="96"/>
      <c r="S798" s="96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6"/>
      <c r="B799" s="13"/>
      <c r="C799" s="16"/>
      <c r="D799" s="16"/>
      <c r="E799" s="16"/>
      <c r="F799" s="16"/>
      <c r="G799" s="16"/>
      <c r="H799" s="16"/>
      <c r="I799" s="125"/>
      <c r="J799" s="16"/>
      <c r="K799" s="13"/>
      <c r="L799" s="13"/>
      <c r="M799" s="13"/>
      <c r="N799" s="16"/>
      <c r="O799" s="16"/>
      <c r="P799" s="16"/>
      <c r="Q799" s="16"/>
      <c r="R799" s="96"/>
      <c r="S799" s="96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6"/>
      <c r="B800" s="13"/>
      <c r="C800" s="16"/>
      <c r="D800" s="16"/>
      <c r="E800" s="16"/>
      <c r="F800" s="16"/>
      <c r="G800" s="16"/>
      <c r="H800" s="16"/>
      <c r="I800" s="125"/>
      <c r="J800" s="16"/>
      <c r="K800" s="13"/>
      <c r="L800" s="13"/>
      <c r="M800" s="13"/>
      <c r="N800" s="16"/>
      <c r="O800" s="16"/>
      <c r="P800" s="16"/>
      <c r="Q800" s="16"/>
      <c r="R800" s="96"/>
      <c r="S800" s="96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6"/>
      <c r="B801" s="13"/>
      <c r="C801" s="16"/>
      <c r="D801" s="16"/>
      <c r="E801" s="16"/>
      <c r="F801" s="16"/>
      <c r="G801" s="16"/>
      <c r="H801" s="16"/>
      <c r="I801" s="125"/>
      <c r="J801" s="16"/>
      <c r="K801" s="13"/>
      <c r="L801" s="13"/>
      <c r="M801" s="13"/>
      <c r="N801" s="16"/>
      <c r="O801" s="16"/>
      <c r="P801" s="16"/>
      <c r="Q801" s="16"/>
      <c r="R801" s="96"/>
      <c r="S801" s="96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6"/>
      <c r="B802" s="13"/>
      <c r="C802" s="16"/>
      <c r="D802" s="16"/>
      <c r="E802" s="16"/>
      <c r="F802" s="16"/>
      <c r="G802" s="16"/>
      <c r="H802" s="16"/>
      <c r="I802" s="125"/>
      <c r="J802" s="16"/>
      <c r="K802" s="13"/>
      <c r="L802" s="13"/>
      <c r="M802" s="13"/>
      <c r="N802" s="16"/>
      <c r="O802" s="16"/>
      <c r="P802" s="16"/>
      <c r="Q802" s="16"/>
      <c r="R802" s="96"/>
      <c r="S802" s="96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6"/>
      <c r="B803" s="13"/>
      <c r="C803" s="16"/>
      <c r="D803" s="16"/>
      <c r="E803" s="16"/>
      <c r="F803" s="16"/>
      <c r="G803" s="16"/>
      <c r="H803" s="16"/>
      <c r="I803" s="125"/>
      <c r="J803" s="16"/>
      <c r="K803" s="13"/>
      <c r="L803" s="13"/>
      <c r="M803" s="13"/>
      <c r="N803" s="16"/>
      <c r="O803" s="16"/>
      <c r="P803" s="16"/>
      <c r="Q803" s="16"/>
      <c r="R803" s="96"/>
      <c r="S803" s="96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6"/>
      <c r="B804" s="13"/>
      <c r="C804" s="16"/>
      <c r="D804" s="16"/>
      <c r="E804" s="16"/>
      <c r="F804" s="16"/>
      <c r="G804" s="16"/>
      <c r="H804" s="16"/>
      <c r="I804" s="125"/>
      <c r="J804" s="16"/>
      <c r="K804" s="13"/>
      <c r="L804" s="13"/>
      <c r="M804" s="13"/>
      <c r="N804" s="16"/>
      <c r="O804" s="16"/>
      <c r="P804" s="16"/>
      <c r="Q804" s="16"/>
      <c r="R804" s="96"/>
      <c r="S804" s="96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6"/>
      <c r="B805" s="13"/>
      <c r="C805" s="16"/>
      <c r="D805" s="16"/>
      <c r="E805" s="16"/>
      <c r="F805" s="16"/>
      <c r="G805" s="16"/>
      <c r="H805" s="16"/>
      <c r="I805" s="125"/>
      <c r="J805" s="16"/>
      <c r="K805" s="13"/>
      <c r="L805" s="13"/>
      <c r="M805" s="13"/>
      <c r="N805" s="16"/>
      <c r="O805" s="16"/>
      <c r="P805" s="16"/>
      <c r="Q805" s="16"/>
      <c r="R805" s="96"/>
      <c r="S805" s="96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6"/>
      <c r="B806" s="13"/>
      <c r="C806" s="16"/>
      <c r="D806" s="16"/>
      <c r="E806" s="16"/>
      <c r="F806" s="16"/>
      <c r="G806" s="16"/>
      <c r="H806" s="16"/>
      <c r="I806" s="125"/>
      <c r="J806" s="16"/>
      <c r="K806" s="13"/>
      <c r="L806" s="13"/>
      <c r="M806" s="13"/>
      <c r="N806" s="16"/>
      <c r="O806" s="16"/>
      <c r="P806" s="16"/>
      <c r="Q806" s="16"/>
      <c r="R806" s="96"/>
      <c r="S806" s="96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6"/>
      <c r="B807" s="13"/>
      <c r="C807" s="16"/>
      <c r="D807" s="16"/>
      <c r="E807" s="16"/>
      <c r="F807" s="16"/>
      <c r="G807" s="16"/>
      <c r="H807" s="16"/>
      <c r="I807" s="125"/>
      <c r="J807" s="16"/>
      <c r="K807" s="13"/>
      <c r="L807" s="13"/>
      <c r="M807" s="13"/>
      <c r="N807" s="16"/>
      <c r="O807" s="16"/>
      <c r="P807" s="16"/>
      <c r="Q807" s="16"/>
      <c r="R807" s="96"/>
      <c r="S807" s="96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6"/>
      <c r="B808" s="13"/>
      <c r="C808" s="16"/>
      <c r="D808" s="16"/>
      <c r="E808" s="16"/>
      <c r="F808" s="16"/>
      <c r="G808" s="16"/>
      <c r="H808" s="16"/>
      <c r="I808" s="125"/>
      <c r="J808" s="16"/>
      <c r="K808" s="13"/>
      <c r="L808" s="13"/>
      <c r="M808" s="13"/>
      <c r="N808" s="16"/>
      <c r="O808" s="16"/>
      <c r="P808" s="16"/>
      <c r="Q808" s="16"/>
      <c r="R808" s="96"/>
      <c r="S808" s="96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6"/>
      <c r="B809" s="13"/>
      <c r="C809" s="16"/>
      <c r="D809" s="16"/>
      <c r="E809" s="16"/>
      <c r="F809" s="16"/>
      <c r="G809" s="16"/>
      <c r="H809" s="16"/>
      <c r="I809" s="125"/>
      <c r="J809" s="16"/>
      <c r="K809" s="13"/>
      <c r="L809" s="13"/>
      <c r="M809" s="13"/>
      <c r="N809" s="16"/>
      <c r="O809" s="16"/>
      <c r="P809" s="16"/>
      <c r="Q809" s="16"/>
      <c r="R809" s="96"/>
      <c r="S809" s="96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6"/>
      <c r="B810" s="13"/>
      <c r="C810" s="16"/>
      <c r="D810" s="16"/>
      <c r="E810" s="16"/>
      <c r="F810" s="16"/>
      <c r="G810" s="16"/>
      <c r="H810" s="16"/>
      <c r="I810" s="125"/>
      <c r="J810" s="16"/>
      <c r="K810" s="13"/>
      <c r="L810" s="13"/>
      <c r="M810" s="13"/>
      <c r="N810" s="16"/>
      <c r="O810" s="16"/>
      <c r="P810" s="16"/>
      <c r="Q810" s="16"/>
      <c r="R810" s="96"/>
      <c r="S810" s="96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6"/>
      <c r="B811" s="13"/>
      <c r="C811" s="16"/>
      <c r="D811" s="16"/>
      <c r="E811" s="16"/>
      <c r="F811" s="16"/>
      <c r="G811" s="16"/>
      <c r="H811" s="16"/>
      <c r="I811" s="125"/>
      <c r="J811" s="16"/>
      <c r="K811" s="13"/>
      <c r="L811" s="13"/>
      <c r="M811" s="13"/>
      <c r="N811" s="16"/>
      <c r="O811" s="16"/>
      <c r="P811" s="16"/>
      <c r="Q811" s="16"/>
      <c r="R811" s="96"/>
      <c r="S811" s="96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6"/>
      <c r="B812" s="13"/>
      <c r="C812" s="16"/>
      <c r="D812" s="16"/>
      <c r="E812" s="16"/>
      <c r="F812" s="16"/>
      <c r="G812" s="16"/>
      <c r="H812" s="16"/>
      <c r="I812" s="125"/>
      <c r="J812" s="16"/>
      <c r="K812" s="13"/>
      <c r="L812" s="13"/>
      <c r="M812" s="13"/>
      <c r="N812" s="16"/>
      <c r="O812" s="16"/>
      <c r="P812" s="16"/>
      <c r="Q812" s="16"/>
      <c r="R812" s="96"/>
      <c r="S812" s="96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6"/>
      <c r="B813" s="13"/>
      <c r="C813" s="16"/>
      <c r="D813" s="16"/>
      <c r="E813" s="16"/>
      <c r="F813" s="16"/>
      <c r="G813" s="16"/>
      <c r="H813" s="16"/>
      <c r="I813" s="125"/>
      <c r="J813" s="16"/>
      <c r="K813" s="13"/>
      <c r="L813" s="13"/>
      <c r="M813" s="13"/>
      <c r="N813" s="16"/>
      <c r="O813" s="16"/>
      <c r="P813" s="16"/>
      <c r="Q813" s="16"/>
      <c r="R813" s="96"/>
      <c r="S813" s="96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6"/>
      <c r="B814" s="13"/>
      <c r="C814" s="16"/>
      <c r="D814" s="16"/>
      <c r="E814" s="16"/>
      <c r="F814" s="16"/>
      <c r="G814" s="16"/>
      <c r="H814" s="16"/>
      <c r="I814" s="125"/>
      <c r="J814" s="16"/>
      <c r="K814" s="13"/>
      <c r="L814" s="13"/>
      <c r="M814" s="13"/>
      <c r="N814" s="16"/>
      <c r="O814" s="16"/>
      <c r="P814" s="16"/>
      <c r="Q814" s="16"/>
      <c r="R814" s="96"/>
      <c r="S814" s="96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6"/>
      <c r="B815" s="13"/>
      <c r="C815" s="16"/>
      <c r="D815" s="16"/>
      <c r="E815" s="16"/>
      <c r="F815" s="16"/>
      <c r="G815" s="16"/>
      <c r="H815" s="16"/>
      <c r="I815" s="125"/>
      <c r="J815" s="16"/>
      <c r="K815" s="13"/>
      <c r="L815" s="13"/>
      <c r="M815" s="13"/>
      <c r="N815" s="16"/>
      <c r="O815" s="16"/>
      <c r="P815" s="16"/>
      <c r="Q815" s="16"/>
      <c r="R815" s="96"/>
      <c r="S815" s="96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6"/>
      <c r="B816" s="13"/>
      <c r="C816" s="16"/>
      <c r="D816" s="16"/>
      <c r="E816" s="16"/>
      <c r="F816" s="16"/>
      <c r="G816" s="16"/>
      <c r="H816" s="16"/>
      <c r="I816" s="125"/>
      <c r="J816" s="16"/>
      <c r="K816" s="13"/>
      <c r="L816" s="13"/>
      <c r="M816" s="13"/>
      <c r="N816" s="16"/>
      <c r="O816" s="16"/>
      <c r="P816" s="16"/>
      <c r="Q816" s="16"/>
      <c r="R816" s="96"/>
      <c r="S816" s="96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6"/>
      <c r="B817" s="13"/>
      <c r="C817" s="16"/>
      <c r="D817" s="16"/>
      <c r="E817" s="16"/>
      <c r="F817" s="16"/>
      <c r="G817" s="16"/>
      <c r="H817" s="16"/>
      <c r="I817" s="125"/>
      <c r="J817" s="16"/>
      <c r="K817" s="13"/>
      <c r="L817" s="13"/>
      <c r="M817" s="13"/>
      <c r="N817" s="16"/>
      <c r="O817" s="16"/>
      <c r="P817" s="16"/>
      <c r="Q817" s="16"/>
      <c r="R817" s="96"/>
      <c r="S817" s="96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6"/>
      <c r="B818" s="13"/>
      <c r="C818" s="16"/>
      <c r="D818" s="16"/>
      <c r="E818" s="16"/>
      <c r="F818" s="16"/>
      <c r="G818" s="16"/>
      <c r="H818" s="16"/>
      <c r="I818" s="125"/>
      <c r="J818" s="16"/>
      <c r="K818" s="13"/>
      <c r="L818" s="13"/>
      <c r="M818" s="13"/>
      <c r="N818" s="16"/>
      <c r="O818" s="16"/>
      <c r="P818" s="16"/>
      <c r="Q818" s="16"/>
      <c r="R818" s="96"/>
      <c r="S818" s="96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6"/>
      <c r="B819" s="13"/>
      <c r="C819" s="16"/>
      <c r="D819" s="16"/>
      <c r="E819" s="16"/>
      <c r="F819" s="16"/>
      <c r="G819" s="16"/>
      <c r="H819" s="16"/>
      <c r="I819" s="125"/>
      <c r="J819" s="16"/>
      <c r="K819" s="13"/>
      <c r="L819" s="13"/>
      <c r="M819" s="13"/>
      <c r="N819" s="16"/>
      <c r="O819" s="16"/>
      <c r="P819" s="16"/>
      <c r="Q819" s="16"/>
      <c r="R819" s="96"/>
      <c r="S819" s="96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6"/>
      <c r="B820" s="13"/>
      <c r="C820" s="16"/>
      <c r="D820" s="16"/>
      <c r="E820" s="16"/>
      <c r="F820" s="16"/>
      <c r="G820" s="16"/>
      <c r="H820" s="16"/>
      <c r="I820" s="125"/>
      <c r="J820" s="16"/>
      <c r="K820" s="13"/>
      <c r="L820" s="13"/>
      <c r="M820" s="13"/>
      <c r="N820" s="16"/>
      <c r="O820" s="16"/>
      <c r="P820" s="16"/>
      <c r="Q820" s="16"/>
      <c r="R820" s="96"/>
      <c r="S820" s="96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6"/>
      <c r="B821" s="13"/>
      <c r="C821" s="16"/>
      <c r="D821" s="16"/>
      <c r="E821" s="16"/>
      <c r="F821" s="16"/>
      <c r="G821" s="16"/>
      <c r="H821" s="16"/>
      <c r="I821" s="125"/>
      <c r="J821" s="16"/>
      <c r="K821" s="13"/>
      <c r="L821" s="13"/>
      <c r="M821" s="13"/>
      <c r="N821" s="16"/>
      <c r="O821" s="16"/>
      <c r="P821" s="16"/>
      <c r="Q821" s="16"/>
      <c r="R821" s="96"/>
      <c r="S821" s="96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6"/>
      <c r="B822" s="13"/>
      <c r="C822" s="16"/>
      <c r="D822" s="16"/>
      <c r="E822" s="16"/>
      <c r="F822" s="16"/>
      <c r="G822" s="16"/>
      <c r="H822" s="16"/>
      <c r="I822" s="125"/>
      <c r="J822" s="16"/>
      <c r="K822" s="13"/>
      <c r="L822" s="13"/>
      <c r="M822" s="13"/>
      <c r="N822" s="16"/>
      <c r="O822" s="16"/>
      <c r="P822" s="16"/>
      <c r="Q822" s="16"/>
      <c r="R822" s="96"/>
      <c r="S822" s="96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6"/>
      <c r="B823" s="13"/>
      <c r="C823" s="16"/>
      <c r="D823" s="16"/>
      <c r="E823" s="16"/>
      <c r="F823" s="16"/>
      <c r="G823" s="16"/>
      <c r="H823" s="16"/>
      <c r="I823" s="125"/>
      <c r="J823" s="16"/>
      <c r="K823" s="13"/>
      <c r="L823" s="13"/>
      <c r="M823" s="13"/>
      <c r="N823" s="16"/>
      <c r="O823" s="16"/>
      <c r="P823" s="16"/>
      <c r="Q823" s="16"/>
      <c r="R823" s="96"/>
      <c r="S823" s="96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6"/>
      <c r="B824" s="13"/>
      <c r="C824" s="16"/>
      <c r="D824" s="16"/>
      <c r="E824" s="16"/>
      <c r="F824" s="16"/>
      <c r="G824" s="16"/>
      <c r="H824" s="16"/>
      <c r="I824" s="125"/>
      <c r="J824" s="16"/>
      <c r="K824" s="13"/>
      <c r="L824" s="13"/>
      <c r="M824" s="13"/>
      <c r="N824" s="16"/>
      <c r="O824" s="16"/>
      <c r="P824" s="16"/>
      <c r="Q824" s="16"/>
      <c r="R824" s="96"/>
      <c r="S824" s="96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6"/>
      <c r="B825" s="13"/>
      <c r="C825" s="16"/>
      <c r="D825" s="16"/>
      <c r="E825" s="16"/>
      <c r="F825" s="16"/>
      <c r="G825" s="16"/>
      <c r="H825" s="16"/>
      <c r="I825" s="125"/>
      <c r="J825" s="16"/>
      <c r="K825" s="13"/>
      <c r="L825" s="13"/>
      <c r="M825" s="13"/>
      <c r="N825" s="16"/>
      <c r="O825" s="16"/>
      <c r="P825" s="16"/>
      <c r="Q825" s="16"/>
      <c r="R825" s="96"/>
      <c r="S825" s="96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6"/>
      <c r="B826" s="13"/>
      <c r="C826" s="16"/>
      <c r="D826" s="16"/>
      <c r="E826" s="16"/>
      <c r="F826" s="16"/>
      <c r="G826" s="16"/>
      <c r="H826" s="16"/>
      <c r="I826" s="125"/>
      <c r="J826" s="16"/>
      <c r="K826" s="13"/>
      <c r="L826" s="13"/>
      <c r="M826" s="13"/>
      <c r="N826" s="16"/>
      <c r="O826" s="16"/>
      <c r="P826" s="16"/>
      <c r="Q826" s="16"/>
      <c r="R826" s="96"/>
      <c r="S826" s="96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6"/>
      <c r="B827" s="13"/>
      <c r="C827" s="16"/>
      <c r="D827" s="16"/>
      <c r="E827" s="16"/>
      <c r="F827" s="16"/>
      <c r="G827" s="16"/>
      <c r="H827" s="16"/>
      <c r="I827" s="125"/>
      <c r="J827" s="16"/>
      <c r="K827" s="13"/>
      <c r="L827" s="13"/>
      <c r="M827" s="13"/>
      <c r="N827" s="16"/>
      <c r="O827" s="16"/>
      <c r="P827" s="16"/>
      <c r="Q827" s="16"/>
      <c r="R827" s="96"/>
      <c r="S827" s="96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6"/>
      <c r="B828" s="13"/>
      <c r="C828" s="16"/>
      <c r="D828" s="16"/>
      <c r="E828" s="16"/>
      <c r="F828" s="16"/>
      <c r="G828" s="16"/>
      <c r="H828" s="16"/>
      <c r="I828" s="125"/>
      <c r="J828" s="16"/>
      <c r="K828" s="13"/>
      <c r="L828" s="13"/>
      <c r="M828" s="13"/>
      <c r="N828" s="16"/>
      <c r="O828" s="16"/>
      <c r="P828" s="16"/>
      <c r="Q828" s="16"/>
      <c r="R828" s="96"/>
      <c r="S828" s="96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6"/>
      <c r="B829" s="13"/>
      <c r="C829" s="16"/>
      <c r="D829" s="16"/>
      <c r="E829" s="16"/>
      <c r="F829" s="16"/>
      <c r="G829" s="16"/>
      <c r="H829" s="16"/>
      <c r="I829" s="125"/>
      <c r="J829" s="16"/>
      <c r="K829" s="13"/>
      <c r="L829" s="13"/>
      <c r="M829" s="13"/>
      <c r="N829" s="16"/>
      <c r="O829" s="16"/>
      <c r="P829" s="16"/>
      <c r="Q829" s="16"/>
      <c r="R829" s="96"/>
      <c r="S829" s="96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6"/>
      <c r="B830" s="13"/>
      <c r="C830" s="16"/>
      <c r="D830" s="16"/>
      <c r="E830" s="16"/>
      <c r="F830" s="16"/>
      <c r="G830" s="16"/>
      <c r="H830" s="16"/>
      <c r="I830" s="125"/>
      <c r="J830" s="16"/>
      <c r="K830" s="13"/>
      <c r="L830" s="13"/>
      <c r="M830" s="13"/>
      <c r="N830" s="16"/>
      <c r="O830" s="16"/>
      <c r="P830" s="16"/>
      <c r="Q830" s="16"/>
      <c r="R830" s="96"/>
      <c r="S830" s="96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6"/>
      <c r="B831" s="13"/>
      <c r="C831" s="16"/>
      <c r="D831" s="16"/>
      <c r="E831" s="16"/>
      <c r="F831" s="16"/>
      <c r="G831" s="16"/>
      <c r="H831" s="16"/>
      <c r="I831" s="125"/>
      <c r="J831" s="16"/>
      <c r="K831" s="13"/>
      <c r="L831" s="13"/>
      <c r="M831" s="13"/>
      <c r="N831" s="16"/>
      <c r="O831" s="16"/>
      <c r="P831" s="16"/>
      <c r="Q831" s="16"/>
      <c r="R831" s="96"/>
      <c r="S831" s="96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6"/>
      <c r="B832" s="13"/>
      <c r="C832" s="16"/>
      <c r="D832" s="16"/>
      <c r="E832" s="16"/>
      <c r="F832" s="16"/>
      <c r="G832" s="16"/>
      <c r="H832" s="16"/>
      <c r="I832" s="125"/>
      <c r="J832" s="16"/>
      <c r="K832" s="13"/>
      <c r="L832" s="13"/>
      <c r="M832" s="13"/>
      <c r="N832" s="16"/>
      <c r="O832" s="16"/>
      <c r="P832" s="16"/>
      <c r="Q832" s="16"/>
      <c r="R832" s="96"/>
      <c r="S832" s="96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6"/>
      <c r="B833" s="13"/>
      <c r="C833" s="16"/>
      <c r="D833" s="16"/>
      <c r="E833" s="16"/>
      <c r="F833" s="16"/>
      <c r="G833" s="16"/>
      <c r="H833" s="16"/>
      <c r="I833" s="125"/>
      <c r="J833" s="16"/>
      <c r="K833" s="13"/>
      <c r="L833" s="13"/>
      <c r="M833" s="13"/>
      <c r="N833" s="16"/>
      <c r="O833" s="16"/>
      <c r="P833" s="16"/>
      <c r="Q833" s="16"/>
      <c r="R833" s="96"/>
      <c r="S833" s="96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6"/>
      <c r="B834" s="13"/>
      <c r="C834" s="16"/>
      <c r="D834" s="16"/>
      <c r="E834" s="16"/>
      <c r="F834" s="16"/>
      <c r="G834" s="16"/>
      <c r="H834" s="16"/>
      <c r="I834" s="125"/>
      <c r="J834" s="16"/>
      <c r="K834" s="13"/>
      <c r="L834" s="13"/>
      <c r="M834" s="13"/>
      <c r="N834" s="16"/>
      <c r="O834" s="16"/>
      <c r="P834" s="16"/>
      <c r="Q834" s="16"/>
      <c r="R834" s="96"/>
      <c r="S834" s="96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6"/>
      <c r="B835" s="13"/>
      <c r="C835" s="16"/>
      <c r="D835" s="16"/>
      <c r="E835" s="16"/>
      <c r="F835" s="16"/>
      <c r="G835" s="16"/>
      <c r="H835" s="16"/>
      <c r="I835" s="125"/>
      <c r="J835" s="16"/>
      <c r="K835" s="13"/>
      <c r="L835" s="13"/>
      <c r="M835" s="13"/>
      <c r="N835" s="16"/>
      <c r="O835" s="16"/>
      <c r="P835" s="16"/>
      <c r="Q835" s="16"/>
      <c r="R835" s="96"/>
      <c r="S835" s="96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6"/>
      <c r="B836" s="13"/>
      <c r="C836" s="16"/>
      <c r="D836" s="16"/>
      <c r="E836" s="16"/>
      <c r="F836" s="16"/>
      <c r="G836" s="16"/>
      <c r="H836" s="16"/>
      <c r="I836" s="125"/>
      <c r="J836" s="16"/>
      <c r="K836" s="13"/>
      <c r="L836" s="13"/>
      <c r="M836" s="13"/>
      <c r="N836" s="16"/>
      <c r="O836" s="16"/>
      <c r="P836" s="16"/>
      <c r="Q836" s="16"/>
      <c r="R836" s="96"/>
      <c r="S836" s="96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6"/>
      <c r="B837" s="13"/>
      <c r="C837" s="16"/>
      <c r="D837" s="16"/>
      <c r="E837" s="16"/>
      <c r="F837" s="16"/>
      <c r="G837" s="16"/>
      <c r="H837" s="16"/>
      <c r="I837" s="125"/>
      <c r="J837" s="16"/>
      <c r="K837" s="13"/>
      <c r="L837" s="13"/>
      <c r="M837" s="13"/>
      <c r="N837" s="16"/>
      <c r="O837" s="16"/>
      <c r="P837" s="16"/>
      <c r="Q837" s="16"/>
      <c r="R837" s="96"/>
      <c r="S837" s="96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6"/>
      <c r="B838" s="13"/>
      <c r="C838" s="16"/>
      <c r="D838" s="16"/>
      <c r="E838" s="16"/>
      <c r="F838" s="16"/>
      <c r="G838" s="16"/>
      <c r="H838" s="16"/>
      <c r="I838" s="125"/>
      <c r="J838" s="16"/>
      <c r="K838" s="13"/>
      <c r="L838" s="13"/>
      <c r="M838" s="13"/>
      <c r="N838" s="16"/>
      <c r="O838" s="16"/>
      <c r="P838" s="16"/>
      <c r="Q838" s="16"/>
      <c r="R838" s="96"/>
      <c r="S838" s="96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6"/>
      <c r="B839" s="13"/>
      <c r="C839" s="16"/>
      <c r="D839" s="16"/>
      <c r="E839" s="16"/>
      <c r="F839" s="16"/>
      <c r="G839" s="16"/>
      <c r="H839" s="16"/>
      <c r="I839" s="125"/>
      <c r="J839" s="16"/>
      <c r="K839" s="13"/>
      <c r="L839" s="13"/>
      <c r="M839" s="13"/>
      <c r="N839" s="16"/>
      <c r="O839" s="16"/>
      <c r="P839" s="16"/>
      <c r="Q839" s="16"/>
      <c r="R839" s="96"/>
      <c r="S839" s="96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6"/>
      <c r="B840" s="13"/>
      <c r="C840" s="16"/>
      <c r="D840" s="16"/>
      <c r="E840" s="16"/>
      <c r="F840" s="16"/>
      <c r="G840" s="16"/>
      <c r="H840" s="16"/>
      <c r="I840" s="125"/>
      <c r="J840" s="16"/>
      <c r="K840" s="13"/>
      <c r="L840" s="13"/>
      <c r="M840" s="13"/>
      <c r="N840" s="16"/>
      <c r="O840" s="16"/>
      <c r="P840" s="16"/>
      <c r="Q840" s="16"/>
      <c r="R840" s="96"/>
      <c r="S840" s="96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6"/>
      <c r="B841" s="13"/>
      <c r="C841" s="16"/>
      <c r="D841" s="16"/>
      <c r="E841" s="16"/>
      <c r="F841" s="16"/>
      <c r="G841" s="16"/>
      <c r="H841" s="16"/>
      <c r="I841" s="125"/>
      <c r="J841" s="16"/>
      <c r="K841" s="13"/>
      <c r="L841" s="13"/>
      <c r="M841" s="13"/>
      <c r="N841" s="16"/>
      <c r="O841" s="16"/>
      <c r="P841" s="16"/>
      <c r="Q841" s="16"/>
      <c r="R841" s="96"/>
      <c r="S841" s="96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6"/>
      <c r="B842" s="13"/>
      <c r="C842" s="16"/>
      <c r="D842" s="16"/>
      <c r="E842" s="16"/>
      <c r="F842" s="16"/>
      <c r="G842" s="16"/>
      <c r="H842" s="16"/>
      <c r="I842" s="125"/>
      <c r="J842" s="16"/>
      <c r="K842" s="13"/>
      <c r="L842" s="13"/>
      <c r="M842" s="13"/>
      <c r="N842" s="16"/>
      <c r="O842" s="16"/>
      <c r="P842" s="16"/>
      <c r="Q842" s="16"/>
      <c r="R842" s="96"/>
      <c r="S842" s="96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6"/>
      <c r="B843" s="13"/>
      <c r="C843" s="16"/>
      <c r="D843" s="16"/>
      <c r="E843" s="16"/>
      <c r="F843" s="16"/>
      <c r="G843" s="16"/>
      <c r="H843" s="16"/>
      <c r="I843" s="125"/>
      <c r="J843" s="16"/>
      <c r="K843" s="13"/>
      <c r="L843" s="13"/>
      <c r="M843" s="13"/>
      <c r="N843" s="16"/>
      <c r="O843" s="16"/>
      <c r="P843" s="16"/>
      <c r="Q843" s="16"/>
      <c r="R843" s="96"/>
      <c r="S843" s="96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6"/>
      <c r="B844" s="13"/>
      <c r="C844" s="16"/>
      <c r="D844" s="16"/>
      <c r="E844" s="16"/>
      <c r="F844" s="16"/>
      <c r="G844" s="16"/>
      <c r="H844" s="16"/>
      <c r="I844" s="125"/>
      <c r="J844" s="16"/>
      <c r="K844" s="13"/>
      <c r="L844" s="13"/>
      <c r="M844" s="13"/>
      <c r="N844" s="16"/>
      <c r="O844" s="16"/>
      <c r="P844" s="16"/>
      <c r="Q844" s="16"/>
      <c r="R844" s="96"/>
      <c r="S844" s="96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6"/>
      <c r="B845" s="13"/>
      <c r="C845" s="16"/>
      <c r="D845" s="16"/>
      <c r="E845" s="16"/>
      <c r="F845" s="16"/>
      <c r="G845" s="16"/>
      <c r="H845" s="16"/>
      <c r="I845" s="125"/>
      <c r="J845" s="16"/>
      <c r="K845" s="13"/>
      <c r="L845" s="13"/>
      <c r="M845" s="13"/>
      <c r="N845" s="16"/>
      <c r="O845" s="16"/>
      <c r="P845" s="16"/>
      <c r="Q845" s="16"/>
      <c r="R845" s="96"/>
      <c r="S845" s="96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6"/>
      <c r="B846" s="13"/>
      <c r="C846" s="16"/>
      <c r="D846" s="16"/>
      <c r="E846" s="16"/>
      <c r="F846" s="16"/>
      <c r="G846" s="16"/>
      <c r="H846" s="16"/>
      <c r="I846" s="125"/>
      <c r="J846" s="16"/>
      <c r="K846" s="13"/>
      <c r="L846" s="13"/>
      <c r="M846" s="13"/>
      <c r="N846" s="16"/>
      <c r="O846" s="16"/>
      <c r="P846" s="16"/>
      <c r="Q846" s="16"/>
      <c r="R846" s="96"/>
      <c r="S846" s="96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6"/>
      <c r="B847" s="13"/>
      <c r="C847" s="16"/>
      <c r="D847" s="16"/>
      <c r="E847" s="16"/>
      <c r="F847" s="16"/>
      <c r="G847" s="16"/>
      <c r="H847" s="16"/>
      <c r="I847" s="125"/>
      <c r="J847" s="16"/>
      <c r="K847" s="13"/>
      <c r="L847" s="13"/>
      <c r="M847" s="13"/>
      <c r="N847" s="16"/>
      <c r="O847" s="16"/>
      <c r="P847" s="16"/>
      <c r="Q847" s="16"/>
      <c r="R847" s="96"/>
      <c r="S847" s="96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6"/>
      <c r="B848" s="13"/>
      <c r="C848" s="16"/>
      <c r="D848" s="16"/>
      <c r="E848" s="16"/>
      <c r="F848" s="16"/>
      <c r="G848" s="16"/>
      <c r="H848" s="16"/>
      <c r="I848" s="125"/>
      <c r="J848" s="16"/>
      <c r="K848" s="13"/>
      <c r="L848" s="13"/>
      <c r="M848" s="13"/>
      <c r="N848" s="16"/>
      <c r="O848" s="16"/>
      <c r="P848" s="16"/>
      <c r="Q848" s="16"/>
      <c r="R848" s="96"/>
      <c r="S848" s="96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6"/>
      <c r="B849" s="13"/>
      <c r="C849" s="16"/>
      <c r="D849" s="16"/>
      <c r="E849" s="16"/>
      <c r="F849" s="16"/>
      <c r="G849" s="16"/>
      <c r="H849" s="16"/>
      <c r="I849" s="125"/>
      <c r="J849" s="16"/>
      <c r="K849" s="13"/>
      <c r="L849" s="13"/>
      <c r="M849" s="13"/>
      <c r="N849" s="16"/>
      <c r="O849" s="16"/>
      <c r="P849" s="16"/>
      <c r="Q849" s="16"/>
      <c r="R849" s="96"/>
      <c r="S849" s="96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6"/>
      <c r="B850" s="13"/>
      <c r="C850" s="16"/>
      <c r="D850" s="16"/>
      <c r="E850" s="16"/>
      <c r="F850" s="16"/>
      <c r="G850" s="16"/>
      <c r="H850" s="16"/>
      <c r="I850" s="125"/>
      <c r="J850" s="16"/>
      <c r="K850" s="13"/>
      <c r="L850" s="13"/>
      <c r="M850" s="13"/>
      <c r="N850" s="16"/>
      <c r="O850" s="16"/>
      <c r="P850" s="16"/>
      <c r="Q850" s="16"/>
      <c r="R850" s="96"/>
      <c r="S850" s="96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6"/>
      <c r="B851" s="13"/>
      <c r="C851" s="16"/>
      <c r="D851" s="16"/>
      <c r="E851" s="16"/>
      <c r="F851" s="16"/>
      <c r="G851" s="16"/>
      <c r="H851" s="16"/>
      <c r="I851" s="125"/>
      <c r="J851" s="16"/>
      <c r="K851" s="13"/>
      <c r="L851" s="13"/>
      <c r="M851" s="13"/>
      <c r="N851" s="16"/>
      <c r="O851" s="16"/>
      <c r="P851" s="16"/>
      <c r="Q851" s="16"/>
      <c r="R851" s="96"/>
      <c r="S851" s="96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6"/>
      <c r="B852" s="13"/>
      <c r="C852" s="16"/>
      <c r="D852" s="16"/>
      <c r="E852" s="16"/>
      <c r="F852" s="16"/>
      <c r="G852" s="16"/>
      <c r="H852" s="16"/>
      <c r="I852" s="125"/>
      <c r="J852" s="16"/>
      <c r="K852" s="13"/>
      <c r="L852" s="13"/>
      <c r="M852" s="13"/>
      <c r="N852" s="16"/>
      <c r="O852" s="16"/>
      <c r="P852" s="16"/>
      <c r="Q852" s="16"/>
      <c r="R852" s="96"/>
      <c r="S852" s="96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6"/>
      <c r="B853" s="13"/>
      <c r="C853" s="16"/>
      <c r="D853" s="16"/>
      <c r="E853" s="16"/>
      <c r="F853" s="16"/>
      <c r="G853" s="16"/>
      <c r="H853" s="16"/>
      <c r="I853" s="125"/>
      <c r="J853" s="16"/>
      <c r="K853" s="13"/>
      <c r="L853" s="13"/>
      <c r="M853" s="13"/>
      <c r="N853" s="16"/>
      <c r="O853" s="16"/>
      <c r="P853" s="16"/>
      <c r="Q853" s="16"/>
      <c r="R853" s="96"/>
      <c r="S853" s="96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6"/>
      <c r="B854" s="13"/>
      <c r="C854" s="16"/>
      <c r="D854" s="16"/>
      <c r="E854" s="16"/>
      <c r="F854" s="16"/>
      <c r="G854" s="16"/>
      <c r="H854" s="16"/>
      <c r="I854" s="125"/>
      <c r="J854" s="16"/>
      <c r="K854" s="13"/>
      <c r="L854" s="13"/>
      <c r="M854" s="13"/>
      <c r="N854" s="16"/>
      <c r="O854" s="16"/>
      <c r="P854" s="16"/>
      <c r="Q854" s="16"/>
      <c r="R854" s="96"/>
      <c r="S854" s="96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6"/>
      <c r="B855" s="13"/>
      <c r="C855" s="16"/>
      <c r="D855" s="16"/>
      <c r="E855" s="16"/>
      <c r="F855" s="16"/>
      <c r="G855" s="16"/>
      <c r="H855" s="16"/>
      <c r="I855" s="125"/>
      <c r="J855" s="16"/>
      <c r="K855" s="13"/>
      <c r="L855" s="13"/>
      <c r="M855" s="13"/>
      <c r="N855" s="16"/>
      <c r="O855" s="16"/>
      <c r="P855" s="16"/>
      <c r="Q855" s="16"/>
      <c r="R855" s="96"/>
      <c r="S855" s="96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6"/>
      <c r="B856" s="13"/>
      <c r="C856" s="16"/>
      <c r="D856" s="16"/>
      <c r="E856" s="16"/>
      <c r="F856" s="16"/>
      <c r="G856" s="16"/>
      <c r="H856" s="16"/>
      <c r="I856" s="125"/>
      <c r="J856" s="16"/>
      <c r="K856" s="13"/>
      <c r="L856" s="13"/>
      <c r="M856" s="13"/>
      <c r="N856" s="16"/>
      <c r="O856" s="16"/>
      <c r="P856" s="16"/>
      <c r="Q856" s="16"/>
      <c r="R856" s="96"/>
      <c r="S856" s="96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6"/>
      <c r="B857" s="13"/>
      <c r="C857" s="16"/>
      <c r="D857" s="16"/>
      <c r="E857" s="16"/>
      <c r="F857" s="16"/>
      <c r="G857" s="16"/>
      <c r="H857" s="16"/>
      <c r="I857" s="125"/>
      <c r="J857" s="16"/>
      <c r="K857" s="13"/>
      <c r="L857" s="13"/>
      <c r="M857" s="13"/>
      <c r="N857" s="16"/>
      <c r="O857" s="16"/>
      <c r="P857" s="16"/>
      <c r="Q857" s="16"/>
      <c r="R857" s="96"/>
      <c r="S857" s="96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6"/>
      <c r="B858" s="13"/>
      <c r="C858" s="16"/>
      <c r="D858" s="16"/>
      <c r="E858" s="16"/>
      <c r="F858" s="16"/>
      <c r="G858" s="16"/>
      <c r="H858" s="16"/>
      <c r="I858" s="125"/>
      <c r="J858" s="16"/>
      <c r="K858" s="13"/>
      <c r="L858" s="13"/>
      <c r="M858" s="13"/>
      <c r="N858" s="16"/>
      <c r="O858" s="16"/>
      <c r="P858" s="16"/>
      <c r="Q858" s="16"/>
      <c r="R858" s="96"/>
      <c r="S858" s="96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6"/>
      <c r="B859" s="13"/>
      <c r="C859" s="16"/>
      <c r="D859" s="16"/>
      <c r="E859" s="16"/>
      <c r="F859" s="16"/>
      <c r="G859" s="16"/>
      <c r="H859" s="16"/>
      <c r="I859" s="125"/>
      <c r="J859" s="16"/>
      <c r="K859" s="13"/>
      <c r="L859" s="13"/>
      <c r="M859" s="13"/>
      <c r="N859" s="16"/>
      <c r="O859" s="16"/>
      <c r="P859" s="16"/>
      <c r="Q859" s="16"/>
      <c r="R859" s="96"/>
      <c r="S859" s="96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6"/>
      <c r="B860" s="13"/>
      <c r="C860" s="16"/>
      <c r="D860" s="16"/>
      <c r="E860" s="16"/>
      <c r="F860" s="16"/>
      <c r="G860" s="16"/>
      <c r="H860" s="16"/>
      <c r="I860" s="125"/>
      <c r="J860" s="16"/>
      <c r="K860" s="13"/>
      <c r="L860" s="13"/>
      <c r="M860" s="13"/>
      <c r="N860" s="16"/>
      <c r="O860" s="16"/>
      <c r="P860" s="16"/>
      <c r="Q860" s="16"/>
      <c r="R860" s="96"/>
      <c r="S860" s="96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6"/>
      <c r="B861" s="13"/>
      <c r="C861" s="16"/>
      <c r="D861" s="16"/>
      <c r="E861" s="16"/>
      <c r="F861" s="16"/>
      <c r="G861" s="16"/>
      <c r="H861" s="16"/>
      <c r="I861" s="125"/>
      <c r="J861" s="16"/>
      <c r="K861" s="13"/>
      <c r="L861" s="13"/>
      <c r="M861" s="13"/>
      <c r="N861" s="16"/>
      <c r="O861" s="16"/>
      <c r="P861" s="16"/>
      <c r="Q861" s="16"/>
      <c r="R861" s="96"/>
      <c r="S861" s="96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6"/>
      <c r="B862" s="13"/>
      <c r="C862" s="16"/>
      <c r="D862" s="16"/>
      <c r="E862" s="16"/>
      <c r="F862" s="16"/>
      <c r="G862" s="16"/>
      <c r="H862" s="16"/>
      <c r="I862" s="125"/>
      <c r="J862" s="16"/>
      <c r="K862" s="13"/>
      <c r="L862" s="13"/>
      <c r="M862" s="13"/>
      <c r="N862" s="16"/>
      <c r="O862" s="16"/>
      <c r="P862" s="16"/>
      <c r="Q862" s="16"/>
      <c r="R862" s="96"/>
      <c r="S862" s="96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6"/>
      <c r="B863" s="13"/>
      <c r="C863" s="16"/>
      <c r="D863" s="16"/>
      <c r="E863" s="16"/>
      <c r="F863" s="16"/>
      <c r="G863" s="16"/>
      <c r="H863" s="16"/>
      <c r="I863" s="125"/>
      <c r="J863" s="16"/>
      <c r="K863" s="13"/>
      <c r="L863" s="13"/>
      <c r="M863" s="13"/>
      <c r="N863" s="16"/>
      <c r="O863" s="16"/>
      <c r="P863" s="16"/>
      <c r="Q863" s="16"/>
      <c r="R863" s="96"/>
      <c r="S863" s="96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6"/>
      <c r="B864" s="13"/>
      <c r="C864" s="16"/>
      <c r="D864" s="16"/>
      <c r="E864" s="16"/>
      <c r="F864" s="16"/>
      <c r="G864" s="16"/>
      <c r="H864" s="16"/>
      <c r="I864" s="125"/>
      <c r="J864" s="16"/>
      <c r="K864" s="13"/>
      <c r="L864" s="13"/>
      <c r="M864" s="13"/>
      <c r="N864" s="16"/>
      <c r="O864" s="16"/>
      <c r="P864" s="16"/>
      <c r="Q864" s="16"/>
      <c r="R864" s="96"/>
      <c r="S864" s="96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6"/>
      <c r="B865" s="13"/>
      <c r="C865" s="16"/>
      <c r="D865" s="16"/>
      <c r="E865" s="16"/>
      <c r="F865" s="16"/>
      <c r="G865" s="16"/>
      <c r="H865" s="16"/>
      <c r="I865" s="125"/>
      <c r="J865" s="16"/>
      <c r="K865" s="13"/>
      <c r="L865" s="13"/>
      <c r="M865" s="13"/>
      <c r="N865" s="16"/>
      <c r="O865" s="16"/>
      <c r="P865" s="16"/>
      <c r="Q865" s="16"/>
      <c r="R865" s="96"/>
      <c r="S865" s="96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6"/>
      <c r="B866" s="13"/>
      <c r="C866" s="16"/>
      <c r="D866" s="16"/>
      <c r="E866" s="16"/>
      <c r="F866" s="16"/>
      <c r="G866" s="16"/>
      <c r="H866" s="16"/>
      <c r="I866" s="125"/>
      <c r="J866" s="16"/>
      <c r="K866" s="13"/>
      <c r="L866" s="13"/>
      <c r="M866" s="13"/>
      <c r="N866" s="16"/>
      <c r="O866" s="16"/>
      <c r="P866" s="16"/>
      <c r="Q866" s="16"/>
      <c r="R866" s="96"/>
      <c r="S866" s="96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6"/>
      <c r="B867" s="13"/>
      <c r="C867" s="16"/>
      <c r="D867" s="16"/>
      <c r="E867" s="16"/>
      <c r="F867" s="16"/>
      <c r="G867" s="16"/>
      <c r="H867" s="16"/>
      <c r="I867" s="125"/>
      <c r="J867" s="16"/>
      <c r="K867" s="13"/>
      <c r="L867" s="13"/>
      <c r="M867" s="13"/>
      <c r="N867" s="16"/>
      <c r="O867" s="16"/>
      <c r="P867" s="16"/>
      <c r="Q867" s="16"/>
      <c r="R867" s="96"/>
      <c r="S867" s="96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6"/>
      <c r="B868" s="13"/>
      <c r="C868" s="16"/>
      <c r="D868" s="16"/>
      <c r="E868" s="16"/>
      <c r="F868" s="16"/>
      <c r="G868" s="16"/>
      <c r="H868" s="16"/>
      <c r="I868" s="125"/>
      <c r="J868" s="16"/>
      <c r="K868" s="13"/>
      <c r="L868" s="13"/>
      <c r="M868" s="13"/>
      <c r="N868" s="16"/>
      <c r="O868" s="16"/>
      <c r="P868" s="16"/>
      <c r="Q868" s="16"/>
      <c r="R868" s="96"/>
      <c r="S868" s="96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6"/>
      <c r="B869" s="13"/>
      <c r="C869" s="16"/>
      <c r="D869" s="16"/>
      <c r="E869" s="16"/>
      <c r="F869" s="16"/>
      <c r="G869" s="16"/>
      <c r="H869" s="16"/>
      <c r="I869" s="125"/>
      <c r="J869" s="16"/>
      <c r="K869" s="13"/>
      <c r="L869" s="13"/>
      <c r="M869" s="13"/>
      <c r="N869" s="16"/>
      <c r="O869" s="16"/>
      <c r="P869" s="16"/>
      <c r="Q869" s="16"/>
      <c r="R869" s="96"/>
      <c r="S869" s="96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6"/>
      <c r="B870" s="13"/>
      <c r="C870" s="16"/>
      <c r="D870" s="16"/>
      <c r="E870" s="16"/>
      <c r="F870" s="16"/>
      <c r="G870" s="16"/>
      <c r="H870" s="16"/>
      <c r="I870" s="125"/>
      <c r="J870" s="16"/>
      <c r="K870" s="13"/>
      <c r="L870" s="13"/>
      <c r="M870" s="13"/>
      <c r="N870" s="16"/>
      <c r="O870" s="16"/>
      <c r="P870" s="16"/>
      <c r="Q870" s="16"/>
      <c r="R870" s="96"/>
      <c r="S870" s="96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6"/>
      <c r="B871" s="13"/>
      <c r="C871" s="16"/>
      <c r="D871" s="16"/>
      <c r="E871" s="16"/>
      <c r="F871" s="16"/>
      <c r="G871" s="16"/>
      <c r="H871" s="16"/>
      <c r="I871" s="125"/>
      <c r="J871" s="16"/>
      <c r="K871" s="13"/>
      <c r="L871" s="13"/>
      <c r="M871" s="13"/>
      <c r="N871" s="16"/>
      <c r="O871" s="16"/>
      <c r="P871" s="16"/>
      <c r="Q871" s="16"/>
      <c r="R871" s="96"/>
      <c r="S871" s="96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6"/>
      <c r="B872" s="13"/>
      <c r="C872" s="16"/>
      <c r="D872" s="16"/>
      <c r="E872" s="16"/>
      <c r="F872" s="16"/>
      <c r="G872" s="16"/>
      <c r="H872" s="16"/>
      <c r="I872" s="125"/>
      <c r="J872" s="16"/>
      <c r="K872" s="13"/>
      <c r="L872" s="13"/>
      <c r="M872" s="13"/>
      <c r="N872" s="16"/>
      <c r="O872" s="16"/>
      <c r="P872" s="16"/>
      <c r="Q872" s="16"/>
      <c r="R872" s="96"/>
      <c r="S872" s="96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6"/>
      <c r="B873" s="13"/>
      <c r="C873" s="16"/>
      <c r="D873" s="16"/>
      <c r="E873" s="16"/>
      <c r="F873" s="16"/>
      <c r="G873" s="16"/>
      <c r="H873" s="16"/>
      <c r="I873" s="125"/>
      <c r="J873" s="16"/>
      <c r="K873" s="13"/>
      <c r="L873" s="13"/>
      <c r="M873" s="13"/>
      <c r="N873" s="16"/>
      <c r="O873" s="16"/>
      <c r="P873" s="16"/>
      <c r="Q873" s="16"/>
      <c r="R873" s="96"/>
      <c r="S873" s="96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6"/>
      <c r="B874" s="13"/>
      <c r="C874" s="16"/>
      <c r="D874" s="16"/>
      <c r="E874" s="16"/>
      <c r="F874" s="16"/>
      <c r="G874" s="16"/>
      <c r="H874" s="16"/>
      <c r="I874" s="125"/>
      <c r="J874" s="16"/>
      <c r="K874" s="13"/>
      <c r="L874" s="13"/>
      <c r="M874" s="13"/>
      <c r="N874" s="16"/>
      <c r="O874" s="16"/>
      <c r="P874" s="16"/>
      <c r="Q874" s="16"/>
      <c r="R874" s="96"/>
      <c r="S874" s="96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6"/>
      <c r="B875" s="13"/>
      <c r="C875" s="16"/>
      <c r="D875" s="16"/>
      <c r="E875" s="16"/>
      <c r="F875" s="16"/>
      <c r="G875" s="16"/>
      <c r="H875" s="16"/>
      <c r="I875" s="125"/>
      <c r="J875" s="16"/>
      <c r="K875" s="13"/>
      <c r="L875" s="13"/>
      <c r="M875" s="13"/>
      <c r="N875" s="16"/>
      <c r="O875" s="16"/>
      <c r="P875" s="16"/>
      <c r="Q875" s="16"/>
      <c r="R875" s="96"/>
      <c r="S875" s="96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6"/>
      <c r="B876" s="13"/>
      <c r="C876" s="16"/>
      <c r="D876" s="16"/>
      <c r="E876" s="16"/>
      <c r="F876" s="16"/>
      <c r="G876" s="16"/>
      <c r="H876" s="16"/>
      <c r="I876" s="125"/>
      <c r="J876" s="16"/>
      <c r="K876" s="13"/>
      <c r="L876" s="13"/>
      <c r="M876" s="13"/>
      <c r="N876" s="16"/>
      <c r="O876" s="16"/>
      <c r="P876" s="16"/>
      <c r="Q876" s="16"/>
      <c r="R876" s="96"/>
      <c r="S876" s="96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6"/>
      <c r="B877" s="13"/>
      <c r="C877" s="16"/>
      <c r="D877" s="16"/>
      <c r="E877" s="16"/>
      <c r="F877" s="16"/>
      <c r="G877" s="16"/>
      <c r="H877" s="16"/>
      <c r="I877" s="125"/>
      <c r="J877" s="16"/>
      <c r="K877" s="13"/>
      <c r="L877" s="13"/>
      <c r="M877" s="13"/>
      <c r="N877" s="16"/>
      <c r="O877" s="16"/>
      <c r="P877" s="16"/>
      <c r="Q877" s="16"/>
      <c r="R877" s="96"/>
      <c r="S877" s="96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6"/>
      <c r="B878" s="13"/>
      <c r="C878" s="16"/>
      <c r="D878" s="16"/>
      <c r="E878" s="16"/>
      <c r="F878" s="16"/>
      <c r="G878" s="16"/>
      <c r="H878" s="16"/>
      <c r="I878" s="125"/>
      <c r="J878" s="16"/>
      <c r="K878" s="13"/>
      <c r="L878" s="13"/>
      <c r="M878" s="13"/>
      <c r="N878" s="16"/>
      <c r="O878" s="16"/>
      <c r="P878" s="16"/>
      <c r="Q878" s="16"/>
      <c r="R878" s="96"/>
      <c r="S878" s="96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6"/>
      <c r="B879" s="13"/>
      <c r="C879" s="16"/>
      <c r="D879" s="16"/>
      <c r="E879" s="16"/>
      <c r="F879" s="16"/>
      <c r="G879" s="16"/>
      <c r="H879" s="16"/>
      <c r="I879" s="125"/>
      <c r="J879" s="16"/>
      <c r="K879" s="13"/>
      <c r="L879" s="13"/>
      <c r="M879" s="13"/>
      <c r="N879" s="16"/>
      <c r="O879" s="16"/>
      <c r="P879" s="16"/>
      <c r="Q879" s="16"/>
      <c r="R879" s="96"/>
      <c r="S879" s="96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6"/>
      <c r="B880" s="13"/>
      <c r="C880" s="16"/>
      <c r="D880" s="16"/>
      <c r="E880" s="16"/>
      <c r="F880" s="16"/>
      <c r="G880" s="16"/>
      <c r="H880" s="16"/>
      <c r="I880" s="125"/>
      <c r="J880" s="16"/>
      <c r="K880" s="13"/>
      <c r="L880" s="13"/>
      <c r="M880" s="13"/>
      <c r="N880" s="16"/>
      <c r="O880" s="16"/>
      <c r="P880" s="16"/>
      <c r="Q880" s="16"/>
      <c r="R880" s="96"/>
      <c r="S880" s="96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6"/>
      <c r="B881" s="13"/>
      <c r="C881" s="16"/>
      <c r="D881" s="16"/>
      <c r="E881" s="16"/>
      <c r="F881" s="16"/>
      <c r="G881" s="16"/>
      <c r="H881" s="16"/>
      <c r="I881" s="125"/>
      <c r="J881" s="16"/>
      <c r="K881" s="13"/>
      <c r="L881" s="13"/>
      <c r="M881" s="13"/>
      <c r="N881" s="16"/>
      <c r="O881" s="16"/>
      <c r="P881" s="16"/>
      <c r="Q881" s="16"/>
      <c r="R881" s="96"/>
      <c r="S881" s="96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6"/>
      <c r="B882" s="13"/>
      <c r="C882" s="16"/>
      <c r="D882" s="16"/>
      <c r="E882" s="16"/>
      <c r="F882" s="16"/>
      <c r="G882" s="16"/>
      <c r="H882" s="16"/>
      <c r="I882" s="125"/>
      <c r="J882" s="16"/>
      <c r="K882" s="13"/>
      <c r="L882" s="13"/>
      <c r="M882" s="13"/>
      <c r="N882" s="16"/>
      <c r="O882" s="16"/>
      <c r="P882" s="16"/>
      <c r="Q882" s="16"/>
      <c r="R882" s="96"/>
      <c r="S882" s="96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6"/>
      <c r="B883" s="13"/>
      <c r="C883" s="16"/>
      <c r="D883" s="16"/>
      <c r="E883" s="16"/>
      <c r="F883" s="16"/>
      <c r="G883" s="16"/>
      <c r="H883" s="16"/>
      <c r="I883" s="125"/>
      <c r="J883" s="16"/>
      <c r="K883" s="13"/>
      <c r="L883" s="13"/>
      <c r="M883" s="13"/>
      <c r="N883" s="16"/>
      <c r="O883" s="16"/>
      <c r="P883" s="16"/>
      <c r="Q883" s="16"/>
      <c r="R883" s="96"/>
      <c r="S883" s="96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6"/>
      <c r="B884" s="13"/>
      <c r="C884" s="16"/>
      <c r="D884" s="16"/>
      <c r="E884" s="16"/>
      <c r="F884" s="16"/>
      <c r="G884" s="16"/>
      <c r="H884" s="16"/>
      <c r="I884" s="125"/>
      <c r="J884" s="16"/>
      <c r="K884" s="13"/>
      <c r="L884" s="13"/>
      <c r="M884" s="13"/>
      <c r="N884" s="16"/>
      <c r="O884" s="16"/>
      <c r="P884" s="16"/>
      <c r="Q884" s="16"/>
      <c r="R884" s="96"/>
      <c r="S884" s="96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6"/>
      <c r="B885" s="13"/>
      <c r="C885" s="16"/>
      <c r="D885" s="16"/>
      <c r="E885" s="16"/>
      <c r="F885" s="16"/>
      <c r="G885" s="16"/>
      <c r="H885" s="16"/>
      <c r="I885" s="125"/>
      <c r="J885" s="16"/>
      <c r="K885" s="13"/>
      <c r="L885" s="13"/>
      <c r="M885" s="13"/>
      <c r="N885" s="16"/>
      <c r="O885" s="16"/>
      <c r="P885" s="16"/>
      <c r="Q885" s="16"/>
      <c r="R885" s="96"/>
      <c r="S885" s="96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6"/>
      <c r="B886" s="13"/>
      <c r="C886" s="16"/>
      <c r="D886" s="16"/>
      <c r="E886" s="16"/>
      <c r="F886" s="16"/>
      <c r="G886" s="16"/>
      <c r="H886" s="16"/>
      <c r="I886" s="125"/>
      <c r="J886" s="16"/>
      <c r="K886" s="13"/>
      <c r="L886" s="13"/>
      <c r="M886" s="13"/>
      <c r="N886" s="16"/>
      <c r="O886" s="16"/>
      <c r="P886" s="16"/>
      <c r="Q886" s="16"/>
      <c r="R886" s="96"/>
      <c r="S886" s="96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6"/>
      <c r="B887" s="13"/>
      <c r="C887" s="16"/>
      <c r="D887" s="16"/>
      <c r="E887" s="16"/>
      <c r="F887" s="16"/>
      <c r="G887" s="16"/>
      <c r="H887" s="16"/>
      <c r="I887" s="125"/>
      <c r="J887" s="16"/>
      <c r="K887" s="13"/>
      <c r="L887" s="13"/>
      <c r="M887" s="13"/>
      <c r="N887" s="16"/>
      <c r="O887" s="16"/>
      <c r="P887" s="16"/>
      <c r="Q887" s="16"/>
      <c r="R887" s="96"/>
      <c r="S887" s="96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6"/>
      <c r="B888" s="13"/>
      <c r="C888" s="16"/>
      <c r="D888" s="16"/>
      <c r="E888" s="16"/>
      <c r="F888" s="16"/>
      <c r="G888" s="16"/>
      <c r="H888" s="16"/>
      <c r="I888" s="125"/>
      <c r="J888" s="16"/>
      <c r="K888" s="13"/>
      <c r="L888" s="13"/>
      <c r="M888" s="13"/>
      <c r="N888" s="16"/>
      <c r="O888" s="16"/>
      <c r="P888" s="16"/>
      <c r="Q888" s="16"/>
      <c r="R888" s="96"/>
      <c r="S888" s="96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6"/>
      <c r="B889" s="13"/>
      <c r="C889" s="16"/>
      <c r="D889" s="16"/>
      <c r="E889" s="16"/>
      <c r="F889" s="16"/>
      <c r="G889" s="16"/>
      <c r="H889" s="16"/>
      <c r="I889" s="125"/>
      <c r="J889" s="16"/>
      <c r="K889" s="13"/>
      <c r="L889" s="13"/>
      <c r="M889" s="13"/>
      <c r="N889" s="16"/>
      <c r="O889" s="16"/>
      <c r="P889" s="16"/>
      <c r="Q889" s="16"/>
      <c r="R889" s="96"/>
      <c r="S889" s="96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6"/>
      <c r="B890" s="13"/>
      <c r="C890" s="16"/>
      <c r="D890" s="16"/>
      <c r="E890" s="16"/>
      <c r="F890" s="16"/>
      <c r="G890" s="16"/>
      <c r="H890" s="16"/>
      <c r="I890" s="125"/>
      <c r="J890" s="16"/>
      <c r="K890" s="13"/>
      <c r="L890" s="13"/>
      <c r="M890" s="13"/>
      <c r="N890" s="16"/>
      <c r="O890" s="16"/>
      <c r="P890" s="16"/>
      <c r="Q890" s="16"/>
      <c r="R890" s="96"/>
      <c r="S890" s="96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6"/>
      <c r="B891" s="13"/>
      <c r="C891" s="16"/>
      <c r="D891" s="16"/>
      <c r="E891" s="16"/>
      <c r="F891" s="16"/>
      <c r="G891" s="16"/>
      <c r="H891" s="16"/>
      <c r="I891" s="125"/>
      <c r="J891" s="16"/>
      <c r="K891" s="13"/>
      <c r="L891" s="13"/>
      <c r="M891" s="13"/>
      <c r="N891" s="16"/>
      <c r="O891" s="16"/>
      <c r="P891" s="16"/>
      <c r="Q891" s="16"/>
      <c r="R891" s="96"/>
      <c r="S891" s="96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6"/>
      <c r="B892" s="13"/>
      <c r="C892" s="16"/>
      <c r="D892" s="16"/>
      <c r="E892" s="16"/>
      <c r="F892" s="16"/>
      <c r="G892" s="16"/>
      <c r="H892" s="16"/>
      <c r="I892" s="125"/>
      <c r="J892" s="16"/>
      <c r="K892" s="13"/>
      <c r="L892" s="13"/>
      <c r="M892" s="13"/>
      <c r="N892" s="16"/>
      <c r="O892" s="16"/>
      <c r="P892" s="16"/>
      <c r="Q892" s="16"/>
      <c r="R892" s="96"/>
      <c r="S892" s="96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6"/>
      <c r="B893" s="13"/>
      <c r="C893" s="16"/>
      <c r="D893" s="16"/>
      <c r="E893" s="16"/>
      <c r="F893" s="16"/>
      <c r="G893" s="16"/>
      <c r="H893" s="16"/>
      <c r="I893" s="125"/>
      <c r="J893" s="16"/>
      <c r="K893" s="13"/>
      <c r="L893" s="13"/>
      <c r="M893" s="13"/>
      <c r="N893" s="16"/>
      <c r="O893" s="16"/>
      <c r="P893" s="16"/>
      <c r="Q893" s="16"/>
      <c r="R893" s="96"/>
      <c r="S893" s="96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6"/>
      <c r="B894" s="13"/>
      <c r="C894" s="16"/>
      <c r="D894" s="16"/>
      <c r="E894" s="16"/>
      <c r="F894" s="16"/>
      <c r="G894" s="16"/>
      <c r="H894" s="16"/>
      <c r="I894" s="125"/>
      <c r="J894" s="16"/>
      <c r="K894" s="13"/>
      <c r="L894" s="13"/>
      <c r="M894" s="13"/>
      <c r="N894" s="16"/>
      <c r="O894" s="16"/>
      <c r="P894" s="16"/>
      <c r="Q894" s="16"/>
      <c r="R894" s="96"/>
      <c r="S894" s="96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6"/>
      <c r="B895" s="13"/>
      <c r="C895" s="16"/>
      <c r="D895" s="16"/>
      <c r="E895" s="16"/>
      <c r="F895" s="16"/>
      <c r="G895" s="16"/>
      <c r="H895" s="16"/>
      <c r="I895" s="125"/>
      <c r="J895" s="16"/>
      <c r="K895" s="13"/>
      <c r="L895" s="13"/>
      <c r="M895" s="13"/>
      <c r="N895" s="16"/>
      <c r="O895" s="16"/>
      <c r="P895" s="16"/>
      <c r="Q895" s="16"/>
      <c r="R895" s="96"/>
      <c r="S895" s="96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6"/>
      <c r="B896" s="13"/>
      <c r="C896" s="16"/>
      <c r="D896" s="16"/>
      <c r="E896" s="16"/>
      <c r="F896" s="16"/>
      <c r="G896" s="16"/>
      <c r="H896" s="16"/>
      <c r="I896" s="125"/>
      <c r="J896" s="16"/>
      <c r="K896" s="13"/>
      <c r="L896" s="13"/>
      <c r="M896" s="13"/>
      <c r="N896" s="16"/>
      <c r="O896" s="16"/>
      <c r="P896" s="16"/>
      <c r="Q896" s="16"/>
      <c r="R896" s="96"/>
      <c r="S896" s="96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6"/>
      <c r="B897" s="13"/>
      <c r="C897" s="16"/>
      <c r="D897" s="16"/>
      <c r="E897" s="16"/>
      <c r="F897" s="16"/>
      <c r="G897" s="16"/>
      <c r="H897" s="16"/>
      <c r="I897" s="125"/>
      <c r="J897" s="16"/>
      <c r="K897" s="13"/>
      <c r="L897" s="13"/>
      <c r="M897" s="13"/>
      <c r="N897" s="16"/>
      <c r="O897" s="16"/>
      <c r="P897" s="16"/>
      <c r="Q897" s="16"/>
      <c r="R897" s="96"/>
      <c r="S897" s="96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6"/>
      <c r="B898" s="13"/>
      <c r="C898" s="16"/>
      <c r="D898" s="16"/>
      <c r="E898" s="16"/>
      <c r="F898" s="16"/>
      <c r="G898" s="16"/>
      <c r="H898" s="16"/>
      <c r="I898" s="125"/>
      <c r="J898" s="16"/>
      <c r="K898" s="13"/>
      <c r="L898" s="13"/>
      <c r="M898" s="13"/>
      <c r="N898" s="16"/>
      <c r="O898" s="16"/>
      <c r="P898" s="16"/>
      <c r="Q898" s="16"/>
      <c r="R898" s="96"/>
      <c r="S898" s="96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6"/>
      <c r="B899" s="13"/>
      <c r="C899" s="16"/>
      <c r="D899" s="16"/>
      <c r="E899" s="16"/>
      <c r="F899" s="16"/>
      <c r="G899" s="16"/>
      <c r="H899" s="16"/>
      <c r="I899" s="125"/>
      <c r="J899" s="16"/>
      <c r="K899" s="13"/>
      <c r="L899" s="13"/>
      <c r="M899" s="13"/>
      <c r="N899" s="16"/>
      <c r="O899" s="16"/>
      <c r="P899" s="16"/>
      <c r="Q899" s="16"/>
      <c r="R899" s="96"/>
      <c r="S899" s="96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6"/>
      <c r="B900" s="13"/>
      <c r="C900" s="16"/>
      <c r="D900" s="16"/>
      <c r="E900" s="16"/>
      <c r="F900" s="16"/>
      <c r="G900" s="16"/>
      <c r="H900" s="16"/>
      <c r="I900" s="125"/>
      <c r="J900" s="16"/>
      <c r="K900" s="13"/>
      <c r="L900" s="13"/>
      <c r="M900" s="13"/>
      <c r="N900" s="16"/>
      <c r="O900" s="16"/>
      <c r="P900" s="16"/>
      <c r="Q900" s="16"/>
      <c r="R900" s="96"/>
      <c r="S900" s="96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6"/>
      <c r="B901" s="13"/>
      <c r="C901" s="16"/>
      <c r="D901" s="16"/>
      <c r="E901" s="16"/>
      <c r="F901" s="16"/>
      <c r="G901" s="16"/>
      <c r="H901" s="16"/>
      <c r="I901" s="125"/>
      <c r="J901" s="16"/>
      <c r="K901" s="13"/>
      <c r="L901" s="13"/>
      <c r="M901" s="13"/>
      <c r="N901" s="16"/>
      <c r="O901" s="16"/>
      <c r="P901" s="16"/>
      <c r="Q901" s="16"/>
      <c r="R901" s="96"/>
      <c r="S901" s="96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6"/>
      <c r="B902" s="13"/>
      <c r="C902" s="16"/>
      <c r="D902" s="16"/>
      <c r="E902" s="16"/>
      <c r="F902" s="16"/>
      <c r="G902" s="16"/>
      <c r="H902" s="16"/>
      <c r="I902" s="125"/>
      <c r="J902" s="16"/>
      <c r="K902" s="13"/>
      <c r="L902" s="13"/>
      <c r="M902" s="13"/>
      <c r="N902" s="16"/>
      <c r="O902" s="16"/>
      <c r="P902" s="16"/>
      <c r="Q902" s="16"/>
      <c r="R902" s="96"/>
      <c r="S902" s="96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6"/>
      <c r="B903" s="13"/>
      <c r="C903" s="16"/>
      <c r="D903" s="16"/>
      <c r="E903" s="16"/>
      <c r="F903" s="16"/>
      <c r="G903" s="16"/>
      <c r="H903" s="16"/>
      <c r="I903" s="125"/>
      <c r="J903" s="16"/>
      <c r="K903" s="13"/>
      <c r="L903" s="13"/>
      <c r="M903" s="13"/>
      <c r="N903" s="16"/>
      <c r="O903" s="16"/>
      <c r="P903" s="16"/>
      <c r="Q903" s="16"/>
      <c r="R903" s="96"/>
      <c r="S903" s="96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6"/>
      <c r="B904" s="13"/>
      <c r="C904" s="16"/>
      <c r="D904" s="16"/>
      <c r="E904" s="16"/>
      <c r="F904" s="16"/>
      <c r="G904" s="16"/>
      <c r="H904" s="16"/>
      <c r="I904" s="125"/>
      <c r="J904" s="16"/>
      <c r="K904" s="13"/>
      <c r="L904" s="13"/>
      <c r="M904" s="13"/>
      <c r="N904" s="16"/>
      <c r="O904" s="16"/>
      <c r="P904" s="16"/>
      <c r="Q904" s="16"/>
      <c r="R904" s="96"/>
      <c r="S904" s="96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6"/>
      <c r="B905" s="13"/>
      <c r="C905" s="16"/>
      <c r="D905" s="16"/>
      <c r="E905" s="16"/>
      <c r="F905" s="16"/>
      <c r="G905" s="16"/>
      <c r="H905" s="16"/>
      <c r="I905" s="125"/>
      <c r="J905" s="16"/>
      <c r="K905" s="13"/>
      <c r="L905" s="13"/>
      <c r="M905" s="13"/>
      <c r="N905" s="16"/>
      <c r="O905" s="16"/>
      <c r="P905" s="16"/>
      <c r="Q905" s="16"/>
      <c r="R905" s="96"/>
      <c r="S905" s="96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6"/>
      <c r="B906" s="13"/>
      <c r="C906" s="16"/>
      <c r="D906" s="16"/>
      <c r="E906" s="16"/>
      <c r="F906" s="16"/>
      <c r="G906" s="16"/>
      <c r="H906" s="16"/>
      <c r="I906" s="125"/>
      <c r="J906" s="16"/>
      <c r="K906" s="13"/>
      <c r="L906" s="13"/>
      <c r="M906" s="13"/>
      <c r="N906" s="16"/>
      <c r="O906" s="16"/>
      <c r="P906" s="16"/>
      <c r="Q906" s="16"/>
      <c r="R906" s="96"/>
      <c r="S906" s="96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6"/>
      <c r="B907" s="13"/>
      <c r="C907" s="16"/>
      <c r="D907" s="16"/>
      <c r="E907" s="16"/>
      <c r="F907" s="16"/>
      <c r="G907" s="16"/>
      <c r="H907" s="16"/>
      <c r="I907" s="125"/>
      <c r="J907" s="16"/>
      <c r="K907" s="13"/>
      <c r="L907" s="13"/>
      <c r="M907" s="13"/>
      <c r="N907" s="16"/>
      <c r="O907" s="16"/>
      <c r="P907" s="16"/>
      <c r="Q907" s="16"/>
      <c r="R907" s="96"/>
      <c r="S907" s="96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6"/>
      <c r="B908" s="13"/>
      <c r="C908" s="16"/>
      <c r="D908" s="16"/>
      <c r="E908" s="16"/>
      <c r="F908" s="16"/>
      <c r="G908" s="16"/>
      <c r="H908" s="16"/>
      <c r="I908" s="125"/>
      <c r="J908" s="16"/>
      <c r="K908" s="13"/>
      <c r="L908" s="13"/>
      <c r="M908" s="13"/>
      <c r="N908" s="16"/>
      <c r="O908" s="16"/>
      <c r="P908" s="16"/>
      <c r="Q908" s="16"/>
      <c r="R908" s="96"/>
      <c r="S908" s="96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6"/>
      <c r="B909" s="13"/>
      <c r="C909" s="16"/>
      <c r="D909" s="16"/>
      <c r="E909" s="16"/>
      <c r="F909" s="16"/>
      <c r="G909" s="16"/>
      <c r="H909" s="16"/>
      <c r="I909" s="125"/>
      <c r="J909" s="16"/>
      <c r="K909" s="13"/>
      <c r="L909" s="13"/>
      <c r="M909" s="13"/>
      <c r="N909" s="16"/>
      <c r="O909" s="16"/>
      <c r="P909" s="16"/>
      <c r="Q909" s="16"/>
      <c r="R909" s="96"/>
      <c r="S909" s="96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6"/>
      <c r="B910" s="13"/>
      <c r="C910" s="16"/>
      <c r="D910" s="16"/>
      <c r="E910" s="16"/>
      <c r="F910" s="16"/>
      <c r="G910" s="16"/>
      <c r="H910" s="16"/>
      <c r="I910" s="125"/>
      <c r="J910" s="16"/>
      <c r="K910" s="13"/>
      <c r="L910" s="13"/>
      <c r="M910" s="13"/>
      <c r="N910" s="16"/>
      <c r="O910" s="16"/>
      <c r="P910" s="16"/>
      <c r="Q910" s="16"/>
      <c r="R910" s="96"/>
      <c r="S910" s="96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6"/>
      <c r="B911" s="13"/>
      <c r="C911" s="16"/>
      <c r="D911" s="16"/>
      <c r="E911" s="16"/>
      <c r="F911" s="16"/>
      <c r="G911" s="16"/>
      <c r="H911" s="16"/>
      <c r="I911" s="125"/>
      <c r="J911" s="16"/>
      <c r="K911" s="13"/>
      <c r="L911" s="13"/>
      <c r="M911" s="13"/>
      <c r="N911" s="16"/>
      <c r="O911" s="16"/>
      <c r="P911" s="16"/>
      <c r="Q911" s="16"/>
      <c r="R911" s="96"/>
      <c r="S911" s="96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6"/>
      <c r="B912" s="13"/>
      <c r="C912" s="16"/>
      <c r="D912" s="16"/>
      <c r="E912" s="16"/>
      <c r="F912" s="16"/>
      <c r="G912" s="16"/>
      <c r="H912" s="16"/>
      <c r="I912" s="125"/>
      <c r="J912" s="16"/>
      <c r="K912" s="13"/>
      <c r="L912" s="13"/>
      <c r="M912" s="13"/>
      <c r="N912" s="16"/>
      <c r="O912" s="16"/>
      <c r="P912" s="16"/>
      <c r="Q912" s="16"/>
      <c r="R912" s="96"/>
      <c r="S912" s="96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6"/>
      <c r="B913" s="13"/>
      <c r="C913" s="16"/>
      <c r="D913" s="16"/>
      <c r="E913" s="16"/>
      <c r="F913" s="16"/>
      <c r="G913" s="16"/>
      <c r="H913" s="16"/>
      <c r="I913" s="125"/>
      <c r="J913" s="16"/>
      <c r="K913" s="13"/>
      <c r="L913" s="13"/>
      <c r="M913" s="13"/>
      <c r="N913" s="16"/>
      <c r="O913" s="16"/>
      <c r="P913" s="16"/>
      <c r="Q913" s="16"/>
      <c r="R913" s="96"/>
      <c r="S913" s="96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6"/>
      <c r="B914" s="13"/>
      <c r="C914" s="16"/>
      <c r="D914" s="16"/>
      <c r="E914" s="16"/>
      <c r="F914" s="16"/>
      <c r="G914" s="16"/>
      <c r="H914" s="16"/>
      <c r="I914" s="125"/>
      <c r="J914" s="16"/>
      <c r="K914" s="13"/>
      <c r="L914" s="13"/>
      <c r="M914" s="13"/>
      <c r="N914" s="16"/>
      <c r="O914" s="16"/>
      <c r="P914" s="16"/>
      <c r="Q914" s="16"/>
      <c r="R914" s="96"/>
      <c r="S914" s="96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6"/>
      <c r="B915" s="13"/>
      <c r="C915" s="16"/>
      <c r="D915" s="16"/>
      <c r="E915" s="16"/>
      <c r="F915" s="16"/>
      <c r="G915" s="16"/>
      <c r="H915" s="16"/>
      <c r="I915" s="125"/>
      <c r="J915" s="16"/>
      <c r="K915" s="13"/>
      <c r="L915" s="13"/>
      <c r="M915" s="13"/>
      <c r="N915" s="16"/>
      <c r="O915" s="16"/>
      <c r="P915" s="16"/>
      <c r="Q915" s="16"/>
      <c r="R915" s="96"/>
      <c r="S915" s="96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6"/>
      <c r="B916" s="13"/>
      <c r="C916" s="16"/>
      <c r="D916" s="16"/>
      <c r="E916" s="16"/>
      <c r="F916" s="16"/>
      <c r="G916" s="16"/>
      <c r="H916" s="16"/>
      <c r="I916" s="125"/>
      <c r="J916" s="16"/>
      <c r="K916" s="13"/>
      <c r="L916" s="13"/>
      <c r="M916" s="13"/>
      <c r="N916" s="16"/>
      <c r="O916" s="16"/>
      <c r="P916" s="16"/>
      <c r="Q916" s="16"/>
      <c r="R916" s="96"/>
      <c r="S916" s="96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6"/>
      <c r="B917" s="13"/>
      <c r="C917" s="16"/>
      <c r="D917" s="16"/>
      <c r="E917" s="16"/>
      <c r="F917" s="16"/>
      <c r="G917" s="16"/>
      <c r="H917" s="16"/>
      <c r="I917" s="125"/>
      <c r="J917" s="16"/>
      <c r="K917" s="13"/>
      <c r="L917" s="13"/>
      <c r="M917" s="13"/>
      <c r="N917" s="16"/>
      <c r="O917" s="16"/>
      <c r="P917" s="16"/>
      <c r="Q917" s="16"/>
      <c r="R917" s="96"/>
      <c r="S917" s="96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6"/>
      <c r="B918" s="13"/>
      <c r="C918" s="16"/>
      <c r="D918" s="16"/>
      <c r="E918" s="16"/>
      <c r="F918" s="16"/>
      <c r="G918" s="16"/>
      <c r="H918" s="16"/>
      <c r="I918" s="125"/>
      <c r="J918" s="16"/>
      <c r="K918" s="13"/>
      <c r="L918" s="13"/>
      <c r="M918" s="13"/>
      <c r="N918" s="16"/>
      <c r="O918" s="16"/>
      <c r="P918" s="16"/>
      <c r="Q918" s="16"/>
      <c r="R918" s="96"/>
      <c r="S918" s="96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6"/>
      <c r="B919" s="13"/>
      <c r="C919" s="16"/>
      <c r="D919" s="16"/>
      <c r="E919" s="16"/>
      <c r="F919" s="16"/>
      <c r="G919" s="16"/>
      <c r="H919" s="16"/>
      <c r="I919" s="125"/>
      <c r="J919" s="16"/>
      <c r="K919" s="13"/>
      <c r="L919" s="13"/>
      <c r="M919" s="13"/>
      <c r="N919" s="16"/>
      <c r="O919" s="16"/>
      <c r="P919" s="16"/>
      <c r="Q919" s="16"/>
      <c r="R919" s="96"/>
      <c r="S919" s="96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6"/>
      <c r="B920" s="13"/>
      <c r="C920" s="16"/>
      <c r="D920" s="16"/>
      <c r="E920" s="16"/>
      <c r="F920" s="16"/>
      <c r="G920" s="16"/>
      <c r="H920" s="16"/>
      <c r="I920" s="125"/>
      <c r="J920" s="16"/>
      <c r="K920" s="13"/>
      <c r="L920" s="13"/>
      <c r="M920" s="13"/>
      <c r="N920" s="16"/>
      <c r="O920" s="16"/>
      <c r="P920" s="16"/>
      <c r="Q920" s="16"/>
      <c r="R920" s="96"/>
      <c r="S920" s="96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6"/>
      <c r="B921" s="13"/>
      <c r="C921" s="16"/>
      <c r="D921" s="16"/>
      <c r="E921" s="16"/>
      <c r="F921" s="16"/>
      <c r="G921" s="16"/>
      <c r="H921" s="16"/>
      <c r="I921" s="125"/>
      <c r="J921" s="16"/>
      <c r="K921" s="13"/>
      <c r="L921" s="13"/>
      <c r="M921" s="13"/>
      <c r="N921" s="16"/>
      <c r="O921" s="16"/>
      <c r="P921" s="16"/>
      <c r="Q921" s="16"/>
      <c r="R921" s="96"/>
      <c r="S921" s="96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6"/>
      <c r="B922" s="13"/>
      <c r="C922" s="16"/>
      <c r="D922" s="16"/>
      <c r="E922" s="16"/>
      <c r="F922" s="16"/>
      <c r="G922" s="16"/>
      <c r="H922" s="16"/>
      <c r="I922" s="125"/>
      <c r="J922" s="16"/>
      <c r="K922" s="13"/>
      <c r="L922" s="13"/>
      <c r="M922" s="13"/>
      <c r="N922" s="16"/>
      <c r="O922" s="16"/>
      <c r="P922" s="16"/>
      <c r="Q922" s="16"/>
      <c r="R922" s="96"/>
      <c r="S922" s="96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6"/>
      <c r="B923" s="13"/>
      <c r="C923" s="16"/>
      <c r="D923" s="16"/>
      <c r="E923" s="16"/>
      <c r="F923" s="16"/>
      <c r="G923" s="16"/>
      <c r="H923" s="16"/>
      <c r="I923" s="125"/>
      <c r="J923" s="16"/>
      <c r="K923" s="13"/>
      <c r="L923" s="13"/>
      <c r="M923" s="13"/>
      <c r="N923" s="16"/>
      <c r="O923" s="16"/>
      <c r="P923" s="16"/>
      <c r="Q923" s="16"/>
      <c r="R923" s="96"/>
      <c r="S923" s="96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6"/>
      <c r="B924" s="13"/>
      <c r="C924" s="16"/>
      <c r="D924" s="16"/>
      <c r="E924" s="16"/>
      <c r="F924" s="16"/>
      <c r="G924" s="16"/>
      <c r="H924" s="16"/>
      <c r="I924" s="125"/>
      <c r="J924" s="16"/>
      <c r="K924" s="13"/>
      <c r="L924" s="13"/>
      <c r="M924" s="13"/>
      <c r="N924" s="16"/>
      <c r="O924" s="16"/>
      <c r="P924" s="16"/>
      <c r="Q924" s="16"/>
      <c r="R924" s="96"/>
      <c r="S924" s="96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6"/>
      <c r="B925" s="13"/>
      <c r="C925" s="16"/>
      <c r="D925" s="16"/>
      <c r="E925" s="16"/>
      <c r="F925" s="16"/>
      <c r="G925" s="16"/>
      <c r="H925" s="16"/>
      <c r="I925" s="125"/>
      <c r="J925" s="16"/>
      <c r="K925" s="13"/>
      <c r="L925" s="13"/>
      <c r="M925" s="13"/>
      <c r="N925" s="16"/>
      <c r="O925" s="16"/>
      <c r="P925" s="16"/>
      <c r="Q925" s="16"/>
      <c r="R925" s="96"/>
      <c r="S925" s="96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6"/>
      <c r="B926" s="13"/>
      <c r="C926" s="16"/>
      <c r="D926" s="16"/>
      <c r="E926" s="16"/>
      <c r="F926" s="16"/>
      <c r="G926" s="16"/>
      <c r="H926" s="16"/>
      <c r="I926" s="125"/>
      <c r="J926" s="16"/>
      <c r="K926" s="13"/>
      <c r="L926" s="13"/>
      <c r="M926" s="13"/>
      <c r="N926" s="16"/>
      <c r="O926" s="16"/>
      <c r="P926" s="16"/>
      <c r="Q926" s="16"/>
      <c r="R926" s="96"/>
      <c r="S926" s="96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6"/>
      <c r="B927" s="13"/>
      <c r="C927" s="16"/>
      <c r="D927" s="16"/>
      <c r="E927" s="16"/>
      <c r="F927" s="16"/>
      <c r="G927" s="16"/>
      <c r="H927" s="16"/>
      <c r="I927" s="125"/>
      <c r="J927" s="16"/>
      <c r="K927" s="13"/>
      <c r="L927" s="13"/>
      <c r="M927" s="13"/>
      <c r="N927" s="16"/>
      <c r="O927" s="16"/>
      <c r="P927" s="16"/>
      <c r="Q927" s="16"/>
      <c r="R927" s="96"/>
      <c r="S927" s="96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6"/>
      <c r="B928" s="13"/>
      <c r="C928" s="16"/>
      <c r="D928" s="16"/>
      <c r="E928" s="16"/>
      <c r="F928" s="16"/>
      <c r="G928" s="16"/>
      <c r="H928" s="16"/>
      <c r="I928" s="125"/>
      <c r="J928" s="16"/>
      <c r="K928" s="13"/>
      <c r="L928" s="13"/>
      <c r="M928" s="13"/>
      <c r="N928" s="16"/>
      <c r="O928" s="16"/>
      <c r="P928" s="16"/>
      <c r="Q928" s="16"/>
      <c r="R928" s="96"/>
      <c r="S928" s="96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6"/>
      <c r="B929" s="13"/>
      <c r="C929" s="16"/>
      <c r="D929" s="16"/>
      <c r="E929" s="16"/>
      <c r="F929" s="16"/>
      <c r="G929" s="16"/>
      <c r="H929" s="16"/>
      <c r="I929" s="125"/>
      <c r="J929" s="16"/>
      <c r="K929" s="13"/>
      <c r="L929" s="13"/>
      <c r="M929" s="13"/>
      <c r="N929" s="16"/>
      <c r="O929" s="16"/>
      <c r="P929" s="16"/>
      <c r="Q929" s="16"/>
      <c r="R929" s="96"/>
      <c r="S929" s="96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6"/>
      <c r="B930" s="13"/>
      <c r="C930" s="16"/>
      <c r="D930" s="16"/>
      <c r="E930" s="16"/>
      <c r="F930" s="16"/>
      <c r="G930" s="16"/>
      <c r="H930" s="16"/>
      <c r="I930" s="125"/>
      <c r="J930" s="16"/>
      <c r="K930" s="13"/>
      <c r="L930" s="13"/>
      <c r="M930" s="13"/>
      <c r="N930" s="16"/>
      <c r="O930" s="16"/>
      <c r="P930" s="16"/>
      <c r="Q930" s="16"/>
      <c r="R930" s="96"/>
      <c r="S930" s="96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6"/>
      <c r="B931" s="13"/>
      <c r="C931" s="16"/>
      <c r="D931" s="16"/>
      <c r="E931" s="16"/>
      <c r="F931" s="16"/>
      <c r="G931" s="16"/>
      <c r="H931" s="16"/>
      <c r="I931" s="125"/>
      <c r="J931" s="16"/>
      <c r="K931" s="13"/>
      <c r="L931" s="13"/>
      <c r="M931" s="13"/>
      <c r="N931" s="16"/>
      <c r="O931" s="16"/>
      <c r="P931" s="16"/>
      <c r="Q931" s="16"/>
      <c r="R931" s="96"/>
      <c r="S931" s="96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6"/>
      <c r="B932" s="13"/>
      <c r="C932" s="16"/>
      <c r="D932" s="16"/>
      <c r="E932" s="16"/>
      <c r="F932" s="16"/>
      <c r="G932" s="16"/>
      <c r="H932" s="16"/>
      <c r="I932" s="125"/>
      <c r="J932" s="16"/>
      <c r="K932" s="13"/>
      <c r="L932" s="13"/>
      <c r="M932" s="13"/>
      <c r="N932" s="16"/>
      <c r="O932" s="16"/>
      <c r="P932" s="16"/>
      <c r="Q932" s="16"/>
      <c r="R932" s="96"/>
      <c r="S932" s="96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6"/>
      <c r="B933" s="13"/>
      <c r="C933" s="16"/>
      <c r="D933" s="16"/>
      <c r="E933" s="16"/>
      <c r="F933" s="16"/>
      <c r="G933" s="16"/>
      <c r="H933" s="16"/>
      <c r="I933" s="125"/>
      <c r="J933" s="16"/>
      <c r="K933" s="13"/>
      <c r="L933" s="13"/>
      <c r="M933" s="13"/>
      <c r="N933" s="16"/>
      <c r="O933" s="16"/>
      <c r="P933" s="16"/>
      <c r="Q933" s="16"/>
      <c r="R933" s="96"/>
      <c r="S933" s="96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6"/>
      <c r="B934" s="13"/>
      <c r="C934" s="16"/>
      <c r="D934" s="16"/>
      <c r="E934" s="16"/>
      <c r="F934" s="16"/>
      <c r="G934" s="16"/>
      <c r="H934" s="16"/>
      <c r="I934" s="125"/>
      <c r="J934" s="16"/>
      <c r="K934" s="13"/>
      <c r="L934" s="13"/>
      <c r="M934" s="13"/>
      <c r="N934" s="16"/>
      <c r="O934" s="16"/>
      <c r="P934" s="16"/>
      <c r="Q934" s="16"/>
      <c r="R934" s="96"/>
      <c r="S934" s="96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6"/>
      <c r="B935" s="13"/>
      <c r="C935" s="16"/>
      <c r="D935" s="16"/>
      <c r="E935" s="16"/>
      <c r="F935" s="16"/>
      <c r="G935" s="16"/>
      <c r="H935" s="16"/>
      <c r="I935" s="125"/>
      <c r="J935" s="16"/>
      <c r="K935" s="13"/>
      <c r="L935" s="13"/>
      <c r="M935" s="13"/>
      <c r="N935" s="16"/>
      <c r="O935" s="16"/>
      <c r="P935" s="16"/>
      <c r="Q935" s="16"/>
      <c r="R935" s="96"/>
      <c r="S935" s="96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6"/>
      <c r="B936" s="13"/>
      <c r="C936" s="16"/>
      <c r="D936" s="16"/>
      <c r="E936" s="16"/>
      <c r="F936" s="16"/>
      <c r="G936" s="16"/>
      <c r="H936" s="16"/>
      <c r="I936" s="125"/>
      <c r="J936" s="16"/>
      <c r="K936" s="13"/>
      <c r="L936" s="13"/>
      <c r="M936" s="13"/>
      <c r="N936" s="16"/>
      <c r="O936" s="16"/>
      <c r="P936" s="16"/>
      <c r="Q936" s="16"/>
      <c r="R936" s="96"/>
      <c r="S936" s="96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6"/>
      <c r="B937" s="13"/>
      <c r="C937" s="16"/>
      <c r="D937" s="16"/>
      <c r="E937" s="16"/>
      <c r="F937" s="16"/>
      <c r="G937" s="16"/>
      <c r="H937" s="16"/>
      <c r="I937" s="125"/>
      <c r="J937" s="16"/>
      <c r="K937" s="13"/>
      <c r="L937" s="13"/>
      <c r="M937" s="13"/>
      <c r="N937" s="16"/>
      <c r="O937" s="16"/>
      <c r="P937" s="16"/>
      <c r="Q937" s="16"/>
      <c r="R937" s="96"/>
      <c r="S937" s="96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6"/>
      <c r="B938" s="13"/>
      <c r="C938" s="16"/>
      <c r="D938" s="16"/>
      <c r="E938" s="16"/>
      <c r="F938" s="16"/>
      <c r="G938" s="16"/>
      <c r="H938" s="16"/>
      <c r="I938" s="125"/>
      <c r="J938" s="16"/>
      <c r="K938" s="13"/>
      <c r="L938" s="13"/>
      <c r="M938" s="13"/>
      <c r="N938" s="16"/>
      <c r="O938" s="16"/>
      <c r="P938" s="16"/>
      <c r="Q938" s="16"/>
      <c r="R938" s="96"/>
      <c r="S938" s="96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6"/>
      <c r="B939" s="13"/>
      <c r="C939" s="16"/>
      <c r="D939" s="16"/>
      <c r="E939" s="16"/>
      <c r="F939" s="16"/>
      <c r="G939" s="16"/>
      <c r="H939" s="16"/>
      <c r="I939" s="125"/>
      <c r="J939" s="16"/>
      <c r="K939" s="13"/>
      <c r="L939" s="13"/>
      <c r="M939" s="13"/>
      <c r="N939" s="16"/>
      <c r="O939" s="16"/>
      <c r="P939" s="16"/>
      <c r="Q939" s="16"/>
      <c r="R939" s="96"/>
      <c r="S939" s="96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6"/>
      <c r="B940" s="13"/>
      <c r="C940" s="16"/>
      <c r="D940" s="16"/>
      <c r="E940" s="16"/>
      <c r="F940" s="16"/>
      <c r="G940" s="16"/>
      <c r="H940" s="16"/>
      <c r="I940" s="125"/>
      <c r="J940" s="16"/>
      <c r="K940" s="13"/>
      <c r="L940" s="13"/>
      <c r="M940" s="13"/>
      <c r="N940" s="16"/>
      <c r="O940" s="16"/>
      <c r="P940" s="16"/>
      <c r="Q940" s="16"/>
      <c r="R940" s="96"/>
      <c r="S940" s="96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6"/>
      <c r="B941" s="13"/>
      <c r="C941" s="16"/>
      <c r="D941" s="16"/>
      <c r="E941" s="16"/>
      <c r="F941" s="16"/>
      <c r="G941" s="16"/>
      <c r="H941" s="16"/>
      <c r="I941" s="125"/>
      <c r="J941" s="16"/>
      <c r="K941" s="13"/>
      <c r="L941" s="13"/>
      <c r="M941" s="13"/>
      <c r="N941" s="16"/>
      <c r="O941" s="16"/>
      <c r="P941" s="16"/>
      <c r="Q941" s="16"/>
      <c r="R941" s="96"/>
      <c r="S941" s="96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6"/>
      <c r="B942" s="13"/>
      <c r="C942" s="16"/>
      <c r="D942" s="16"/>
      <c r="E942" s="16"/>
      <c r="F942" s="16"/>
      <c r="G942" s="16"/>
      <c r="H942" s="16"/>
      <c r="I942" s="125"/>
      <c r="J942" s="16"/>
      <c r="K942" s="13"/>
      <c r="L942" s="13"/>
      <c r="M942" s="13"/>
      <c r="N942" s="16"/>
      <c r="O942" s="16"/>
      <c r="P942" s="16"/>
      <c r="Q942" s="16"/>
      <c r="R942" s="96"/>
      <c r="S942" s="96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6"/>
      <c r="B943" s="13"/>
      <c r="C943" s="16"/>
      <c r="D943" s="16"/>
      <c r="E943" s="16"/>
      <c r="F943" s="16"/>
      <c r="G943" s="16"/>
      <c r="H943" s="16"/>
      <c r="I943" s="125"/>
      <c r="J943" s="16"/>
      <c r="K943" s="13"/>
      <c r="L943" s="13"/>
      <c r="M943" s="13"/>
      <c r="N943" s="16"/>
      <c r="O943" s="16"/>
      <c r="P943" s="16"/>
      <c r="Q943" s="16"/>
      <c r="R943" s="96"/>
      <c r="S943" s="96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6"/>
      <c r="B944" s="13"/>
      <c r="C944" s="16"/>
      <c r="D944" s="16"/>
      <c r="E944" s="16"/>
      <c r="F944" s="16"/>
      <c r="G944" s="16"/>
      <c r="H944" s="16"/>
      <c r="I944" s="125"/>
      <c r="J944" s="16"/>
      <c r="K944" s="13"/>
      <c r="L944" s="13"/>
      <c r="M944" s="13"/>
      <c r="N944" s="16"/>
      <c r="O944" s="16"/>
      <c r="P944" s="16"/>
      <c r="Q944" s="16"/>
      <c r="R944" s="96"/>
      <c r="S944" s="96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6"/>
      <c r="B945" s="13"/>
      <c r="C945" s="16"/>
      <c r="D945" s="16"/>
      <c r="E945" s="16"/>
      <c r="F945" s="16"/>
      <c r="G945" s="16"/>
      <c r="H945" s="16"/>
      <c r="I945" s="125"/>
      <c r="J945" s="16"/>
      <c r="K945" s="13"/>
      <c r="L945" s="13"/>
      <c r="M945" s="13"/>
      <c r="N945" s="16"/>
      <c r="O945" s="16"/>
      <c r="P945" s="16"/>
      <c r="Q945" s="16"/>
      <c r="R945" s="96"/>
      <c r="S945" s="96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6"/>
      <c r="B946" s="13"/>
      <c r="C946" s="16"/>
      <c r="D946" s="16"/>
      <c r="E946" s="16"/>
      <c r="F946" s="16"/>
      <c r="G946" s="16"/>
      <c r="H946" s="16"/>
      <c r="I946" s="125"/>
      <c r="J946" s="16"/>
      <c r="K946" s="13"/>
      <c r="L946" s="13"/>
      <c r="M946" s="13"/>
      <c r="N946" s="16"/>
      <c r="O946" s="16"/>
      <c r="P946" s="16"/>
      <c r="Q946" s="16"/>
      <c r="R946" s="96"/>
      <c r="S946" s="96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6"/>
      <c r="B947" s="13"/>
      <c r="C947" s="16"/>
      <c r="D947" s="16"/>
      <c r="E947" s="16"/>
      <c r="F947" s="16"/>
      <c r="G947" s="16"/>
      <c r="H947" s="16"/>
      <c r="I947" s="125"/>
      <c r="J947" s="16"/>
      <c r="K947" s="13"/>
      <c r="L947" s="13"/>
      <c r="M947" s="13"/>
      <c r="N947" s="16"/>
      <c r="O947" s="16"/>
      <c r="P947" s="16"/>
      <c r="Q947" s="16"/>
      <c r="R947" s="96"/>
      <c r="S947" s="96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6"/>
      <c r="B948" s="13"/>
      <c r="C948" s="16"/>
      <c r="D948" s="16"/>
      <c r="E948" s="16"/>
      <c r="F948" s="16"/>
      <c r="G948" s="16"/>
      <c r="H948" s="16"/>
      <c r="I948" s="125"/>
      <c r="J948" s="16"/>
      <c r="K948" s="13"/>
      <c r="L948" s="13"/>
      <c r="M948" s="13"/>
      <c r="N948" s="16"/>
      <c r="O948" s="16"/>
      <c r="P948" s="16"/>
      <c r="Q948" s="16"/>
      <c r="R948" s="96"/>
      <c r="S948" s="96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6"/>
      <c r="B949" s="13"/>
      <c r="C949" s="16"/>
      <c r="D949" s="16"/>
      <c r="E949" s="16"/>
      <c r="F949" s="16"/>
      <c r="G949" s="16"/>
      <c r="H949" s="16"/>
      <c r="I949" s="125"/>
      <c r="J949" s="16"/>
      <c r="K949" s="13"/>
      <c r="L949" s="13"/>
      <c r="M949" s="13"/>
      <c r="N949" s="16"/>
      <c r="O949" s="16"/>
      <c r="P949" s="16"/>
      <c r="Q949" s="16"/>
      <c r="R949" s="96"/>
      <c r="S949" s="96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6"/>
      <c r="B950" s="13"/>
      <c r="C950" s="16"/>
      <c r="D950" s="16"/>
      <c r="E950" s="16"/>
      <c r="F950" s="16"/>
      <c r="G950" s="16"/>
      <c r="H950" s="16"/>
      <c r="I950" s="125"/>
      <c r="J950" s="16"/>
      <c r="K950" s="13"/>
      <c r="L950" s="13"/>
      <c r="M950" s="13"/>
      <c r="N950" s="16"/>
      <c r="O950" s="16"/>
      <c r="P950" s="16"/>
      <c r="Q950" s="16"/>
      <c r="R950" s="96"/>
      <c r="S950" s="96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6"/>
      <c r="B951" s="13"/>
      <c r="C951" s="16"/>
      <c r="D951" s="16"/>
      <c r="E951" s="16"/>
      <c r="F951" s="16"/>
      <c r="G951" s="16"/>
      <c r="H951" s="16"/>
      <c r="I951" s="125"/>
      <c r="J951" s="16"/>
      <c r="K951" s="13"/>
      <c r="L951" s="13"/>
      <c r="M951" s="13"/>
      <c r="N951" s="16"/>
      <c r="O951" s="16"/>
      <c r="P951" s="16"/>
      <c r="Q951" s="16"/>
      <c r="R951" s="96"/>
      <c r="S951" s="96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6"/>
      <c r="B952" s="13"/>
      <c r="C952" s="16"/>
      <c r="D952" s="16"/>
      <c r="E952" s="16"/>
      <c r="F952" s="16"/>
      <c r="G952" s="16"/>
      <c r="H952" s="16"/>
      <c r="I952" s="125"/>
      <c r="J952" s="16"/>
      <c r="K952" s="13"/>
      <c r="L952" s="13"/>
      <c r="M952" s="13"/>
      <c r="N952" s="16"/>
      <c r="O952" s="16"/>
      <c r="P952" s="16"/>
      <c r="Q952" s="16"/>
      <c r="R952" s="96"/>
      <c r="S952" s="96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6"/>
      <c r="B953" s="13"/>
      <c r="C953" s="16"/>
      <c r="D953" s="16"/>
      <c r="E953" s="16"/>
      <c r="F953" s="16"/>
      <c r="G953" s="16"/>
      <c r="H953" s="16"/>
      <c r="I953" s="125"/>
      <c r="J953" s="16"/>
      <c r="K953" s="13"/>
      <c r="L953" s="13"/>
      <c r="M953" s="13"/>
      <c r="N953" s="16"/>
      <c r="O953" s="16"/>
      <c r="P953" s="16"/>
      <c r="Q953" s="16"/>
      <c r="R953" s="96"/>
      <c r="S953" s="96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6"/>
      <c r="B954" s="13"/>
      <c r="C954" s="16"/>
      <c r="D954" s="16"/>
      <c r="E954" s="16"/>
      <c r="F954" s="16"/>
      <c r="G954" s="16"/>
      <c r="H954" s="16"/>
      <c r="I954" s="125"/>
      <c r="J954" s="16"/>
      <c r="K954" s="13"/>
      <c r="L954" s="13"/>
      <c r="M954" s="13"/>
      <c r="N954" s="16"/>
      <c r="O954" s="16"/>
      <c r="P954" s="16"/>
      <c r="Q954" s="16"/>
      <c r="R954" s="96"/>
      <c r="S954" s="96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6"/>
      <c r="B955" s="13"/>
      <c r="C955" s="16"/>
      <c r="D955" s="16"/>
      <c r="E955" s="16"/>
      <c r="F955" s="16"/>
      <c r="G955" s="16"/>
      <c r="H955" s="16"/>
      <c r="I955" s="125"/>
      <c r="J955" s="16"/>
      <c r="K955" s="13"/>
      <c r="L955" s="13"/>
      <c r="M955" s="13"/>
      <c r="N955" s="16"/>
      <c r="O955" s="16"/>
      <c r="P955" s="16"/>
      <c r="Q955" s="16"/>
      <c r="R955" s="96"/>
      <c r="S955" s="96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6"/>
      <c r="B956" s="13"/>
      <c r="C956" s="16"/>
      <c r="D956" s="16"/>
      <c r="E956" s="16"/>
      <c r="F956" s="16"/>
      <c r="G956" s="16"/>
      <c r="H956" s="16"/>
      <c r="I956" s="125"/>
      <c r="J956" s="16"/>
      <c r="K956" s="13"/>
      <c r="L956" s="13"/>
      <c r="M956" s="13"/>
      <c r="N956" s="16"/>
      <c r="O956" s="16"/>
      <c r="P956" s="16"/>
      <c r="Q956" s="16"/>
      <c r="R956" s="96"/>
      <c r="S956" s="96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6"/>
      <c r="B957" s="13"/>
      <c r="C957" s="16"/>
      <c r="D957" s="16"/>
      <c r="E957" s="16"/>
      <c r="F957" s="16"/>
      <c r="G957" s="16"/>
      <c r="H957" s="16"/>
      <c r="I957" s="125"/>
      <c r="J957" s="16"/>
      <c r="K957" s="13"/>
      <c r="L957" s="13"/>
      <c r="M957" s="13"/>
      <c r="N957" s="16"/>
      <c r="O957" s="16"/>
      <c r="P957" s="16"/>
      <c r="Q957" s="16"/>
      <c r="R957" s="96"/>
      <c r="S957" s="96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6"/>
      <c r="B958" s="13"/>
      <c r="C958" s="16"/>
      <c r="D958" s="16"/>
      <c r="E958" s="16"/>
      <c r="F958" s="16"/>
      <c r="G958" s="16"/>
      <c r="H958" s="16"/>
      <c r="I958" s="125"/>
      <c r="J958" s="16"/>
      <c r="K958" s="13"/>
      <c r="L958" s="13"/>
      <c r="M958" s="13"/>
      <c r="N958" s="16"/>
      <c r="O958" s="16"/>
      <c r="P958" s="16"/>
      <c r="Q958" s="16"/>
      <c r="R958" s="96"/>
      <c r="S958" s="96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6"/>
      <c r="B959" s="13"/>
      <c r="C959" s="16"/>
      <c r="D959" s="16"/>
      <c r="E959" s="16"/>
      <c r="F959" s="16"/>
      <c r="G959" s="16"/>
      <c r="H959" s="16"/>
      <c r="I959" s="125"/>
      <c r="J959" s="16"/>
      <c r="K959" s="13"/>
      <c r="L959" s="13"/>
      <c r="M959" s="13"/>
      <c r="N959" s="16"/>
      <c r="O959" s="16"/>
      <c r="P959" s="16"/>
      <c r="Q959" s="16"/>
      <c r="R959" s="96"/>
      <c r="S959" s="96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6"/>
      <c r="B960" s="13"/>
      <c r="C960" s="16"/>
      <c r="D960" s="16"/>
      <c r="E960" s="16"/>
      <c r="F960" s="16"/>
      <c r="G960" s="16"/>
      <c r="H960" s="16"/>
      <c r="I960" s="125"/>
      <c r="J960" s="16"/>
      <c r="K960" s="13"/>
      <c r="L960" s="13"/>
      <c r="M960" s="13"/>
      <c r="N960" s="16"/>
      <c r="O960" s="16"/>
      <c r="P960" s="16"/>
      <c r="Q960" s="16"/>
      <c r="R960" s="96"/>
      <c r="S960" s="96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6"/>
      <c r="B961" s="13"/>
      <c r="C961" s="16"/>
      <c r="D961" s="16"/>
      <c r="E961" s="16"/>
      <c r="F961" s="16"/>
      <c r="G961" s="16"/>
      <c r="H961" s="16"/>
      <c r="I961" s="125"/>
      <c r="J961" s="16"/>
      <c r="K961" s="13"/>
      <c r="L961" s="13"/>
      <c r="M961" s="13"/>
      <c r="N961" s="16"/>
      <c r="O961" s="16"/>
      <c r="P961" s="16"/>
      <c r="Q961" s="16"/>
      <c r="R961" s="96"/>
      <c r="S961" s="96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6"/>
      <c r="B962" s="13"/>
      <c r="C962" s="16"/>
      <c r="D962" s="16"/>
      <c r="E962" s="16"/>
      <c r="F962" s="16"/>
      <c r="G962" s="16"/>
      <c r="H962" s="16"/>
      <c r="I962" s="125"/>
      <c r="J962" s="16"/>
      <c r="K962" s="13"/>
      <c r="L962" s="13"/>
      <c r="M962" s="13"/>
      <c r="N962" s="16"/>
      <c r="O962" s="16"/>
      <c r="P962" s="16"/>
      <c r="Q962" s="16"/>
      <c r="R962" s="96"/>
      <c r="S962" s="96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6"/>
      <c r="B963" s="13"/>
      <c r="C963" s="16"/>
      <c r="D963" s="16"/>
      <c r="E963" s="16"/>
      <c r="F963" s="16"/>
      <c r="G963" s="16"/>
      <c r="H963" s="16"/>
      <c r="I963" s="125"/>
      <c r="J963" s="16"/>
      <c r="K963" s="13"/>
      <c r="L963" s="13"/>
      <c r="M963" s="13"/>
      <c r="N963" s="16"/>
      <c r="O963" s="16"/>
      <c r="P963" s="16"/>
      <c r="Q963" s="16"/>
      <c r="R963" s="96"/>
      <c r="S963" s="96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6"/>
      <c r="B964" s="13"/>
      <c r="C964" s="16"/>
      <c r="D964" s="16"/>
      <c r="E964" s="16"/>
      <c r="F964" s="16"/>
      <c r="G964" s="16"/>
      <c r="H964" s="16"/>
      <c r="I964" s="125"/>
      <c r="J964" s="16"/>
      <c r="K964" s="13"/>
      <c r="L964" s="13"/>
      <c r="M964" s="13"/>
      <c r="N964" s="16"/>
      <c r="O964" s="16"/>
      <c r="P964" s="16"/>
      <c r="Q964" s="16"/>
      <c r="R964" s="96"/>
      <c r="S964" s="96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6"/>
      <c r="B965" s="13"/>
      <c r="C965" s="16"/>
      <c r="D965" s="16"/>
      <c r="E965" s="16"/>
      <c r="F965" s="16"/>
      <c r="G965" s="16"/>
      <c r="H965" s="16"/>
      <c r="I965" s="125"/>
      <c r="J965" s="16"/>
      <c r="K965" s="13"/>
      <c r="L965" s="13"/>
      <c r="M965" s="13"/>
      <c r="N965" s="16"/>
      <c r="O965" s="16"/>
      <c r="P965" s="16"/>
      <c r="Q965" s="16"/>
      <c r="R965" s="96"/>
      <c r="S965" s="96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6"/>
      <c r="B966" s="13"/>
      <c r="C966" s="16"/>
      <c r="D966" s="16"/>
      <c r="E966" s="16"/>
      <c r="F966" s="16"/>
      <c r="G966" s="16"/>
      <c r="H966" s="16"/>
      <c r="I966" s="125"/>
      <c r="J966" s="16"/>
      <c r="K966" s="13"/>
      <c r="L966" s="13"/>
      <c r="M966" s="13"/>
      <c r="N966" s="16"/>
      <c r="O966" s="16"/>
      <c r="P966" s="16"/>
      <c r="Q966" s="16"/>
      <c r="R966" s="96"/>
      <c r="S966" s="96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6"/>
      <c r="B967" s="13"/>
      <c r="C967" s="16"/>
      <c r="D967" s="16"/>
      <c r="E967" s="16"/>
      <c r="F967" s="16"/>
      <c r="G967" s="16"/>
      <c r="H967" s="16"/>
      <c r="I967" s="125"/>
      <c r="J967" s="16"/>
      <c r="K967" s="13"/>
      <c r="L967" s="13"/>
      <c r="M967" s="13"/>
      <c r="N967" s="16"/>
      <c r="O967" s="16"/>
      <c r="P967" s="16"/>
      <c r="Q967" s="16"/>
      <c r="R967" s="96"/>
      <c r="S967" s="96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6"/>
      <c r="B968" s="13"/>
      <c r="C968" s="16"/>
      <c r="D968" s="16"/>
      <c r="E968" s="16"/>
      <c r="F968" s="16"/>
      <c r="G968" s="16"/>
      <c r="H968" s="16"/>
      <c r="I968" s="125"/>
      <c r="J968" s="16"/>
      <c r="K968" s="13"/>
      <c r="L968" s="13"/>
      <c r="M968" s="13"/>
      <c r="N968" s="16"/>
      <c r="O968" s="16"/>
      <c r="P968" s="16"/>
      <c r="Q968" s="16"/>
      <c r="R968" s="96"/>
      <c r="S968" s="96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6"/>
      <c r="B969" s="13"/>
      <c r="C969" s="16"/>
      <c r="D969" s="16"/>
      <c r="E969" s="16"/>
      <c r="F969" s="16"/>
      <c r="G969" s="16"/>
      <c r="H969" s="16"/>
      <c r="I969" s="125"/>
      <c r="J969" s="16"/>
      <c r="K969" s="13"/>
      <c r="L969" s="13"/>
      <c r="M969" s="13"/>
      <c r="N969" s="16"/>
      <c r="O969" s="16"/>
      <c r="P969" s="16"/>
      <c r="Q969" s="16"/>
      <c r="R969" s="96"/>
      <c r="S969" s="96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6"/>
      <c r="B970" s="13"/>
      <c r="C970" s="16"/>
      <c r="D970" s="16"/>
      <c r="E970" s="16"/>
      <c r="F970" s="16"/>
      <c r="G970" s="16"/>
      <c r="H970" s="16"/>
      <c r="I970" s="125"/>
      <c r="J970" s="16"/>
      <c r="K970" s="13"/>
      <c r="L970" s="13"/>
      <c r="M970" s="13"/>
      <c r="N970" s="16"/>
      <c r="O970" s="16"/>
      <c r="P970" s="16"/>
      <c r="Q970" s="16"/>
      <c r="R970" s="96"/>
      <c r="S970" s="96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6"/>
      <c r="B971" s="13"/>
      <c r="C971" s="16"/>
      <c r="D971" s="16"/>
      <c r="E971" s="16"/>
      <c r="F971" s="16"/>
      <c r="G971" s="16"/>
      <c r="H971" s="16"/>
      <c r="I971" s="125"/>
      <c r="J971" s="16"/>
      <c r="K971" s="13"/>
      <c r="L971" s="13"/>
      <c r="M971" s="13"/>
      <c r="N971" s="16"/>
      <c r="O971" s="16"/>
      <c r="P971" s="16"/>
      <c r="Q971" s="16"/>
      <c r="R971" s="96"/>
      <c r="S971" s="96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6"/>
      <c r="B972" s="13"/>
      <c r="C972" s="16"/>
      <c r="D972" s="16"/>
      <c r="E972" s="16"/>
      <c r="F972" s="16"/>
      <c r="G972" s="16"/>
      <c r="H972" s="16"/>
      <c r="I972" s="125"/>
      <c r="J972" s="16"/>
      <c r="K972" s="13"/>
      <c r="L972" s="13"/>
      <c r="M972" s="13"/>
      <c r="N972" s="16"/>
      <c r="O972" s="16"/>
      <c r="P972" s="16"/>
      <c r="Q972" s="16"/>
      <c r="R972" s="96"/>
      <c r="S972" s="96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6"/>
      <c r="B973" s="13"/>
      <c r="C973" s="16"/>
      <c r="D973" s="16"/>
      <c r="E973" s="16"/>
      <c r="F973" s="16"/>
      <c r="G973" s="16"/>
      <c r="H973" s="16"/>
      <c r="I973" s="125"/>
      <c r="J973" s="16"/>
      <c r="K973" s="13"/>
      <c r="L973" s="13"/>
      <c r="M973" s="13"/>
      <c r="N973" s="16"/>
      <c r="O973" s="16"/>
      <c r="P973" s="16"/>
      <c r="Q973" s="16"/>
      <c r="R973" s="96"/>
      <c r="S973" s="96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6"/>
      <c r="B974" s="13"/>
      <c r="C974" s="16"/>
      <c r="D974" s="16"/>
      <c r="E974" s="16"/>
      <c r="F974" s="16"/>
      <c r="G974" s="16"/>
      <c r="H974" s="16"/>
      <c r="I974" s="125"/>
      <c r="J974" s="16"/>
      <c r="K974" s="13"/>
      <c r="L974" s="13"/>
      <c r="M974" s="13"/>
      <c r="N974" s="16"/>
      <c r="O974" s="16"/>
      <c r="P974" s="16"/>
      <c r="Q974" s="16"/>
      <c r="R974" s="96"/>
      <c r="S974" s="96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6"/>
      <c r="B975" s="13"/>
      <c r="C975" s="16"/>
      <c r="D975" s="16"/>
      <c r="E975" s="16"/>
      <c r="F975" s="16"/>
      <c r="G975" s="16"/>
      <c r="H975" s="16"/>
      <c r="I975" s="125"/>
      <c r="J975" s="16"/>
      <c r="K975" s="13"/>
      <c r="L975" s="13"/>
      <c r="M975" s="13"/>
      <c r="N975" s="16"/>
      <c r="O975" s="16"/>
      <c r="P975" s="16"/>
      <c r="Q975" s="16"/>
      <c r="R975" s="96"/>
      <c r="S975" s="96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6"/>
      <c r="B976" s="13"/>
      <c r="C976" s="16"/>
      <c r="D976" s="16"/>
      <c r="E976" s="16"/>
      <c r="F976" s="16"/>
      <c r="G976" s="16"/>
      <c r="H976" s="16"/>
      <c r="I976" s="125"/>
      <c r="J976" s="16"/>
      <c r="K976" s="13"/>
      <c r="L976" s="13"/>
      <c r="M976" s="13"/>
      <c r="N976" s="16"/>
      <c r="O976" s="16"/>
      <c r="P976" s="16"/>
      <c r="Q976" s="16"/>
      <c r="R976" s="96"/>
      <c r="S976" s="96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6"/>
      <c r="B977" s="13"/>
      <c r="C977" s="16"/>
      <c r="D977" s="16"/>
      <c r="E977" s="16"/>
      <c r="F977" s="16"/>
      <c r="G977" s="16"/>
      <c r="H977" s="16"/>
      <c r="I977" s="125"/>
      <c r="J977" s="16"/>
      <c r="K977" s="13"/>
      <c r="L977" s="13"/>
      <c r="M977" s="13"/>
      <c r="N977" s="16"/>
      <c r="O977" s="16"/>
      <c r="P977" s="16"/>
      <c r="Q977" s="16"/>
      <c r="R977" s="96"/>
      <c r="S977" s="96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6"/>
      <c r="B978" s="13"/>
      <c r="C978" s="16"/>
      <c r="D978" s="16"/>
      <c r="E978" s="16"/>
      <c r="F978" s="16"/>
      <c r="G978" s="16"/>
      <c r="H978" s="16"/>
      <c r="I978" s="125"/>
      <c r="J978" s="16"/>
      <c r="K978" s="13"/>
      <c r="L978" s="13"/>
      <c r="M978" s="13"/>
      <c r="N978" s="16"/>
      <c r="O978" s="16"/>
      <c r="P978" s="16"/>
      <c r="Q978" s="16"/>
      <c r="R978" s="96"/>
      <c r="S978" s="96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6"/>
      <c r="B979" s="13"/>
      <c r="C979" s="16"/>
      <c r="D979" s="16"/>
      <c r="E979" s="16"/>
      <c r="F979" s="16"/>
      <c r="G979" s="16"/>
      <c r="H979" s="16"/>
      <c r="I979" s="125"/>
      <c r="J979" s="16"/>
      <c r="K979" s="13"/>
      <c r="L979" s="13"/>
      <c r="M979" s="13"/>
      <c r="N979" s="16"/>
      <c r="O979" s="16"/>
      <c r="P979" s="16"/>
      <c r="Q979" s="16"/>
      <c r="R979" s="96"/>
      <c r="S979" s="96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6"/>
      <c r="B980" s="13"/>
      <c r="C980" s="16"/>
      <c r="D980" s="16"/>
      <c r="E980" s="16"/>
      <c r="F980" s="16"/>
      <c r="G980" s="16"/>
      <c r="H980" s="16"/>
      <c r="I980" s="125"/>
      <c r="J980" s="16"/>
      <c r="K980" s="13"/>
      <c r="L980" s="13"/>
      <c r="M980" s="13"/>
      <c r="N980" s="16"/>
      <c r="O980" s="16"/>
      <c r="P980" s="16"/>
      <c r="Q980" s="16"/>
      <c r="R980" s="96"/>
      <c r="S980" s="96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6"/>
      <c r="B981" s="13"/>
      <c r="C981" s="16"/>
      <c r="D981" s="16"/>
      <c r="E981" s="16"/>
      <c r="F981" s="16"/>
      <c r="G981" s="16"/>
      <c r="H981" s="16"/>
      <c r="I981" s="125"/>
      <c r="J981" s="16"/>
      <c r="K981" s="13"/>
      <c r="L981" s="13"/>
      <c r="M981" s="13"/>
      <c r="N981" s="16"/>
      <c r="O981" s="16"/>
      <c r="P981" s="16"/>
      <c r="Q981" s="16"/>
      <c r="R981" s="96"/>
      <c r="S981" s="96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6"/>
      <c r="B982" s="13"/>
      <c r="C982" s="16"/>
      <c r="D982" s="16"/>
      <c r="E982" s="16"/>
      <c r="F982" s="16"/>
      <c r="G982" s="16"/>
      <c r="H982" s="16"/>
      <c r="I982" s="125"/>
      <c r="J982" s="16"/>
      <c r="K982" s="13"/>
      <c r="L982" s="13"/>
      <c r="M982" s="13"/>
      <c r="N982" s="16"/>
      <c r="O982" s="16"/>
      <c r="P982" s="16"/>
      <c r="Q982" s="16"/>
      <c r="R982" s="96"/>
      <c r="S982" s="96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6"/>
      <c r="B983" s="13"/>
      <c r="C983" s="16"/>
      <c r="D983" s="16"/>
      <c r="E983" s="16"/>
      <c r="F983" s="16"/>
      <c r="G983" s="16"/>
      <c r="H983" s="16"/>
      <c r="I983" s="125"/>
      <c r="J983" s="16"/>
      <c r="K983" s="13"/>
      <c r="L983" s="13"/>
      <c r="M983" s="13"/>
      <c r="N983" s="16"/>
      <c r="O983" s="16"/>
      <c r="P983" s="16"/>
      <c r="Q983" s="16"/>
      <c r="R983" s="96"/>
      <c r="S983" s="96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6"/>
      <c r="B984" s="13"/>
      <c r="C984" s="16"/>
      <c r="D984" s="16"/>
      <c r="E984" s="16"/>
      <c r="F984" s="16"/>
      <c r="G984" s="16"/>
      <c r="H984" s="16"/>
      <c r="I984" s="125"/>
      <c r="J984" s="16"/>
      <c r="K984" s="13"/>
      <c r="L984" s="13"/>
      <c r="M984" s="13"/>
      <c r="N984" s="16"/>
      <c r="O984" s="16"/>
      <c r="P984" s="16"/>
      <c r="Q984" s="16"/>
      <c r="R984" s="96"/>
      <c r="S984" s="96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6"/>
      <c r="B985" s="13"/>
      <c r="C985" s="16"/>
      <c r="D985" s="16"/>
      <c r="E985" s="16"/>
      <c r="F985" s="16"/>
      <c r="G985" s="16"/>
      <c r="H985" s="16"/>
      <c r="I985" s="125"/>
      <c r="J985" s="16"/>
      <c r="K985" s="13"/>
      <c r="L985" s="13"/>
      <c r="M985" s="13"/>
      <c r="N985" s="16"/>
      <c r="O985" s="16"/>
      <c r="P985" s="16"/>
      <c r="Q985" s="16"/>
      <c r="R985" s="96"/>
      <c r="S985" s="96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6"/>
      <c r="B986" s="13"/>
      <c r="C986" s="16"/>
      <c r="D986" s="16"/>
      <c r="E986" s="16"/>
      <c r="F986" s="16"/>
      <c r="G986" s="16"/>
      <c r="H986" s="16"/>
      <c r="I986" s="125"/>
      <c r="J986" s="16"/>
      <c r="K986" s="13"/>
      <c r="L986" s="13"/>
      <c r="M986" s="13"/>
      <c r="N986" s="16"/>
      <c r="O986" s="16"/>
      <c r="P986" s="16"/>
      <c r="Q986" s="16"/>
      <c r="R986" s="96"/>
      <c r="S986" s="96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6"/>
      <c r="B987" s="13"/>
      <c r="C987" s="16"/>
      <c r="D987" s="16"/>
      <c r="E987" s="16"/>
      <c r="F987" s="16"/>
      <c r="G987" s="16"/>
      <c r="H987" s="16"/>
      <c r="I987" s="125"/>
      <c r="J987" s="16"/>
      <c r="K987" s="13"/>
      <c r="L987" s="13"/>
      <c r="M987" s="13"/>
      <c r="N987" s="16"/>
      <c r="O987" s="16"/>
      <c r="P987" s="16"/>
      <c r="Q987" s="16"/>
      <c r="R987" s="96"/>
      <c r="S987" s="96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6"/>
      <c r="B988" s="13"/>
      <c r="C988" s="16"/>
      <c r="D988" s="16"/>
      <c r="E988" s="16"/>
      <c r="F988" s="16"/>
      <c r="G988" s="16"/>
      <c r="H988" s="16"/>
      <c r="I988" s="125"/>
      <c r="J988" s="16"/>
      <c r="K988" s="13"/>
      <c r="L988" s="13"/>
      <c r="M988" s="13"/>
      <c r="N988" s="16"/>
      <c r="O988" s="16"/>
      <c r="P988" s="16"/>
      <c r="Q988" s="16"/>
      <c r="R988" s="96"/>
      <c r="S988" s="96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6"/>
      <c r="B989" s="13"/>
      <c r="C989" s="16"/>
      <c r="D989" s="16"/>
      <c r="E989" s="16"/>
      <c r="F989" s="16"/>
      <c r="G989" s="16"/>
      <c r="H989" s="16"/>
      <c r="I989" s="125"/>
      <c r="J989" s="16"/>
      <c r="K989" s="13"/>
      <c r="L989" s="13"/>
      <c r="M989" s="13"/>
      <c r="N989" s="16"/>
      <c r="O989" s="16"/>
      <c r="P989" s="16"/>
      <c r="Q989" s="16"/>
      <c r="R989" s="96"/>
      <c r="S989" s="96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6"/>
      <c r="B990" s="13"/>
      <c r="C990" s="16"/>
      <c r="D990" s="16"/>
      <c r="E990" s="16"/>
      <c r="F990" s="16"/>
      <c r="G990" s="16"/>
      <c r="H990" s="16"/>
      <c r="I990" s="125"/>
      <c r="J990" s="16"/>
      <c r="K990" s="13"/>
      <c r="L990" s="13"/>
      <c r="M990" s="13"/>
      <c r="N990" s="16"/>
      <c r="O990" s="16"/>
      <c r="P990" s="16"/>
      <c r="Q990" s="16"/>
      <c r="R990" s="96"/>
      <c r="S990" s="96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6"/>
      <c r="B991" s="13"/>
      <c r="C991" s="16"/>
      <c r="D991" s="16"/>
      <c r="E991" s="16"/>
      <c r="F991" s="16"/>
      <c r="G991" s="16"/>
      <c r="H991" s="16"/>
      <c r="I991" s="125"/>
      <c r="J991" s="16"/>
      <c r="K991" s="13"/>
      <c r="L991" s="13"/>
      <c r="M991" s="13"/>
      <c r="N991" s="16"/>
      <c r="O991" s="16"/>
      <c r="P991" s="16"/>
      <c r="Q991" s="16"/>
      <c r="R991" s="96"/>
      <c r="S991" s="96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6"/>
      <c r="B992" s="13"/>
      <c r="C992" s="16"/>
      <c r="D992" s="16"/>
      <c r="E992" s="16"/>
      <c r="F992" s="16"/>
      <c r="G992" s="16"/>
      <c r="H992" s="16"/>
      <c r="I992" s="125"/>
      <c r="J992" s="16"/>
      <c r="K992" s="13"/>
      <c r="L992" s="13"/>
      <c r="M992" s="13"/>
      <c r="N992" s="16"/>
      <c r="O992" s="16"/>
      <c r="P992" s="16"/>
      <c r="Q992" s="16"/>
      <c r="R992" s="96"/>
      <c r="S992" s="96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6"/>
      <c r="B993" s="13"/>
      <c r="C993" s="16"/>
      <c r="D993" s="16"/>
      <c r="E993" s="16"/>
      <c r="F993" s="16"/>
      <c r="G993" s="16"/>
      <c r="H993" s="16"/>
      <c r="I993" s="125"/>
      <c r="J993" s="16"/>
      <c r="K993" s="13"/>
      <c r="L993" s="13"/>
      <c r="M993" s="13"/>
      <c r="N993" s="16"/>
      <c r="O993" s="16"/>
      <c r="P993" s="16"/>
      <c r="Q993" s="16"/>
      <c r="R993" s="96"/>
      <c r="S993" s="96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6"/>
      <c r="B994" s="13"/>
      <c r="C994" s="16"/>
      <c r="D994" s="16"/>
      <c r="E994" s="16"/>
      <c r="F994" s="16"/>
      <c r="G994" s="16"/>
      <c r="H994" s="16"/>
      <c r="I994" s="125"/>
      <c r="J994" s="16"/>
      <c r="K994" s="13"/>
      <c r="L994" s="13"/>
      <c r="M994" s="13"/>
      <c r="N994" s="16"/>
      <c r="O994" s="16"/>
      <c r="P994" s="16"/>
      <c r="Q994" s="16"/>
      <c r="R994" s="96"/>
      <c r="S994" s="96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6"/>
      <c r="B995" s="13"/>
      <c r="C995" s="16"/>
      <c r="D995" s="16"/>
      <c r="E995" s="16"/>
      <c r="F995" s="16"/>
      <c r="G995" s="16"/>
      <c r="H995" s="16"/>
      <c r="I995" s="125"/>
      <c r="J995" s="16"/>
      <c r="K995" s="13"/>
      <c r="L995" s="13"/>
      <c r="M995" s="13"/>
      <c r="N995" s="16"/>
      <c r="O995" s="16"/>
      <c r="P995" s="16"/>
      <c r="Q995" s="16"/>
      <c r="R995" s="96"/>
      <c r="S995" s="96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6"/>
      <c r="B996" s="13"/>
      <c r="C996" s="16"/>
      <c r="D996" s="16"/>
      <c r="E996" s="16"/>
      <c r="F996" s="16"/>
      <c r="G996" s="16"/>
      <c r="H996" s="16"/>
      <c r="I996" s="125"/>
      <c r="J996" s="16"/>
      <c r="K996" s="13"/>
      <c r="L996" s="13"/>
      <c r="M996" s="13"/>
      <c r="N996" s="16"/>
      <c r="O996" s="16"/>
      <c r="P996" s="16"/>
      <c r="Q996" s="16"/>
      <c r="R996" s="96"/>
      <c r="S996" s="96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6"/>
      <c r="B997" s="13"/>
      <c r="C997" s="16"/>
      <c r="D997" s="16"/>
      <c r="E997" s="16"/>
      <c r="F997" s="16"/>
      <c r="G997" s="16"/>
      <c r="H997" s="16"/>
      <c r="I997" s="125"/>
      <c r="J997" s="16"/>
      <c r="K997" s="13"/>
      <c r="L997" s="13"/>
      <c r="M997" s="13"/>
      <c r="N997" s="16"/>
      <c r="O997" s="16"/>
      <c r="P997" s="16"/>
      <c r="Q997" s="16"/>
      <c r="R997" s="96"/>
      <c r="S997" s="96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6"/>
      <c r="B998" s="13"/>
      <c r="C998" s="16"/>
      <c r="D998" s="16"/>
      <c r="E998" s="16"/>
      <c r="F998" s="16"/>
      <c r="G998" s="16"/>
      <c r="H998" s="16"/>
      <c r="I998" s="125"/>
      <c r="J998" s="16"/>
      <c r="K998" s="13"/>
      <c r="L998" s="13"/>
      <c r="M998" s="13"/>
      <c r="N998" s="16"/>
      <c r="O998" s="16"/>
      <c r="P998" s="16"/>
      <c r="Q998" s="16"/>
      <c r="R998" s="96"/>
      <c r="S998" s="96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6"/>
      <c r="B999" s="13"/>
      <c r="C999" s="16"/>
      <c r="D999" s="16"/>
      <c r="E999" s="16"/>
      <c r="F999" s="16"/>
      <c r="G999" s="16"/>
      <c r="H999" s="16"/>
      <c r="I999" s="125"/>
      <c r="J999" s="16"/>
      <c r="K999" s="13"/>
      <c r="L999" s="13"/>
      <c r="M999" s="13"/>
      <c r="N999" s="16"/>
      <c r="O999" s="16"/>
      <c r="P999" s="16"/>
      <c r="Q999" s="16"/>
      <c r="R999" s="96"/>
      <c r="S999" s="96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6"/>
      <c r="B1000" s="13"/>
      <c r="C1000" s="16"/>
      <c r="D1000" s="16"/>
      <c r="E1000" s="16"/>
      <c r="F1000" s="16"/>
      <c r="G1000" s="16"/>
      <c r="H1000" s="16"/>
      <c r="I1000" s="125"/>
      <c r="J1000" s="16"/>
      <c r="K1000" s="13"/>
      <c r="L1000" s="13"/>
      <c r="M1000" s="13"/>
      <c r="N1000" s="16"/>
      <c r="O1000" s="16"/>
      <c r="P1000" s="16"/>
      <c r="Q1000" s="16"/>
      <c r="R1000" s="96"/>
      <c r="S1000" s="96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16"/>
      <c r="B1001" s="13"/>
      <c r="C1001" s="16"/>
      <c r="D1001" s="16"/>
      <c r="E1001" s="16"/>
      <c r="F1001" s="16"/>
      <c r="G1001" s="16"/>
      <c r="H1001" s="16"/>
      <c r="I1001" s="125"/>
      <c r="J1001" s="16"/>
      <c r="K1001" s="13"/>
      <c r="L1001" s="13"/>
      <c r="M1001" s="13"/>
      <c r="N1001" s="16"/>
      <c r="O1001" s="16"/>
      <c r="P1001" s="16"/>
      <c r="Q1001" s="16"/>
      <c r="R1001" s="96"/>
      <c r="S1001" s="96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>
      <c r="A1002" s="16"/>
      <c r="B1002" s="13"/>
      <c r="C1002" s="16"/>
      <c r="D1002" s="16"/>
      <c r="E1002" s="16"/>
      <c r="F1002" s="16"/>
      <c r="G1002" s="16"/>
      <c r="H1002" s="16"/>
      <c r="I1002" s="125"/>
      <c r="J1002" s="16"/>
      <c r="K1002" s="13"/>
      <c r="L1002" s="13"/>
      <c r="M1002" s="13"/>
      <c r="N1002" s="16"/>
      <c r="O1002" s="16"/>
      <c r="P1002" s="16"/>
      <c r="Q1002" s="16"/>
      <c r="R1002" s="96"/>
      <c r="S1002" s="96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>
      <c r="A1003" s="16"/>
      <c r="B1003" s="13"/>
      <c r="C1003" s="16"/>
      <c r="D1003" s="16"/>
      <c r="E1003" s="16"/>
      <c r="F1003" s="16"/>
      <c r="G1003" s="16"/>
      <c r="H1003" s="16"/>
      <c r="I1003" s="125"/>
      <c r="J1003" s="16"/>
      <c r="K1003" s="13"/>
      <c r="L1003" s="13"/>
      <c r="M1003" s="13"/>
      <c r="N1003" s="16"/>
      <c r="O1003" s="16"/>
      <c r="P1003" s="16"/>
      <c r="Q1003" s="16"/>
      <c r="R1003" s="96"/>
      <c r="S1003" s="96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>
      <c r="A1004" s="16"/>
      <c r="B1004" s="13"/>
      <c r="C1004" s="16"/>
      <c r="D1004" s="16"/>
      <c r="E1004" s="16"/>
      <c r="F1004" s="16"/>
      <c r="G1004" s="16"/>
      <c r="H1004" s="16"/>
      <c r="I1004" s="125"/>
      <c r="J1004" s="16"/>
      <c r="K1004" s="13"/>
      <c r="L1004" s="13"/>
      <c r="M1004" s="13"/>
      <c r="N1004" s="16"/>
      <c r="O1004" s="16"/>
      <c r="P1004" s="16"/>
      <c r="Q1004" s="16"/>
      <c r="R1004" s="96"/>
      <c r="S1004" s="96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>
      <c r="A1005" s="16"/>
      <c r="B1005" s="13"/>
      <c r="C1005" s="16"/>
      <c r="D1005" s="16"/>
      <c r="E1005" s="16"/>
      <c r="F1005" s="16"/>
      <c r="G1005" s="16"/>
      <c r="H1005" s="16"/>
      <c r="I1005" s="125"/>
      <c r="J1005" s="16"/>
      <c r="K1005" s="13"/>
      <c r="L1005" s="13"/>
      <c r="M1005" s="13"/>
      <c r="N1005" s="16"/>
      <c r="O1005" s="16"/>
      <c r="P1005" s="16"/>
      <c r="Q1005" s="16"/>
      <c r="R1005" s="96"/>
      <c r="S1005" s="96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>
      <c r="A1006" s="16"/>
      <c r="B1006" s="13"/>
      <c r="C1006" s="16"/>
      <c r="D1006" s="16"/>
      <c r="E1006" s="16"/>
      <c r="F1006" s="16"/>
      <c r="G1006" s="16"/>
      <c r="H1006" s="16"/>
      <c r="I1006" s="125"/>
      <c r="J1006" s="16"/>
      <c r="K1006" s="13"/>
      <c r="L1006" s="13"/>
      <c r="M1006" s="13"/>
      <c r="N1006" s="16"/>
      <c r="O1006" s="16"/>
      <c r="P1006" s="16"/>
      <c r="Q1006" s="16"/>
      <c r="R1006" s="96"/>
      <c r="S1006" s="96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>
      <c r="A1007" s="16"/>
      <c r="B1007" s="13"/>
      <c r="C1007" s="16"/>
      <c r="D1007" s="16"/>
      <c r="E1007" s="16"/>
      <c r="F1007" s="16"/>
      <c r="G1007" s="16"/>
      <c r="H1007" s="16"/>
      <c r="I1007" s="125"/>
      <c r="J1007" s="16"/>
      <c r="K1007" s="13"/>
      <c r="L1007" s="13"/>
      <c r="M1007" s="13"/>
      <c r="N1007" s="16"/>
      <c r="O1007" s="16"/>
      <c r="P1007" s="16"/>
      <c r="Q1007" s="16"/>
      <c r="R1007" s="96"/>
      <c r="S1007" s="96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>
      <c r="A1008" s="16"/>
      <c r="B1008" s="13"/>
      <c r="C1008" s="16"/>
      <c r="D1008" s="16"/>
      <c r="E1008" s="16"/>
      <c r="F1008" s="16"/>
      <c r="G1008" s="16"/>
      <c r="H1008" s="16"/>
      <c r="I1008" s="125"/>
      <c r="J1008" s="16"/>
      <c r="K1008" s="13"/>
      <c r="L1008" s="13"/>
      <c r="M1008" s="13"/>
      <c r="N1008" s="16"/>
      <c r="O1008" s="16"/>
      <c r="P1008" s="16"/>
      <c r="Q1008" s="16"/>
      <c r="R1008" s="96"/>
      <c r="S1008" s="96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>
      <c r="A1009" s="16"/>
      <c r="B1009" s="13"/>
      <c r="C1009" s="16"/>
      <c r="D1009" s="16"/>
      <c r="E1009" s="16"/>
      <c r="F1009" s="16"/>
      <c r="G1009" s="16"/>
      <c r="H1009" s="16"/>
      <c r="I1009" s="125"/>
      <c r="J1009" s="16"/>
      <c r="K1009" s="13"/>
      <c r="L1009" s="13"/>
      <c r="M1009" s="13"/>
      <c r="N1009" s="16"/>
      <c r="O1009" s="16"/>
      <c r="P1009" s="16"/>
      <c r="Q1009" s="16"/>
      <c r="R1009" s="96"/>
      <c r="S1009" s="96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>
      <c r="A1010" s="16"/>
      <c r="B1010" s="13"/>
      <c r="C1010" s="16"/>
      <c r="D1010" s="16"/>
      <c r="E1010" s="16"/>
      <c r="F1010" s="16"/>
      <c r="G1010" s="16"/>
      <c r="H1010" s="16"/>
      <c r="I1010" s="125"/>
      <c r="J1010" s="16"/>
      <c r="K1010" s="13"/>
      <c r="L1010" s="13"/>
      <c r="M1010" s="13"/>
      <c r="N1010" s="16"/>
      <c r="O1010" s="16"/>
      <c r="P1010" s="16"/>
      <c r="Q1010" s="16"/>
      <c r="R1010" s="96"/>
      <c r="S1010" s="96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>
      <c r="A1011" s="16"/>
      <c r="B1011" s="13"/>
      <c r="C1011" s="16"/>
      <c r="D1011" s="16"/>
      <c r="E1011" s="16"/>
      <c r="F1011" s="16"/>
      <c r="G1011" s="16"/>
      <c r="H1011" s="16"/>
      <c r="I1011" s="125"/>
      <c r="J1011" s="16"/>
      <c r="K1011" s="13"/>
      <c r="L1011" s="13"/>
      <c r="M1011" s="13"/>
      <c r="N1011" s="16"/>
      <c r="O1011" s="16"/>
      <c r="P1011" s="16"/>
      <c r="Q1011" s="16"/>
      <c r="R1011" s="96"/>
      <c r="S1011" s="96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>
      <c r="A1012" s="16"/>
      <c r="B1012" s="13"/>
      <c r="C1012" s="16"/>
      <c r="D1012" s="16"/>
      <c r="E1012" s="16"/>
      <c r="F1012" s="16"/>
      <c r="G1012" s="16"/>
      <c r="H1012" s="16"/>
      <c r="I1012" s="125"/>
      <c r="J1012" s="16"/>
      <c r="K1012" s="13"/>
      <c r="L1012" s="13"/>
      <c r="M1012" s="13"/>
      <c r="N1012" s="16"/>
      <c r="O1012" s="16"/>
      <c r="P1012" s="16"/>
      <c r="Q1012" s="16"/>
      <c r="R1012" s="96"/>
      <c r="S1012" s="96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>
      <c r="A1013" s="16"/>
      <c r="B1013" s="13"/>
      <c r="C1013" s="16"/>
      <c r="D1013" s="16"/>
      <c r="E1013" s="16"/>
      <c r="F1013" s="16"/>
      <c r="G1013" s="16"/>
      <c r="H1013" s="16"/>
      <c r="I1013" s="125"/>
      <c r="J1013" s="16"/>
      <c r="K1013" s="13"/>
      <c r="L1013" s="13"/>
      <c r="M1013" s="13"/>
      <c r="N1013" s="16"/>
      <c r="O1013" s="16"/>
      <c r="P1013" s="16"/>
      <c r="Q1013" s="16"/>
      <c r="R1013" s="96"/>
      <c r="S1013" s="96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>
      <c r="A1014" s="16"/>
      <c r="B1014" s="13"/>
      <c r="C1014" s="16"/>
      <c r="D1014" s="16"/>
      <c r="E1014" s="16"/>
      <c r="F1014" s="16"/>
      <c r="G1014" s="16"/>
      <c r="H1014" s="16"/>
      <c r="I1014" s="125"/>
      <c r="J1014" s="16"/>
      <c r="K1014" s="13"/>
      <c r="L1014" s="13"/>
      <c r="M1014" s="13"/>
      <c r="N1014" s="16"/>
      <c r="O1014" s="16"/>
      <c r="P1014" s="16"/>
      <c r="Q1014" s="16"/>
      <c r="R1014" s="96"/>
      <c r="S1014" s="96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>
      <c r="A1015" s="16"/>
      <c r="B1015" s="13"/>
      <c r="C1015" s="16"/>
      <c r="D1015" s="16"/>
      <c r="E1015" s="16"/>
      <c r="F1015" s="16"/>
      <c r="G1015" s="16"/>
      <c r="H1015" s="16"/>
      <c r="I1015" s="125"/>
      <c r="J1015" s="16"/>
      <c r="K1015" s="13"/>
      <c r="L1015" s="13"/>
      <c r="M1015" s="13"/>
      <c r="N1015" s="16"/>
      <c r="O1015" s="16"/>
      <c r="P1015" s="16"/>
      <c r="Q1015" s="16"/>
      <c r="R1015" s="96"/>
      <c r="S1015" s="96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>
      <c r="A1016" s="16"/>
      <c r="B1016" s="13"/>
      <c r="C1016" s="16"/>
      <c r="D1016" s="16"/>
      <c r="E1016" s="16"/>
      <c r="F1016" s="16"/>
      <c r="G1016" s="16"/>
      <c r="H1016" s="16"/>
      <c r="I1016" s="125"/>
      <c r="J1016" s="16"/>
      <c r="K1016" s="13"/>
      <c r="L1016" s="13"/>
      <c r="M1016" s="13"/>
      <c r="N1016" s="16"/>
      <c r="O1016" s="16"/>
      <c r="P1016" s="16"/>
      <c r="Q1016" s="16"/>
      <c r="R1016" s="96"/>
      <c r="S1016" s="96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>
      <c r="A1017" s="16"/>
      <c r="B1017" s="13"/>
      <c r="C1017" s="16"/>
      <c r="D1017" s="16"/>
      <c r="E1017" s="16"/>
      <c r="F1017" s="16"/>
      <c r="G1017" s="16"/>
      <c r="H1017" s="16"/>
      <c r="I1017" s="125"/>
      <c r="J1017" s="16"/>
      <c r="K1017" s="13"/>
      <c r="L1017" s="13"/>
      <c r="M1017" s="13"/>
      <c r="N1017" s="16"/>
      <c r="O1017" s="16"/>
      <c r="P1017" s="16"/>
      <c r="Q1017" s="16"/>
      <c r="R1017" s="96"/>
      <c r="S1017" s="96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>
      <c r="A1018" s="16"/>
      <c r="B1018" s="13"/>
      <c r="C1018" s="16"/>
      <c r="D1018" s="16"/>
      <c r="E1018" s="16"/>
      <c r="F1018" s="16"/>
      <c r="G1018" s="16"/>
      <c r="H1018" s="16"/>
      <c r="I1018" s="125"/>
      <c r="J1018" s="16"/>
      <c r="K1018" s="13"/>
      <c r="L1018" s="13"/>
      <c r="M1018" s="13"/>
      <c r="N1018" s="16"/>
      <c r="O1018" s="16"/>
      <c r="P1018" s="16"/>
      <c r="Q1018" s="16"/>
      <c r="R1018" s="96"/>
      <c r="S1018" s="96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>
      <c r="A1019" s="16"/>
      <c r="B1019" s="13"/>
      <c r="C1019" s="16"/>
      <c r="D1019" s="16"/>
      <c r="E1019" s="16"/>
      <c r="F1019" s="16"/>
      <c r="G1019" s="16"/>
      <c r="H1019" s="16"/>
      <c r="I1019" s="125"/>
      <c r="J1019" s="16"/>
      <c r="K1019" s="13"/>
      <c r="L1019" s="13"/>
      <c r="M1019" s="13"/>
      <c r="N1019" s="16"/>
      <c r="O1019" s="16"/>
      <c r="P1019" s="16"/>
      <c r="Q1019" s="16"/>
      <c r="R1019" s="96"/>
      <c r="S1019" s="96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>
      <c r="A1020" s="16"/>
      <c r="B1020" s="13"/>
      <c r="C1020" s="16"/>
      <c r="D1020" s="16"/>
      <c r="E1020" s="16"/>
      <c r="F1020" s="16"/>
      <c r="G1020" s="16"/>
      <c r="H1020" s="16"/>
      <c r="I1020" s="125"/>
      <c r="J1020" s="16"/>
      <c r="K1020" s="13"/>
      <c r="L1020" s="13"/>
      <c r="M1020" s="13"/>
      <c r="N1020" s="16"/>
      <c r="O1020" s="16"/>
      <c r="P1020" s="16"/>
      <c r="Q1020" s="16"/>
      <c r="R1020" s="96"/>
      <c r="S1020" s="96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>
      <c r="A1021" s="16"/>
      <c r="B1021" s="13"/>
      <c r="C1021" s="16"/>
      <c r="D1021" s="16"/>
      <c r="E1021" s="16"/>
      <c r="F1021" s="16"/>
      <c r="G1021" s="16"/>
      <c r="H1021" s="16"/>
      <c r="I1021" s="125"/>
      <c r="J1021" s="16"/>
      <c r="K1021" s="13"/>
      <c r="L1021" s="13"/>
      <c r="M1021" s="13"/>
      <c r="N1021" s="16"/>
      <c r="O1021" s="16"/>
      <c r="P1021" s="16"/>
      <c r="Q1021" s="16"/>
      <c r="R1021" s="96"/>
      <c r="S1021" s="96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>
      <c r="A1022" s="16"/>
      <c r="B1022" s="13"/>
      <c r="C1022" s="16"/>
      <c r="D1022" s="16"/>
      <c r="E1022" s="16"/>
      <c r="F1022" s="16"/>
      <c r="G1022" s="16"/>
      <c r="H1022" s="16"/>
      <c r="I1022" s="125"/>
      <c r="J1022" s="16"/>
      <c r="K1022" s="13"/>
      <c r="L1022" s="13"/>
      <c r="M1022" s="13"/>
      <c r="N1022" s="16"/>
      <c r="O1022" s="16"/>
      <c r="P1022" s="16"/>
      <c r="Q1022" s="16"/>
      <c r="R1022" s="96"/>
      <c r="S1022" s="96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>
      <c r="A1023" s="16"/>
      <c r="B1023" s="13"/>
      <c r="C1023" s="16"/>
      <c r="D1023" s="16"/>
      <c r="E1023" s="16"/>
      <c r="F1023" s="16"/>
      <c r="G1023" s="16"/>
      <c r="H1023" s="16"/>
      <c r="I1023" s="125"/>
      <c r="J1023" s="16"/>
      <c r="K1023" s="13"/>
      <c r="L1023" s="13"/>
      <c r="M1023" s="13"/>
      <c r="N1023" s="16"/>
      <c r="O1023" s="16"/>
      <c r="P1023" s="16"/>
      <c r="Q1023" s="16"/>
      <c r="R1023" s="96"/>
      <c r="S1023" s="96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>
      <c r="A1024" s="16"/>
      <c r="B1024" s="13"/>
      <c r="C1024" s="16"/>
      <c r="D1024" s="16"/>
      <c r="E1024" s="16"/>
      <c r="F1024" s="16"/>
      <c r="G1024" s="16"/>
      <c r="H1024" s="16"/>
      <c r="I1024" s="125"/>
      <c r="J1024" s="16"/>
      <c r="K1024" s="13"/>
      <c r="L1024" s="13"/>
      <c r="M1024" s="13"/>
      <c r="N1024" s="16"/>
      <c r="O1024" s="16"/>
      <c r="P1024" s="16"/>
      <c r="Q1024" s="16"/>
      <c r="R1024" s="96"/>
      <c r="S1024" s="96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>
      <c r="A1025" s="16"/>
      <c r="B1025" s="13"/>
      <c r="C1025" s="16"/>
      <c r="D1025" s="16"/>
      <c r="E1025" s="16"/>
      <c r="F1025" s="16"/>
      <c r="G1025" s="16"/>
      <c r="H1025" s="16"/>
      <c r="I1025" s="125"/>
      <c r="J1025" s="16"/>
      <c r="K1025" s="13"/>
      <c r="L1025" s="13"/>
      <c r="M1025" s="13"/>
      <c r="N1025" s="16"/>
      <c r="O1025" s="16"/>
      <c r="P1025" s="16"/>
      <c r="Q1025" s="16"/>
      <c r="R1025" s="96"/>
      <c r="S1025" s="96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</sheetData>
  <mergeCells count="16">
    <mergeCell ref="I6:I8"/>
    <mergeCell ref="L6:L8"/>
    <mergeCell ref="J7:J8"/>
    <mergeCell ref="K7:K8"/>
    <mergeCell ref="O6:O8"/>
    <mergeCell ref="P6:P8"/>
    <mergeCell ref="Q6:Q8"/>
    <mergeCell ref="R6:R8"/>
    <mergeCell ref="S6:S8"/>
    <mergeCell ref="O1:O5"/>
    <mergeCell ref="R1:R5"/>
    <mergeCell ref="H4:H5"/>
    <mergeCell ref="I4:I5"/>
    <mergeCell ref="K4:N5"/>
    <mergeCell ref="A6:A8"/>
    <mergeCell ref="B6:B8"/>
  </mergeCells>
  <dataValidations>
    <dataValidation type="list" allowBlank="1" showErrorMessage="1" sqref="L9:M77">
      <formula1>"✔,N"</formula1>
    </dataValidation>
    <dataValidation type="list" allowBlank="1" showErrorMessage="1" sqref="N9:O77">
      <formula1>"0,1,2,3,4"</formula1>
    </dataValidation>
    <dataValidation type="list" allowBlank="1" showErrorMessage="1" sqref="K9:K77 P9:P77">
      <formula1>"Y,N"</formula1>
    </dataValidation>
    <dataValidation type="list" allowBlank="1" showErrorMessage="1" sqref="Q9:Q77">
      <formula1>"Transport from BJ,Meet at KLIA,Other"</formula1>
    </dataValidation>
    <dataValidation type="list" allowBlank="1" showErrorMessage="1" sqref="R9:R77">
      <formula1>"Follow Parents - release on 28th Jun at SIN (1-way only),Follow Coach - release on 28th Jun at SIN (1-way only),Transit through KLIA,Parent pickup from BJ,Parent pickup from KLIA,Other"</formula1>
    </dataValidation>
  </dataValidations>
  <hyperlinks>
    <hyperlink r:id="rId1" ref="B3"/>
  </hyperlink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1.38"/>
    <col customWidth="1" min="3" max="6" width="6.38"/>
    <col customWidth="1" min="7" max="7" width="15.13"/>
    <col customWidth="1" min="8" max="8" width="25.13"/>
    <col customWidth="1" min="11" max="15" width="8.88"/>
  </cols>
  <sheetData>
    <row r="1">
      <c r="A1" s="126"/>
      <c r="B1" s="127"/>
      <c r="C1" s="126"/>
      <c r="D1" s="126"/>
      <c r="E1" s="126"/>
      <c r="F1" s="126"/>
      <c r="G1" s="126"/>
      <c r="H1" s="127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</row>
    <row r="2">
      <c r="A2" s="126"/>
      <c r="B2" s="127"/>
      <c r="C2" s="126"/>
      <c r="D2" s="126"/>
      <c r="E2" s="126"/>
      <c r="F2" s="126"/>
      <c r="G2" s="126"/>
      <c r="H2" s="127"/>
      <c r="I2" s="126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>
      <c r="A3" s="129">
        <v>1.0</v>
      </c>
      <c r="B3" s="130" t="s">
        <v>2432</v>
      </c>
      <c r="C3" s="131" t="s">
        <v>2433</v>
      </c>
      <c r="D3" s="131">
        <v>1.0</v>
      </c>
      <c r="E3" s="131" t="s">
        <v>2434</v>
      </c>
      <c r="F3" s="131" t="s">
        <v>2361</v>
      </c>
      <c r="G3" s="131" t="s">
        <v>2429</v>
      </c>
      <c r="H3" s="130" t="s">
        <v>2496</v>
      </c>
      <c r="I3" s="128"/>
      <c r="J3" s="98"/>
      <c r="K3" s="89"/>
      <c r="L3" s="89"/>
      <c r="M3" s="89"/>
      <c r="N3" s="89"/>
      <c r="O3" s="89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</row>
    <row r="4">
      <c r="A4" s="132">
        <v>2.0</v>
      </c>
      <c r="B4" s="133" t="s">
        <v>2426</v>
      </c>
      <c r="C4" s="134" t="s">
        <v>2427</v>
      </c>
      <c r="D4" s="134">
        <v>1.0</v>
      </c>
      <c r="E4" s="134" t="s">
        <v>2428</v>
      </c>
      <c r="F4" s="134" t="s">
        <v>2361</v>
      </c>
      <c r="G4" s="134" t="s">
        <v>2429</v>
      </c>
      <c r="H4" s="133" t="s">
        <v>2497</v>
      </c>
      <c r="I4" s="128"/>
      <c r="J4" s="98"/>
      <c r="K4" s="89"/>
      <c r="L4" s="89"/>
      <c r="M4" s="89"/>
      <c r="N4" s="89"/>
      <c r="O4" s="89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</row>
    <row r="5">
      <c r="A5" s="132">
        <v>3.0</v>
      </c>
      <c r="B5" s="133" t="s">
        <v>2430</v>
      </c>
      <c r="C5" s="134" t="s">
        <v>2427</v>
      </c>
      <c r="D5" s="134">
        <v>1.0</v>
      </c>
      <c r="E5" s="134" t="s">
        <v>2431</v>
      </c>
      <c r="F5" s="134" t="s">
        <v>2361</v>
      </c>
      <c r="G5" s="134" t="s">
        <v>2429</v>
      </c>
      <c r="H5" s="133" t="s">
        <v>2498</v>
      </c>
      <c r="I5" s="128"/>
      <c r="J5" s="98"/>
      <c r="K5" s="89"/>
      <c r="L5" s="89"/>
      <c r="M5" s="89"/>
      <c r="N5" s="89"/>
      <c r="O5" s="89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>
      <c r="A6" s="135"/>
      <c r="B6" s="136"/>
      <c r="C6" s="128"/>
      <c r="D6" s="128"/>
      <c r="E6" s="128"/>
      <c r="F6" s="128"/>
      <c r="G6" s="128"/>
      <c r="H6" s="136"/>
      <c r="I6" s="128"/>
      <c r="J6" s="98"/>
      <c r="K6" s="89"/>
      <c r="L6" s="89"/>
      <c r="M6" s="89"/>
      <c r="N6" s="89"/>
      <c r="O6" s="89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</row>
    <row r="7">
      <c r="A7" s="135"/>
      <c r="B7" s="136"/>
      <c r="C7" s="128"/>
      <c r="D7" s="128"/>
      <c r="E7" s="128"/>
      <c r="F7" s="128"/>
      <c r="G7" s="128"/>
      <c r="H7" s="136"/>
      <c r="I7" s="128"/>
      <c r="J7" s="98"/>
      <c r="K7" s="89"/>
      <c r="L7" s="89"/>
      <c r="M7" s="89"/>
      <c r="N7" s="89"/>
      <c r="O7" s="99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</row>
    <row r="8">
      <c r="A8" s="129">
        <v>1.0</v>
      </c>
      <c r="B8" s="130" t="s">
        <v>2435</v>
      </c>
      <c r="C8" s="131" t="s">
        <v>2433</v>
      </c>
      <c r="D8" s="131">
        <v>1.0</v>
      </c>
      <c r="E8" s="131" t="s">
        <v>2436</v>
      </c>
      <c r="F8" s="131" t="s">
        <v>2366</v>
      </c>
      <c r="G8" s="131" t="s">
        <v>2437</v>
      </c>
      <c r="H8" s="130" t="s">
        <v>2499</v>
      </c>
      <c r="I8" s="128"/>
      <c r="J8" s="98"/>
      <c r="K8" s="89"/>
      <c r="L8" s="89"/>
      <c r="M8" s="89"/>
      <c r="N8" s="89"/>
      <c r="O8" s="89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</row>
    <row r="9">
      <c r="A9" s="129">
        <v>2.0</v>
      </c>
      <c r="B9" s="130" t="s">
        <v>2438</v>
      </c>
      <c r="C9" s="131" t="s">
        <v>2433</v>
      </c>
      <c r="D9" s="131">
        <v>1.0</v>
      </c>
      <c r="E9" s="131" t="s">
        <v>2436</v>
      </c>
      <c r="F9" s="131" t="s">
        <v>2366</v>
      </c>
      <c r="G9" s="131" t="s">
        <v>2437</v>
      </c>
      <c r="H9" s="130" t="s">
        <v>2500</v>
      </c>
      <c r="I9" s="128"/>
      <c r="J9" s="98"/>
      <c r="K9" s="89"/>
      <c r="L9" s="89"/>
      <c r="M9" s="89"/>
      <c r="N9" s="89"/>
      <c r="O9" s="89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</row>
    <row r="10">
      <c r="A10" s="129">
        <v>3.0</v>
      </c>
      <c r="B10" s="130" t="s">
        <v>2440</v>
      </c>
      <c r="C10" s="131" t="s">
        <v>2427</v>
      </c>
      <c r="D10" s="131">
        <v>1.0</v>
      </c>
      <c r="E10" s="131" t="s">
        <v>2436</v>
      </c>
      <c r="F10" s="131" t="s">
        <v>2366</v>
      </c>
      <c r="G10" s="131" t="s">
        <v>2441</v>
      </c>
      <c r="H10" s="130" t="s">
        <v>2501</v>
      </c>
      <c r="I10" s="128"/>
      <c r="J10" s="98"/>
      <c r="K10" s="89"/>
      <c r="L10" s="89"/>
      <c r="M10" s="89"/>
      <c r="N10" s="89"/>
      <c r="O10" s="89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</row>
    <row r="11">
      <c r="A11" s="129">
        <v>4.0</v>
      </c>
      <c r="B11" s="130" t="s">
        <v>2442</v>
      </c>
      <c r="C11" s="131" t="s">
        <v>2427</v>
      </c>
      <c r="D11" s="131">
        <v>2.0</v>
      </c>
      <c r="E11" s="131" t="s">
        <v>2443</v>
      </c>
      <c r="F11" s="131" t="s">
        <v>2366</v>
      </c>
      <c r="G11" s="131" t="s">
        <v>2441</v>
      </c>
      <c r="H11" s="130" t="s">
        <v>2502</v>
      </c>
      <c r="I11" s="128"/>
      <c r="J11" s="98"/>
      <c r="K11" s="89"/>
      <c r="L11" s="89"/>
      <c r="M11" s="89"/>
      <c r="N11" s="89"/>
      <c r="O11" s="89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</row>
    <row r="12">
      <c r="A12" s="129">
        <v>5.0</v>
      </c>
      <c r="B12" s="130" t="s">
        <v>2439</v>
      </c>
      <c r="C12" s="131" t="s">
        <v>2433</v>
      </c>
      <c r="D12" s="131">
        <v>2.0</v>
      </c>
      <c r="E12" s="131" t="s">
        <v>2434</v>
      </c>
      <c r="F12" s="131" t="s">
        <v>2366</v>
      </c>
      <c r="G12" s="137"/>
      <c r="H12" s="130" t="s">
        <v>2503</v>
      </c>
      <c r="I12" s="128"/>
      <c r="J12" s="98"/>
      <c r="K12" s="89"/>
      <c r="L12" s="89"/>
      <c r="M12" s="89"/>
      <c r="N12" s="89"/>
      <c r="O12" s="89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</row>
    <row r="13">
      <c r="A13" s="131">
        <v>6.0</v>
      </c>
      <c r="B13" s="130" t="s">
        <v>2444</v>
      </c>
      <c r="C13" s="131" t="s">
        <v>2427</v>
      </c>
      <c r="D13" s="131">
        <v>3.0</v>
      </c>
      <c r="E13" s="131" t="s">
        <v>2434</v>
      </c>
      <c r="F13" s="131" t="s">
        <v>2366</v>
      </c>
      <c r="G13" s="138"/>
      <c r="H13" s="130" t="s">
        <v>2504</v>
      </c>
      <c r="I13" s="126"/>
      <c r="J13" s="98"/>
      <c r="K13" s="89"/>
      <c r="L13" s="89"/>
      <c r="M13" s="89"/>
      <c r="N13" s="89"/>
      <c r="O13" s="89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</row>
    <row r="14">
      <c r="A14" s="129">
        <v>7.0</v>
      </c>
      <c r="B14" s="130" t="s">
        <v>2484</v>
      </c>
      <c r="C14" s="131" t="s">
        <v>2427</v>
      </c>
      <c r="D14" s="131">
        <v>2.0</v>
      </c>
      <c r="E14" s="131" t="s">
        <v>2450</v>
      </c>
      <c r="F14" s="131" t="s">
        <v>2366</v>
      </c>
      <c r="G14" s="139"/>
      <c r="H14" s="140"/>
      <c r="I14" s="128"/>
      <c r="J14" s="98"/>
      <c r="K14" s="89"/>
      <c r="L14" s="89"/>
      <c r="M14" s="89"/>
      <c r="N14" s="89"/>
      <c r="O14" s="89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</row>
    <row r="15">
      <c r="A15" s="129">
        <v>8.0</v>
      </c>
      <c r="B15" s="130" t="s">
        <v>2486</v>
      </c>
      <c r="C15" s="131" t="s">
        <v>2433</v>
      </c>
      <c r="D15" s="131">
        <v>3.0</v>
      </c>
      <c r="E15" s="131" t="s">
        <v>2450</v>
      </c>
      <c r="F15" s="131" t="s">
        <v>2366</v>
      </c>
      <c r="G15" s="139"/>
      <c r="H15" s="140"/>
      <c r="I15" s="128"/>
      <c r="J15" s="98"/>
      <c r="K15" s="89"/>
      <c r="L15" s="89"/>
      <c r="M15" s="89"/>
      <c r="N15" s="89"/>
      <c r="O15" s="89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</row>
    <row r="16">
      <c r="A16" s="135"/>
      <c r="B16" s="136"/>
      <c r="C16" s="128"/>
      <c r="D16" s="128"/>
      <c r="E16" s="128"/>
      <c r="F16" s="128"/>
      <c r="G16" s="128"/>
      <c r="H16" s="136"/>
      <c r="I16" s="128"/>
      <c r="J16" s="98"/>
      <c r="K16" s="89"/>
      <c r="L16" s="89"/>
      <c r="M16" s="89"/>
      <c r="N16" s="89"/>
      <c r="O16" s="89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</row>
    <row r="17">
      <c r="A17" s="129">
        <v>1.0</v>
      </c>
      <c r="B17" s="130" t="s">
        <v>2447</v>
      </c>
      <c r="C17" s="131" t="s">
        <v>2427</v>
      </c>
      <c r="D17" s="131">
        <v>2.0</v>
      </c>
      <c r="E17" s="131" t="s">
        <v>2436</v>
      </c>
      <c r="F17" s="131" t="s">
        <v>2446</v>
      </c>
      <c r="G17" s="131" t="s">
        <v>2448</v>
      </c>
      <c r="H17" s="130" t="s">
        <v>2505</v>
      </c>
      <c r="I17" s="128"/>
      <c r="J17" s="98"/>
      <c r="K17" s="102"/>
      <c r="L17" s="89"/>
      <c r="M17" s="89"/>
      <c r="N17" s="89"/>
      <c r="O17" s="89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</row>
    <row r="18">
      <c r="A18" s="129">
        <v>2.0</v>
      </c>
      <c r="B18" s="130" t="s">
        <v>2445</v>
      </c>
      <c r="C18" s="131" t="s">
        <v>2433</v>
      </c>
      <c r="D18" s="131">
        <v>2.0</v>
      </c>
      <c r="E18" s="131" t="s">
        <v>2434</v>
      </c>
      <c r="F18" s="131" t="s">
        <v>2446</v>
      </c>
      <c r="G18" s="137"/>
      <c r="H18" s="130" t="s">
        <v>2506</v>
      </c>
      <c r="I18" s="128"/>
      <c r="J18" s="98"/>
      <c r="K18" s="89"/>
      <c r="L18" s="89"/>
      <c r="M18" s="89"/>
      <c r="N18" s="89"/>
      <c r="O18" s="89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</row>
    <row r="19">
      <c r="A19" s="129">
        <v>3.0</v>
      </c>
      <c r="B19" s="130" t="s">
        <v>2328</v>
      </c>
      <c r="C19" s="131" t="s">
        <v>2433</v>
      </c>
      <c r="D19" s="131">
        <v>3.0</v>
      </c>
      <c r="E19" s="131" t="s">
        <v>2434</v>
      </c>
      <c r="F19" s="131" t="s">
        <v>2446</v>
      </c>
      <c r="G19" s="137"/>
      <c r="H19" s="130" t="s">
        <v>2507</v>
      </c>
      <c r="I19" s="128"/>
      <c r="J19" s="98"/>
      <c r="K19" s="89"/>
      <c r="L19" s="89"/>
      <c r="M19" s="89"/>
      <c r="N19" s="89"/>
      <c r="O19" s="89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</row>
    <row r="20">
      <c r="A20" s="129">
        <v>4.0</v>
      </c>
      <c r="B20" s="130" t="s">
        <v>2262</v>
      </c>
      <c r="C20" s="131" t="s">
        <v>2427</v>
      </c>
      <c r="D20" s="131">
        <v>3.0</v>
      </c>
      <c r="E20" s="131" t="s">
        <v>2434</v>
      </c>
      <c r="F20" s="131" t="s">
        <v>2446</v>
      </c>
      <c r="G20" s="137"/>
      <c r="H20" s="130" t="s">
        <v>2508</v>
      </c>
      <c r="I20" s="128"/>
      <c r="J20" s="98"/>
      <c r="K20" s="89"/>
      <c r="L20" s="89"/>
      <c r="M20" s="89"/>
      <c r="N20" s="89"/>
      <c r="O20" s="89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</row>
    <row r="21">
      <c r="A21" s="129">
        <v>5.0</v>
      </c>
      <c r="B21" s="130" t="s">
        <v>2476</v>
      </c>
      <c r="C21" s="131" t="s">
        <v>2433</v>
      </c>
      <c r="D21" s="131">
        <v>2.0</v>
      </c>
      <c r="E21" s="131" t="s">
        <v>2450</v>
      </c>
      <c r="F21" s="131" t="s">
        <v>2446</v>
      </c>
      <c r="G21" s="139"/>
      <c r="H21" s="140"/>
      <c r="I21" s="128"/>
      <c r="J21" s="98"/>
      <c r="K21" s="89"/>
      <c r="L21" s="89"/>
      <c r="M21" s="89"/>
      <c r="N21" s="89"/>
      <c r="O21" s="89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</row>
    <row r="22">
      <c r="A22" s="129">
        <v>6.0</v>
      </c>
      <c r="B22" s="130" t="s">
        <v>2283</v>
      </c>
      <c r="C22" s="131" t="s">
        <v>2433</v>
      </c>
      <c r="D22" s="131">
        <v>2.0</v>
      </c>
      <c r="E22" s="131" t="s">
        <v>2450</v>
      </c>
      <c r="F22" s="131" t="s">
        <v>2446</v>
      </c>
      <c r="G22" s="139"/>
      <c r="H22" s="140"/>
      <c r="I22" s="128"/>
      <c r="J22" s="98"/>
      <c r="K22" s="89"/>
      <c r="L22" s="89"/>
      <c r="M22" s="89"/>
      <c r="N22" s="89"/>
      <c r="O22" s="89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</row>
    <row r="23">
      <c r="A23" s="129">
        <v>7.0</v>
      </c>
      <c r="B23" s="130" t="s">
        <v>2477</v>
      </c>
      <c r="C23" s="131" t="s">
        <v>2433</v>
      </c>
      <c r="D23" s="131">
        <v>2.0</v>
      </c>
      <c r="E23" s="131" t="s">
        <v>2450</v>
      </c>
      <c r="F23" s="131" t="s">
        <v>2446</v>
      </c>
      <c r="G23" s="139"/>
      <c r="H23" s="140"/>
      <c r="I23" s="128"/>
      <c r="J23" s="98"/>
      <c r="K23" s="89"/>
      <c r="L23" s="89"/>
      <c r="M23" s="89"/>
      <c r="N23" s="89"/>
      <c r="O23" s="89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</row>
    <row r="24">
      <c r="A24" s="129">
        <v>8.0</v>
      </c>
      <c r="B24" s="130" t="s">
        <v>2487</v>
      </c>
      <c r="C24" s="131" t="s">
        <v>2433</v>
      </c>
      <c r="D24" s="131">
        <v>3.0</v>
      </c>
      <c r="E24" s="131" t="s">
        <v>2450</v>
      </c>
      <c r="F24" s="131" t="s">
        <v>2446</v>
      </c>
      <c r="G24" s="139"/>
      <c r="H24" s="140"/>
      <c r="I24" s="128"/>
      <c r="J24" s="98"/>
      <c r="K24" s="89"/>
      <c r="L24" s="89"/>
      <c r="M24" s="89"/>
      <c r="N24" s="89"/>
      <c r="O24" s="89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</row>
    <row r="25">
      <c r="A25" s="129">
        <v>9.0</v>
      </c>
      <c r="B25" s="130" t="s">
        <v>2489</v>
      </c>
      <c r="C25" s="131" t="s">
        <v>2427</v>
      </c>
      <c r="D25" s="131">
        <v>3.0</v>
      </c>
      <c r="E25" s="131" t="s">
        <v>2450</v>
      </c>
      <c r="F25" s="131" t="s">
        <v>2446</v>
      </c>
      <c r="G25" s="139"/>
      <c r="H25" s="140"/>
      <c r="I25" s="128"/>
      <c r="J25" s="98"/>
      <c r="K25" s="89"/>
      <c r="L25" s="89"/>
      <c r="M25" s="89"/>
      <c r="N25" s="89"/>
      <c r="O25" s="89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</row>
    <row r="26">
      <c r="A26" s="135"/>
      <c r="B26" s="127"/>
      <c r="C26" s="126"/>
      <c r="D26" s="126"/>
      <c r="E26" s="126"/>
      <c r="F26" s="126"/>
      <c r="G26" s="126"/>
      <c r="H26" s="136"/>
      <c r="I26" s="128"/>
      <c r="J26" s="107"/>
      <c r="K26" s="104"/>
      <c r="L26" s="104"/>
      <c r="M26" s="104"/>
      <c r="N26" s="104"/>
      <c r="O26" s="97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</row>
    <row r="27">
      <c r="A27" s="135"/>
      <c r="B27" s="127"/>
      <c r="C27" s="126"/>
      <c r="D27" s="126"/>
      <c r="E27" s="126"/>
      <c r="F27" s="126"/>
      <c r="G27" s="126"/>
      <c r="H27" s="136"/>
      <c r="I27" s="128"/>
      <c r="J27" s="107"/>
      <c r="K27" s="104"/>
      <c r="L27" s="104"/>
      <c r="M27" s="104"/>
      <c r="N27" s="104"/>
      <c r="O27" s="97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</row>
    <row r="28">
      <c r="A28" s="129">
        <v>1.0</v>
      </c>
      <c r="B28" s="130" t="s">
        <v>2451</v>
      </c>
      <c r="C28" s="131" t="s">
        <v>2427</v>
      </c>
      <c r="D28" s="131">
        <v>1.0</v>
      </c>
      <c r="E28" s="131" t="s">
        <v>2428</v>
      </c>
      <c r="F28" s="131" t="s">
        <v>2357</v>
      </c>
      <c r="G28" s="131" t="s">
        <v>2452</v>
      </c>
      <c r="H28" s="130" t="s">
        <v>2509</v>
      </c>
      <c r="I28" s="128"/>
      <c r="J28" s="98"/>
      <c r="K28" s="89"/>
      <c r="L28" s="89"/>
      <c r="M28" s="89"/>
      <c r="N28" s="89"/>
      <c r="O28" s="97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</row>
    <row r="29">
      <c r="A29" s="129">
        <v>2.0</v>
      </c>
      <c r="B29" s="130" t="s">
        <v>2453</v>
      </c>
      <c r="C29" s="131" t="s">
        <v>2427</v>
      </c>
      <c r="D29" s="131">
        <v>1.0</v>
      </c>
      <c r="E29" s="131" t="s">
        <v>2443</v>
      </c>
      <c r="F29" s="131" t="s">
        <v>2357</v>
      </c>
      <c r="G29" s="131" t="s">
        <v>2454</v>
      </c>
      <c r="H29" s="130" t="s">
        <v>2510</v>
      </c>
      <c r="I29" s="128"/>
      <c r="J29" s="98" t="s">
        <v>2457</v>
      </c>
      <c r="K29" s="89" t="s">
        <v>2433</v>
      </c>
      <c r="L29" s="89">
        <v>1.0</v>
      </c>
      <c r="M29" s="89" t="s">
        <v>2434</v>
      </c>
      <c r="N29" s="89" t="s">
        <v>2458</v>
      </c>
      <c r="O29" s="97" t="s">
        <v>2459</v>
      </c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</row>
    <row r="30">
      <c r="A30" s="129">
        <v>3.0</v>
      </c>
      <c r="B30" s="130" t="s">
        <v>2455</v>
      </c>
      <c r="C30" s="131" t="s">
        <v>2427</v>
      </c>
      <c r="D30" s="131">
        <v>1.0</v>
      </c>
      <c r="E30" s="131" t="s">
        <v>2443</v>
      </c>
      <c r="F30" s="131" t="s">
        <v>2357</v>
      </c>
      <c r="G30" s="131" t="s">
        <v>2452</v>
      </c>
      <c r="H30" s="130" t="s">
        <v>2511</v>
      </c>
      <c r="I30" s="128"/>
      <c r="J30" s="98"/>
      <c r="K30" s="89"/>
      <c r="L30" s="89"/>
      <c r="M30" s="89"/>
      <c r="N30" s="89"/>
      <c r="O30" s="97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</row>
    <row r="31">
      <c r="A31" s="129">
        <v>4.0</v>
      </c>
      <c r="B31" s="130" t="s">
        <v>2456</v>
      </c>
      <c r="C31" s="131" t="s">
        <v>2427</v>
      </c>
      <c r="D31" s="131">
        <v>3.0</v>
      </c>
      <c r="E31" s="131" t="s">
        <v>2434</v>
      </c>
      <c r="F31" s="131" t="s">
        <v>2357</v>
      </c>
      <c r="G31" s="137"/>
      <c r="H31" s="130" t="s">
        <v>2512</v>
      </c>
      <c r="I31" s="128"/>
      <c r="J31" s="98" t="s">
        <v>2460</v>
      </c>
      <c r="K31" s="89" t="s">
        <v>2433</v>
      </c>
      <c r="L31" s="89">
        <v>2.0</v>
      </c>
      <c r="M31" s="89" t="s">
        <v>2434</v>
      </c>
      <c r="N31" s="89" t="s">
        <v>2461</v>
      </c>
      <c r="O31" s="97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</row>
    <row r="32">
      <c r="A32" s="129">
        <v>5.0</v>
      </c>
      <c r="B32" s="130" t="s">
        <v>2449</v>
      </c>
      <c r="C32" s="131" t="s">
        <v>2433</v>
      </c>
      <c r="D32" s="131">
        <v>1.0</v>
      </c>
      <c r="E32" s="131" t="s">
        <v>2450</v>
      </c>
      <c r="F32" s="131" t="s">
        <v>2357</v>
      </c>
      <c r="G32" s="131" t="s">
        <v>2357</v>
      </c>
      <c r="H32" s="140"/>
      <c r="I32" s="128"/>
      <c r="J32" s="98"/>
      <c r="K32" s="89"/>
      <c r="L32" s="89"/>
      <c r="M32" s="89"/>
      <c r="N32" s="89"/>
      <c r="O32" s="97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</row>
    <row r="33">
      <c r="A33" s="129">
        <v>6.0</v>
      </c>
      <c r="B33" s="130" t="s">
        <v>2483</v>
      </c>
      <c r="C33" s="131" t="s">
        <v>2433</v>
      </c>
      <c r="D33" s="131">
        <v>2.0</v>
      </c>
      <c r="E33" s="131" t="s">
        <v>2450</v>
      </c>
      <c r="F33" s="131" t="s">
        <v>2357</v>
      </c>
      <c r="G33" s="139"/>
      <c r="H33" s="140"/>
      <c r="I33" s="128"/>
      <c r="J33" s="98"/>
      <c r="K33" s="89"/>
      <c r="L33" s="89"/>
      <c r="M33" s="89"/>
      <c r="N33" s="89"/>
      <c r="O33" s="97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</row>
    <row r="34">
      <c r="A34" s="135"/>
      <c r="B34" s="127"/>
      <c r="C34" s="126"/>
      <c r="D34" s="126"/>
      <c r="E34" s="126"/>
      <c r="F34" s="126"/>
      <c r="G34" s="128"/>
      <c r="H34" s="136"/>
      <c r="I34" s="128"/>
      <c r="J34" s="98"/>
      <c r="K34" s="89"/>
      <c r="L34" s="89"/>
      <c r="M34" s="89"/>
      <c r="N34" s="89"/>
      <c r="O34" s="97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</row>
    <row r="35">
      <c r="A35" s="135"/>
      <c r="B35" s="127"/>
      <c r="C35" s="126"/>
      <c r="D35" s="126"/>
      <c r="E35" s="126"/>
      <c r="F35" s="126"/>
      <c r="G35" s="128"/>
      <c r="H35" s="136"/>
      <c r="I35" s="128"/>
      <c r="J35" s="98"/>
      <c r="K35" s="89"/>
      <c r="L35" s="89"/>
      <c r="M35" s="89"/>
      <c r="N35" s="89"/>
      <c r="O35" s="97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</row>
    <row r="36">
      <c r="A36" s="132">
        <v>1.0</v>
      </c>
      <c r="B36" s="133" t="s">
        <v>2473</v>
      </c>
      <c r="C36" s="134" t="s">
        <v>2427</v>
      </c>
      <c r="D36" s="134">
        <v>1.0</v>
      </c>
      <c r="E36" s="134" t="s">
        <v>2431</v>
      </c>
      <c r="F36" s="134" t="s">
        <v>2387</v>
      </c>
      <c r="G36" s="141"/>
      <c r="H36" s="133" t="s">
        <v>2513</v>
      </c>
      <c r="I36" s="128"/>
      <c r="J36" s="98"/>
      <c r="K36" s="89"/>
      <c r="L36" s="89"/>
      <c r="M36" s="89"/>
      <c r="N36" s="89"/>
      <c r="O36" s="97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</row>
    <row r="37">
      <c r="A37" s="132">
        <v>2.0</v>
      </c>
      <c r="B37" s="133" t="s">
        <v>2471</v>
      </c>
      <c r="C37" s="134" t="s">
        <v>2433</v>
      </c>
      <c r="D37" s="134">
        <v>2.0</v>
      </c>
      <c r="E37" s="134" t="s">
        <v>2450</v>
      </c>
      <c r="F37" s="134" t="s">
        <v>2387</v>
      </c>
      <c r="G37" s="142"/>
      <c r="H37" s="143"/>
      <c r="I37" s="128"/>
      <c r="J37" s="98"/>
      <c r="K37" s="89"/>
      <c r="L37" s="89"/>
      <c r="M37" s="89"/>
      <c r="N37" s="89"/>
      <c r="O37" s="97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</row>
    <row r="38">
      <c r="A38" s="132">
        <v>3.0</v>
      </c>
      <c r="B38" s="133" t="s">
        <v>2472</v>
      </c>
      <c r="C38" s="134" t="s">
        <v>2433</v>
      </c>
      <c r="D38" s="134">
        <v>2.0</v>
      </c>
      <c r="E38" s="134" t="s">
        <v>2450</v>
      </c>
      <c r="F38" s="134" t="s">
        <v>2387</v>
      </c>
      <c r="G38" s="142"/>
      <c r="H38" s="143"/>
      <c r="I38" s="128"/>
      <c r="J38" s="98"/>
      <c r="K38" s="89"/>
      <c r="L38" s="89"/>
      <c r="M38" s="89"/>
      <c r="N38" s="89"/>
      <c r="O38" s="97"/>
      <c r="P38" s="89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</row>
    <row r="39">
      <c r="A39" s="132">
        <v>4.0</v>
      </c>
      <c r="B39" s="133" t="s">
        <v>2474</v>
      </c>
      <c r="C39" s="134" t="s">
        <v>2427</v>
      </c>
      <c r="D39" s="134">
        <v>2.0</v>
      </c>
      <c r="E39" s="134" t="s">
        <v>2450</v>
      </c>
      <c r="F39" s="134" t="s">
        <v>2387</v>
      </c>
      <c r="G39" s="142"/>
      <c r="H39" s="143"/>
      <c r="I39" s="128"/>
      <c r="J39" s="107"/>
      <c r="K39" s="104"/>
      <c r="L39" s="104"/>
      <c r="M39" s="104"/>
      <c r="N39" s="104"/>
      <c r="O39" s="97"/>
      <c r="P39" s="89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</row>
    <row r="40">
      <c r="A40" s="132">
        <v>5.0</v>
      </c>
      <c r="B40" s="133" t="s">
        <v>2475</v>
      </c>
      <c r="C40" s="134" t="s">
        <v>2427</v>
      </c>
      <c r="D40" s="134">
        <v>3.0</v>
      </c>
      <c r="E40" s="134" t="s">
        <v>2450</v>
      </c>
      <c r="F40" s="134" t="s">
        <v>2387</v>
      </c>
      <c r="G40" s="142"/>
      <c r="H40" s="143"/>
      <c r="I40" s="128"/>
      <c r="J40" s="98"/>
      <c r="K40" s="89"/>
      <c r="L40" s="89"/>
      <c r="M40" s="89"/>
      <c r="N40" s="89"/>
      <c r="O40" s="97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</row>
    <row r="41">
      <c r="A41" s="135"/>
      <c r="B41" s="136"/>
      <c r="C41" s="128"/>
      <c r="D41" s="128"/>
      <c r="E41" s="128"/>
      <c r="F41" s="128"/>
      <c r="G41" s="128"/>
      <c r="H41" s="136"/>
      <c r="I41" s="128"/>
      <c r="J41" s="98"/>
      <c r="K41" s="89"/>
      <c r="L41" s="89"/>
      <c r="M41" s="89"/>
      <c r="N41" s="89"/>
      <c r="O41" s="97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</row>
    <row r="42">
      <c r="A42" s="135"/>
      <c r="B42" s="136"/>
      <c r="C42" s="128"/>
      <c r="D42" s="128"/>
      <c r="E42" s="128"/>
      <c r="F42" s="128"/>
      <c r="G42" s="128"/>
      <c r="H42" s="136"/>
      <c r="I42" s="128"/>
      <c r="J42" s="98"/>
      <c r="K42" s="89"/>
      <c r="L42" s="89"/>
      <c r="M42" s="89"/>
      <c r="N42" s="89"/>
      <c r="O42" s="97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</row>
    <row r="43">
      <c r="A43" s="129">
        <v>1.0</v>
      </c>
      <c r="B43" s="144" t="s">
        <v>2462</v>
      </c>
      <c r="C43" s="145" t="s">
        <v>2427</v>
      </c>
      <c r="D43" s="145">
        <v>2.0</v>
      </c>
      <c r="E43" s="145" t="s">
        <v>2434</v>
      </c>
      <c r="F43" s="145" t="s">
        <v>2374</v>
      </c>
      <c r="G43" s="146"/>
      <c r="H43" s="144" t="s">
        <v>2514</v>
      </c>
      <c r="I43" s="128"/>
      <c r="J43" s="98"/>
      <c r="K43" s="89"/>
      <c r="L43" s="89"/>
      <c r="M43" s="89"/>
      <c r="N43" s="89"/>
      <c r="O43" s="97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</row>
    <row r="44">
      <c r="A44" s="129">
        <v>2.0</v>
      </c>
      <c r="B44" s="144" t="s">
        <v>2463</v>
      </c>
      <c r="C44" s="145" t="s">
        <v>2433</v>
      </c>
      <c r="D44" s="145">
        <v>3.0</v>
      </c>
      <c r="E44" s="145" t="s">
        <v>2434</v>
      </c>
      <c r="F44" s="145" t="s">
        <v>2374</v>
      </c>
      <c r="G44" s="146"/>
      <c r="H44" s="144" t="s">
        <v>2515</v>
      </c>
      <c r="I44" s="128"/>
      <c r="J44" s="98"/>
      <c r="K44" s="89"/>
      <c r="L44" s="89"/>
      <c r="M44" s="89"/>
      <c r="N44" s="89"/>
      <c r="O44" s="97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</row>
    <row r="45">
      <c r="A45" s="129">
        <v>3.0</v>
      </c>
      <c r="B45" s="144" t="s">
        <v>2464</v>
      </c>
      <c r="C45" s="145" t="s">
        <v>2427</v>
      </c>
      <c r="D45" s="145">
        <v>3.0</v>
      </c>
      <c r="E45" s="145" t="s">
        <v>2434</v>
      </c>
      <c r="F45" s="145" t="s">
        <v>2374</v>
      </c>
      <c r="G45" s="146"/>
      <c r="H45" s="144" t="s">
        <v>2516</v>
      </c>
      <c r="I45" s="128"/>
      <c r="J45" s="98"/>
      <c r="K45" s="89"/>
      <c r="L45" s="89"/>
      <c r="M45" s="89"/>
      <c r="N45" s="89"/>
      <c r="O45" s="97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</row>
    <row r="46">
      <c r="A46" s="135"/>
      <c r="B46" s="136"/>
      <c r="C46" s="128"/>
      <c r="D46" s="128"/>
      <c r="E46" s="128"/>
      <c r="F46" s="128"/>
      <c r="G46" s="128"/>
      <c r="H46" s="136"/>
      <c r="I46" s="128"/>
      <c r="J46" s="98"/>
      <c r="K46" s="89"/>
      <c r="L46" s="89"/>
      <c r="M46" s="89"/>
      <c r="N46" s="89"/>
      <c r="O46" s="89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</row>
    <row r="47">
      <c r="A47" s="135"/>
      <c r="B47" s="136"/>
      <c r="C47" s="128"/>
      <c r="D47" s="128"/>
      <c r="E47" s="128"/>
      <c r="F47" s="128"/>
      <c r="G47" s="128"/>
      <c r="H47" s="136"/>
      <c r="I47" s="128"/>
      <c r="J47" s="98"/>
      <c r="K47" s="89"/>
      <c r="L47" s="89"/>
      <c r="M47" s="89"/>
      <c r="N47" s="89"/>
      <c r="O47" s="89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</row>
    <row r="48">
      <c r="A48" s="129">
        <v>1.0</v>
      </c>
      <c r="B48" s="130" t="s">
        <v>2469</v>
      </c>
      <c r="C48" s="131" t="s">
        <v>2433</v>
      </c>
      <c r="D48" s="131">
        <v>1.0</v>
      </c>
      <c r="E48" s="131" t="s">
        <v>2450</v>
      </c>
      <c r="F48" s="131" t="s">
        <v>2348</v>
      </c>
      <c r="G48" s="139"/>
      <c r="H48" s="140"/>
      <c r="I48" s="128"/>
      <c r="J48" s="98"/>
      <c r="K48" s="89"/>
      <c r="L48" s="89"/>
      <c r="M48" s="89"/>
      <c r="N48" s="89"/>
      <c r="O48" s="97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</row>
    <row r="49">
      <c r="A49" s="129">
        <v>2.0</v>
      </c>
      <c r="B49" s="130" t="s">
        <v>2470</v>
      </c>
      <c r="C49" s="131" t="s">
        <v>2433</v>
      </c>
      <c r="D49" s="131">
        <v>1.0</v>
      </c>
      <c r="E49" s="131" t="s">
        <v>2450</v>
      </c>
      <c r="F49" s="131" t="s">
        <v>2348</v>
      </c>
      <c r="G49" s="139"/>
      <c r="H49" s="140"/>
      <c r="I49" s="128"/>
      <c r="J49" s="98"/>
      <c r="K49" s="89"/>
      <c r="L49" s="89"/>
      <c r="M49" s="89"/>
      <c r="N49" s="89"/>
      <c r="O49" s="97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</row>
    <row r="50">
      <c r="A50" s="129">
        <v>3.0</v>
      </c>
      <c r="B50" s="130" t="s">
        <v>2478</v>
      </c>
      <c r="C50" s="131" t="s">
        <v>2433</v>
      </c>
      <c r="D50" s="131">
        <v>2.0</v>
      </c>
      <c r="E50" s="131" t="s">
        <v>2450</v>
      </c>
      <c r="F50" s="131" t="s">
        <v>2348</v>
      </c>
      <c r="G50" s="131" t="s">
        <v>2479</v>
      </c>
      <c r="H50" s="140"/>
      <c r="I50" s="128"/>
      <c r="J50" s="98"/>
      <c r="K50" s="89"/>
      <c r="L50" s="89"/>
      <c r="M50" s="89"/>
      <c r="N50" s="89"/>
      <c r="O50" s="97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</row>
    <row r="51">
      <c r="A51" s="129">
        <v>4.0</v>
      </c>
      <c r="B51" s="130" t="s">
        <v>2481</v>
      </c>
      <c r="C51" s="131" t="s">
        <v>2433</v>
      </c>
      <c r="D51" s="131">
        <v>2.0</v>
      </c>
      <c r="E51" s="131" t="s">
        <v>2450</v>
      </c>
      <c r="F51" s="131" t="s">
        <v>2348</v>
      </c>
      <c r="G51" s="131" t="s">
        <v>2479</v>
      </c>
      <c r="H51" s="140"/>
      <c r="I51" s="128"/>
      <c r="J51" s="98"/>
      <c r="K51" s="89"/>
      <c r="L51" s="89"/>
      <c r="M51" s="89"/>
      <c r="N51" s="89"/>
      <c r="O51" s="97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</row>
    <row r="52">
      <c r="A52" s="129">
        <v>5.0</v>
      </c>
      <c r="B52" s="130" t="s">
        <v>2268</v>
      </c>
      <c r="C52" s="131" t="s">
        <v>2427</v>
      </c>
      <c r="D52" s="131">
        <v>2.0</v>
      </c>
      <c r="E52" s="131" t="s">
        <v>2450</v>
      </c>
      <c r="F52" s="131" t="s">
        <v>2348</v>
      </c>
      <c r="G52" s="147" t="s">
        <v>2479</v>
      </c>
      <c r="H52" s="140"/>
      <c r="I52" s="128"/>
      <c r="J52" s="98"/>
      <c r="K52" s="89"/>
      <c r="L52" s="89"/>
      <c r="M52" s="89"/>
      <c r="N52" s="89"/>
      <c r="O52" s="97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</row>
    <row r="53">
      <c r="A53" s="129">
        <v>6.0</v>
      </c>
      <c r="B53" s="130" t="s">
        <v>2485</v>
      </c>
      <c r="C53" s="131" t="s">
        <v>2427</v>
      </c>
      <c r="D53" s="131">
        <v>2.0</v>
      </c>
      <c r="E53" s="131" t="s">
        <v>2450</v>
      </c>
      <c r="F53" s="131" t="s">
        <v>2348</v>
      </c>
      <c r="G53" s="131" t="s">
        <v>2479</v>
      </c>
      <c r="H53" s="140"/>
      <c r="I53" s="128"/>
      <c r="J53" s="98"/>
      <c r="K53" s="89"/>
      <c r="L53" s="89"/>
      <c r="M53" s="89"/>
      <c r="N53" s="89"/>
      <c r="O53" s="97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</row>
    <row r="54">
      <c r="A54" s="129">
        <v>7.0</v>
      </c>
      <c r="B54" s="130" t="s">
        <v>2488</v>
      </c>
      <c r="C54" s="131" t="s">
        <v>2433</v>
      </c>
      <c r="D54" s="131">
        <v>3.0</v>
      </c>
      <c r="E54" s="131" t="s">
        <v>2450</v>
      </c>
      <c r="F54" s="131" t="s">
        <v>2348</v>
      </c>
      <c r="G54" s="139"/>
      <c r="H54" s="140"/>
      <c r="I54" s="128"/>
      <c r="J54" s="98"/>
      <c r="K54" s="89"/>
      <c r="L54" s="89"/>
      <c r="M54" s="89"/>
      <c r="N54" s="89"/>
      <c r="O54" s="89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</row>
    <row r="55">
      <c r="A55" s="129">
        <v>8.0</v>
      </c>
      <c r="B55" s="130" t="s">
        <v>2490</v>
      </c>
      <c r="C55" s="131" t="s">
        <v>2427</v>
      </c>
      <c r="D55" s="131">
        <v>3.0</v>
      </c>
      <c r="E55" s="131" t="s">
        <v>2450</v>
      </c>
      <c r="F55" s="131" t="s">
        <v>2348</v>
      </c>
      <c r="G55" s="131" t="s">
        <v>2479</v>
      </c>
      <c r="H55" s="140"/>
      <c r="I55" s="128"/>
      <c r="J55" s="98"/>
      <c r="K55" s="89"/>
      <c r="L55" s="89"/>
      <c r="M55" s="89"/>
      <c r="N55" s="89"/>
      <c r="O55" s="97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</row>
    <row r="56">
      <c r="A56" s="135"/>
      <c r="B56" s="136"/>
      <c r="C56" s="128"/>
      <c r="D56" s="128"/>
      <c r="E56" s="128"/>
      <c r="F56" s="128"/>
      <c r="G56" s="128"/>
      <c r="H56" s="136"/>
      <c r="I56" s="128"/>
      <c r="J56" s="98"/>
      <c r="K56" s="89"/>
      <c r="L56" s="89"/>
      <c r="M56" s="89"/>
      <c r="N56" s="89"/>
      <c r="O56" s="97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</row>
    <row r="57">
      <c r="A57" s="135"/>
      <c r="B57" s="136"/>
      <c r="C57" s="128"/>
      <c r="D57" s="128"/>
      <c r="E57" s="128"/>
      <c r="F57" s="128"/>
      <c r="G57" s="128"/>
      <c r="H57" s="136"/>
      <c r="I57" s="128"/>
      <c r="J57" s="98"/>
      <c r="K57" s="89"/>
      <c r="L57" s="89"/>
      <c r="M57" s="89"/>
      <c r="N57" s="89"/>
      <c r="O57" s="97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</row>
    <row r="58">
      <c r="A58" s="129">
        <v>1.0</v>
      </c>
      <c r="B58" s="130" t="s">
        <v>2465</v>
      </c>
      <c r="C58" s="131" t="s">
        <v>2433</v>
      </c>
      <c r="D58" s="131">
        <v>1.0</v>
      </c>
      <c r="E58" s="131" t="s">
        <v>2450</v>
      </c>
      <c r="F58" s="131" t="s">
        <v>2466</v>
      </c>
      <c r="G58" s="147" t="s">
        <v>2467</v>
      </c>
      <c r="H58" s="140"/>
      <c r="I58" s="128"/>
      <c r="J58" s="98"/>
      <c r="K58" s="89"/>
      <c r="L58" s="89"/>
      <c r="M58" s="89"/>
      <c r="N58" s="89"/>
      <c r="O58" s="97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</row>
    <row r="59">
      <c r="A59" s="129">
        <v>2.0</v>
      </c>
      <c r="B59" s="130" t="s">
        <v>2468</v>
      </c>
      <c r="C59" s="131" t="s">
        <v>2433</v>
      </c>
      <c r="D59" s="131">
        <v>1.0</v>
      </c>
      <c r="E59" s="131" t="s">
        <v>2450</v>
      </c>
      <c r="F59" s="131" t="s">
        <v>2466</v>
      </c>
      <c r="G59" s="147"/>
      <c r="H59" s="140"/>
      <c r="I59" s="128"/>
      <c r="J59" s="98"/>
      <c r="K59" s="89"/>
      <c r="L59" s="89"/>
      <c r="M59" s="89"/>
      <c r="N59" s="89"/>
      <c r="O59" s="97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</row>
    <row r="60">
      <c r="A60" s="135"/>
      <c r="B60" s="136"/>
      <c r="C60" s="128"/>
      <c r="D60" s="128"/>
      <c r="E60" s="128"/>
      <c r="F60" s="128"/>
      <c r="G60" s="128"/>
      <c r="H60" s="136"/>
      <c r="I60" s="128"/>
      <c r="J60" s="98"/>
      <c r="K60" s="89"/>
      <c r="L60" s="89"/>
      <c r="M60" s="89"/>
      <c r="N60" s="89"/>
      <c r="O60" s="97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</row>
    <row r="61">
      <c r="A61" s="129">
        <v>1.0</v>
      </c>
      <c r="B61" s="144" t="s">
        <v>2460</v>
      </c>
      <c r="C61" s="145" t="s">
        <v>2433</v>
      </c>
      <c r="D61" s="145">
        <v>2.0</v>
      </c>
      <c r="E61" s="145" t="s">
        <v>2434</v>
      </c>
      <c r="F61" s="145" t="s">
        <v>2461</v>
      </c>
      <c r="G61" s="148"/>
      <c r="H61" s="144" t="s">
        <v>2517</v>
      </c>
      <c r="I61" s="128"/>
      <c r="J61" s="98"/>
      <c r="K61" s="89"/>
      <c r="L61" s="89"/>
      <c r="M61" s="89"/>
      <c r="N61" s="89"/>
      <c r="O61" s="97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</row>
    <row r="62">
      <c r="A62" s="135"/>
      <c r="B62" s="136"/>
      <c r="C62" s="128"/>
      <c r="D62" s="128"/>
      <c r="E62" s="128"/>
      <c r="F62" s="128"/>
      <c r="G62" s="128"/>
      <c r="H62" s="136"/>
      <c r="I62" s="128"/>
      <c r="J62" s="98"/>
      <c r="K62" s="89"/>
      <c r="L62" s="89"/>
      <c r="M62" s="89"/>
      <c r="N62" s="89"/>
      <c r="O62" s="97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</row>
    <row r="63">
      <c r="A63" s="132">
        <v>1.0</v>
      </c>
      <c r="B63" s="149" t="s">
        <v>2457</v>
      </c>
      <c r="C63" s="150" t="s">
        <v>2433</v>
      </c>
      <c r="D63" s="150">
        <v>1.0</v>
      </c>
      <c r="E63" s="150" t="s">
        <v>2434</v>
      </c>
      <c r="F63" s="150" t="s">
        <v>2458</v>
      </c>
      <c r="G63" s="150" t="s">
        <v>2459</v>
      </c>
      <c r="H63" s="149" t="s">
        <v>2518</v>
      </c>
      <c r="I63" s="128"/>
      <c r="J63" s="98"/>
      <c r="K63" s="89"/>
      <c r="L63" s="89"/>
      <c r="M63" s="89"/>
      <c r="N63" s="89"/>
      <c r="O63" s="97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</row>
    <row r="64">
      <c r="A64" s="135"/>
      <c r="B64" s="136"/>
      <c r="C64" s="128"/>
      <c r="D64" s="128"/>
      <c r="E64" s="128"/>
      <c r="F64" s="128"/>
      <c r="G64" s="128"/>
      <c r="H64" s="136"/>
      <c r="I64" s="128"/>
      <c r="J64" s="98"/>
      <c r="K64" s="89"/>
      <c r="L64" s="89"/>
      <c r="M64" s="89"/>
      <c r="N64" s="89"/>
      <c r="O64" s="89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</row>
    <row r="65">
      <c r="A65" s="135"/>
      <c r="B65" s="136"/>
      <c r="C65" s="128"/>
      <c r="D65" s="128"/>
      <c r="E65" s="128"/>
      <c r="F65" s="128"/>
      <c r="G65" s="128"/>
      <c r="H65" s="136"/>
      <c r="I65" s="128"/>
      <c r="J65" s="98"/>
      <c r="K65" s="89"/>
      <c r="L65" s="89"/>
      <c r="M65" s="89"/>
      <c r="N65" s="89"/>
      <c r="O65" s="89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</row>
    <row r="66">
      <c r="A66" s="135"/>
      <c r="B66" s="136"/>
      <c r="C66" s="128"/>
      <c r="D66" s="128"/>
      <c r="E66" s="128"/>
      <c r="F66" s="128"/>
      <c r="G66" s="128"/>
      <c r="H66" s="136"/>
      <c r="I66" s="128"/>
      <c r="J66" s="98"/>
      <c r="K66" s="89"/>
      <c r="L66" s="89"/>
      <c r="M66" s="89"/>
      <c r="N66" s="89"/>
      <c r="O66" s="89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</row>
    <row r="67">
      <c r="A67" s="135"/>
      <c r="B67" s="136"/>
      <c r="C67" s="128"/>
      <c r="D67" s="128"/>
      <c r="E67" s="128"/>
      <c r="F67" s="128"/>
      <c r="G67" s="128"/>
      <c r="H67" s="136"/>
      <c r="I67" s="128"/>
      <c r="J67" s="98"/>
      <c r="K67" s="89"/>
      <c r="L67" s="89"/>
      <c r="M67" s="89"/>
      <c r="N67" s="89"/>
      <c r="O67" s="97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</row>
    <row r="68">
      <c r="A68" s="135"/>
      <c r="B68" s="136"/>
      <c r="C68" s="128"/>
      <c r="D68" s="128"/>
      <c r="E68" s="128"/>
      <c r="F68" s="128"/>
      <c r="G68" s="128"/>
      <c r="H68" s="136"/>
      <c r="I68" s="128"/>
      <c r="J68" s="98"/>
      <c r="K68" s="89"/>
      <c r="L68" s="89"/>
      <c r="M68" s="89"/>
      <c r="N68" s="89"/>
      <c r="O68" s="97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</row>
    <row r="69">
      <c r="A69" s="135"/>
      <c r="B69" s="136"/>
      <c r="C69" s="128"/>
      <c r="D69" s="128"/>
      <c r="E69" s="128"/>
      <c r="F69" s="128"/>
      <c r="G69" s="128"/>
      <c r="H69" s="136"/>
      <c r="I69" s="128"/>
      <c r="J69" s="98"/>
      <c r="K69" s="89"/>
      <c r="L69" s="89"/>
      <c r="M69" s="89"/>
      <c r="N69" s="89"/>
      <c r="O69" s="97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</row>
    <row r="70">
      <c r="A70" s="135"/>
      <c r="B70" s="136"/>
      <c r="C70" s="128"/>
      <c r="D70" s="128"/>
      <c r="E70" s="128"/>
      <c r="F70" s="128"/>
      <c r="G70" s="128"/>
      <c r="H70" s="136"/>
      <c r="I70" s="128"/>
      <c r="J70" s="98"/>
      <c r="K70" s="89"/>
      <c r="L70" s="89"/>
      <c r="M70" s="89"/>
      <c r="N70" s="89"/>
      <c r="O70" s="97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</row>
    <row r="71">
      <c r="A71" s="135"/>
      <c r="B71" s="136"/>
      <c r="C71" s="128"/>
      <c r="D71" s="128"/>
      <c r="E71" s="128"/>
      <c r="F71" s="128"/>
      <c r="G71" s="128"/>
      <c r="H71" s="136"/>
      <c r="I71" s="128"/>
      <c r="J71" s="98"/>
      <c r="K71" s="89"/>
      <c r="L71" s="89"/>
      <c r="M71" s="89"/>
      <c r="N71" s="89"/>
      <c r="O71" s="97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</row>
    <row r="72">
      <c r="A72" s="135"/>
      <c r="B72" s="136"/>
      <c r="C72" s="128"/>
      <c r="D72" s="128"/>
      <c r="E72" s="128"/>
      <c r="F72" s="128"/>
      <c r="G72" s="128"/>
      <c r="H72" s="136"/>
      <c r="I72" s="128"/>
      <c r="J72" s="98"/>
      <c r="K72" s="89"/>
      <c r="L72" s="89"/>
      <c r="M72" s="89"/>
      <c r="N72" s="89"/>
      <c r="O72" s="97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</row>
    <row r="73">
      <c r="A73" s="135"/>
      <c r="B73" s="136"/>
      <c r="C73" s="128"/>
      <c r="D73" s="128"/>
      <c r="E73" s="128"/>
      <c r="F73" s="128"/>
      <c r="G73" s="128"/>
      <c r="H73" s="136"/>
      <c r="I73" s="128"/>
      <c r="J73" s="98"/>
      <c r="K73" s="89"/>
      <c r="L73" s="89"/>
      <c r="M73" s="89"/>
      <c r="N73" s="89"/>
      <c r="O73" s="97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</row>
    <row r="74">
      <c r="A74" s="135"/>
      <c r="B74" s="136"/>
      <c r="C74" s="128"/>
      <c r="D74" s="128"/>
      <c r="E74" s="128"/>
      <c r="F74" s="128"/>
      <c r="G74" s="128"/>
      <c r="H74" s="136"/>
      <c r="I74" s="128"/>
      <c r="J74" s="98"/>
      <c r="K74" s="89"/>
      <c r="L74" s="89"/>
      <c r="M74" s="89"/>
      <c r="N74" s="89"/>
      <c r="O74" s="97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</row>
    <row r="75">
      <c r="A75" s="135"/>
      <c r="B75" s="136"/>
      <c r="C75" s="128"/>
      <c r="D75" s="128"/>
      <c r="E75" s="128"/>
      <c r="F75" s="128"/>
      <c r="G75" s="128"/>
      <c r="H75" s="136"/>
      <c r="I75" s="128"/>
      <c r="J75" s="98"/>
      <c r="K75" s="89"/>
      <c r="L75" s="89"/>
      <c r="M75" s="89"/>
      <c r="N75" s="89"/>
      <c r="O75" s="89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>
      <c r="A76" s="135"/>
      <c r="B76" s="136"/>
      <c r="C76" s="128"/>
      <c r="D76" s="128"/>
      <c r="E76" s="128"/>
      <c r="F76" s="128"/>
      <c r="G76" s="128"/>
      <c r="H76" s="136"/>
      <c r="I76" s="128"/>
      <c r="J76" s="98"/>
      <c r="K76" s="89"/>
      <c r="L76" s="89"/>
      <c r="M76" s="89"/>
      <c r="N76" s="89"/>
      <c r="O76" s="89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</row>
    <row r="77">
      <c r="A77" s="135"/>
      <c r="B77" s="136"/>
      <c r="C77" s="128"/>
      <c r="D77" s="128"/>
      <c r="E77" s="128"/>
      <c r="F77" s="128"/>
      <c r="G77" s="128"/>
      <c r="H77" s="136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</row>
    <row r="78">
      <c r="A78" s="135"/>
      <c r="B78" s="136"/>
      <c r="C78" s="128"/>
      <c r="D78" s="128"/>
      <c r="E78" s="128"/>
      <c r="F78" s="128"/>
      <c r="G78" s="128"/>
      <c r="H78" s="136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</row>
    <row r="79">
      <c r="A79" s="135"/>
      <c r="B79" s="136"/>
      <c r="C79" s="128"/>
      <c r="D79" s="128"/>
      <c r="E79" s="128"/>
      <c r="F79" s="128"/>
      <c r="G79" s="128"/>
      <c r="H79" s="136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</row>
    <row r="80">
      <c r="A80" s="135"/>
      <c r="B80" s="136"/>
      <c r="C80" s="128"/>
      <c r="D80" s="128"/>
      <c r="E80" s="128"/>
      <c r="F80" s="128"/>
      <c r="G80" s="128"/>
      <c r="H80" s="136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</row>
    <row r="81">
      <c r="A81" s="135"/>
      <c r="B81" s="136"/>
      <c r="C81" s="128"/>
      <c r="D81" s="128"/>
      <c r="E81" s="128"/>
      <c r="F81" s="128"/>
      <c r="G81" s="128"/>
      <c r="H81" s="136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</row>
    <row r="82">
      <c r="A82" s="135"/>
      <c r="B82" s="136"/>
      <c r="C82" s="128"/>
      <c r="D82" s="128"/>
      <c r="E82" s="128"/>
      <c r="F82" s="128"/>
      <c r="G82" s="128"/>
      <c r="H82" s="136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</row>
    <row r="83">
      <c r="A83" s="135"/>
      <c r="B83" s="136"/>
      <c r="C83" s="128"/>
      <c r="D83" s="128"/>
      <c r="E83" s="128"/>
      <c r="F83" s="128"/>
      <c r="G83" s="128"/>
      <c r="H83" s="136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</row>
    <row r="84">
      <c r="A84" s="135"/>
      <c r="B84" s="136"/>
      <c r="C84" s="128"/>
      <c r="D84" s="128"/>
      <c r="E84" s="128"/>
      <c r="F84" s="128"/>
      <c r="G84" s="128"/>
      <c r="H84" s="136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</row>
    <row r="85">
      <c r="A85" s="135"/>
      <c r="B85" s="136"/>
      <c r="C85" s="128"/>
      <c r="D85" s="128"/>
      <c r="E85" s="128"/>
      <c r="F85" s="128"/>
      <c r="G85" s="128"/>
      <c r="H85" s="136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</row>
    <row r="86">
      <c r="A86" s="135"/>
      <c r="B86" s="136"/>
      <c r="C86" s="128"/>
      <c r="D86" s="128"/>
      <c r="E86" s="128"/>
      <c r="F86" s="128"/>
      <c r="G86" s="128"/>
      <c r="H86" s="136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</row>
    <row r="87">
      <c r="A87" s="135"/>
      <c r="B87" s="136"/>
      <c r="C87" s="128"/>
      <c r="D87" s="128"/>
      <c r="E87" s="128"/>
      <c r="F87" s="128"/>
      <c r="G87" s="128"/>
      <c r="H87" s="136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</row>
    <row r="88">
      <c r="A88" s="135"/>
      <c r="B88" s="136"/>
      <c r="C88" s="128"/>
      <c r="D88" s="128"/>
      <c r="E88" s="128"/>
      <c r="F88" s="128"/>
      <c r="G88" s="128"/>
      <c r="H88" s="136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</row>
    <row r="89">
      <c r="A89" s="135"/>
      <c r="B89" s="136"/>
      <c r="C89" s="128"/>
      <c r="D89" s="128"/>
      <c r="E89" s="128"/>
      <c r="F89" s="128"/>
      <c r="G89" s="128"/>
      <c r="H89" s="136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</row>
    <row r="90">
      <c r="A90" s="135"/>
      <c r="B90" s="136"/>
      <c r="C90" s="128"/>
      <c r="D90" s="128"/>
      <c r="E90" s="128"/>
      <c r="F90" s="128"/>
      <c r="G90" s="128"/>
      <c r="H90" s="136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</row>
    <row r="91">
      <c r="A91" s="135"/>
      <c r="B91" s="136"/>
      <c r="C91" s="128"/>
      <c r="D91" s="128"/>
      <c r="E91" s="128"/>
      <c r="F91" s="128"/>
      <c r="G91" s="128"/>
      <c r="H91" s="136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</row>
    <row r="92">
      <c r="A92" s="135"/>
      <c r="B92" s="136"/>
      <c r="C92" s="128"/>
      <c r="D92" s="128"/>
      <c r="E92" s="128"/>
      <c r="F92" s="128"/>
      <c r="G92" s="128"/>
      <c r="H92" s="136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</row>
    <row r="93">
      <c r="A93" s="135"/>
      <c r="B93" s="136"/>
      <c r="C93" s="128"/>
      <c r="D93" s="128"/>
      <c r="E93" s="128"/>
      <c r="F93" s="128"/>
      <c r="G93" s="128"/>
      <c r="H93" s="136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</row>
    <row r="94">
      <c r="A94" s="135"/>
      <c r="B94" s="136"/>
      <c r="C94" s="128"/>
      <c r="D94" s="128"/>
      <c r="E94" s="128"/>
      <c r="F94" s="128"/>
      <c r="G94" s="128"/>
      <c r="H94" s="136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</row>
    <row r="95">
      <c r="A95" s="135"/>
      <c r="B95" s="136"/>
      <c r="C95" s="128"/>
      <c r="D95" s="128"/>
      <c r="E95" s="128"/>
      <c r="F95" s="128"/>
      <c r="G95" s="128"/>
      <c r="H95" s="136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</row>
    <row r="96">
      <c r="A96" s="135"/>
      <c r="B96" s="136"/>
      <c r="C96" s="128"/>
      <c r="D96" s="128"/>
      <c r="E96" s="128"/>
      <c r="F96" s="128"/>
      <c r="G96" s="128"/>
      <c r="H96" s="136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</row>
    <row r="97">
      <c r="A97" s="135"/>
      <c r="B97" s="136"/>
      <c r="C97" s="128"/>
      <c r="D97" s="128"/>
      <c r="E97" s="128"/>
      <c r="F97" s="128"/>
      <c r="G97" s="128"/>
      <c r="H97" s="136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</row>
    <row r="98">
      <c r="A98" s="135"/>
      <c r="B98" s="136"/>
      <c r="C98" s="128"/>
      <c r="D98" s="128"/>
      <c r="E98" s="128"/>
      <c r="F98" s="128"/>
      <c r="G98" s="128"/>
      <c r="H98" s="136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</row>
    <row r="99">
      <c r="A99" s="135"/>
      <c r="B99" s="136"/>
      <c r="C99" s="128"/>
      <c r="D99" s="128"/>
      <c r="E99" s="128"/>
      <c r="F99" s="128"/>
      <c r="G99" s="128"/>
      <c r="H99" s="136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</row>
    <row r="100">
      <c r="A100" s="135"/>
      <c r="B100" s="136"/>
      <c r="C100" s="128"/>
      <c r="D100" s="128"/>
      <c r="E100" s="128"/>
      <c r="F100" s="128"/>
      <c r="G100" s="128"/>
      <c r="H100" s="136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</row>
    <row r="101">
      <c r="A101" s="135"/>
      <c r="B101" s="136"/>
      <c r="C101" s="128"/>
      <c r="D101" s="128"/>
      <c r="E101" s="128"/>
      <c r="F101" s="128"/>
      <c r="G101" s="128"/>
      <c r="H101" s="136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</row>
    <row r="102">
      <c r="A102" s="135"/>
      <c r="B102" s="136"/>
      <c r="C102" s="128"/>
      <c r="D102" s="128"/>
      <c r="E102" s="128"/>
      <c r="F102" s="128"/>
      <c r="G102" s="128"/>
      <c r="H102" s="136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</row>
    <row r="103">
      <c r="A103" s="135"/>
      <c r="B103" s="136"/>
      <c r="C103" s="128"/>
      <c r="D103" s="128"/>
      <c r="E103" s="128"/>
      <c r="F103" s="128"/>
      <c r="G103" s="128"/>
      <c r="H103" s="136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</row>
    <row r="104">
      <c r="A104" s="135"/>
      <c r="B104" s="136"/>
      <c r="C104" s="128"/>
      <c r="D104" s="128"/>
      <c r="E104" s="128"/>
      <c r="F104" s="128"/>
      <c r="G104" s="128"/>
      <c r="H104" s="136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</row>
    <row r="105">
      <c r="A105" s="135"/>
      <c r="B105" s="136"/>
      <c r="C105" s="128"/>
      <c r="D105" s="128"/>
      <c r="E105" s="128"/>
      <c r="F105" s="128"/>
      <c r="G105" s="128"/>
      <c r="H105" s="136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</row>
    <row r="106">
      <c r="A106" s="135"/>
      <c r="B106" s="136"/>
      <c r="C106" s="128"/>
      <c r="D106" s="128"/>
      <c r="E106" s="128"/>
      <c r="F106" s="128"/>
      <c r="G106" s="128"/>
      <c r="H106" s="136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</row>
    <row r="107">
      <c r="A107" s="135"/>
      <c r="B107" s="136"/>
      <c r="C107" s="128"/>
      <c r="D107" s="128"/>
      <c r="E107" s="128"/>
      <c r="F107" s="128"/>
      <c r="G107" s="128"/>
      <c r="H107" s="136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</row>
    <row r="108">
      <c r="A108" s="135"/>
      <c r="B108" s="136"/>
      <c r="C108" s="128"/>
      <c r="D108" s="128"/>
      <c r="E108" s="128"/>
      <c r="F108" s="128"/>
      <c r="G108" s="128"/>
      <c r="H108" s="136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</row>
    <row r="109">
      <c r="A109" s="135"/>
      <c r="B109" s="136"/>
      <c r="C109" s="128"/>
      <c r="D109" s="128"/>
      <c r="E109" s="128"/>
      <c r="F109" s="128"/>
      <c r="G109" s="128"/>
      <c r="H109" s="136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</row>
    <row r="110">
      <c r="A110" s="135"/>
      <c r="B110" s="136"/>
      <c r="C110" s="128"/>
      <c r="D110" s="128"/>
      <c r="E110" s="128"/>
      <c r="F110" s="128"/>
      <c r="G110" s="128"/>
      <c r="H110" s="136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>
      <c r="A111" s="135"/>
      <c r="B111" s="136"/>
      <c r="C111" s="128"/>
      <c r="D111" s="128"/>
      <c r="E111" s="128"/>
      <c r="F111" s="128"/>
      <c r="G111" s="128"/>
      <c r="H111" s="136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>
      <c r="A112" s="135"/>
      <c r="B112" s="136"/>
      <c r="C112" s="128"/>
      <c r="D112" s="128"/>
      <c r="E112" s="128"/>
      <c r="F112" s="128"/>
      <c r="G112" s="128"/>
      <c r="H112" s="136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</row>
    <row r="113">
      <c r="A113" s="135"/>
      <c r="B113" s="136"/>
      <c r="C113" s="128"/>
      <c r="D113" s="128"/>
      <c r="E113" s="128"/>
      <c r="F113" s="128"/>
      <c r="G113" s="128"/>
      <c r="H113" s="136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</row>
    <row r="114">
      <c r="A114" s="135"/>
      <c r="B114" s="136"/>
      <c r="C114" s="128"/>
      <c r="D114" s="128"/>
      <c r="E114" s="128"/>
      <c r="F114" s="128"/>
      <c r="G114" s="128"/>
      <c r="H114" s="136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</row>
    <row r="115">
      <c r="A115" s="135"/>
      <c r="B115" s="136"/>
      <c r="C115" s="128"/>
      <c r="D115" s="128"/>
      <c r="E115" s="128"/>
      <c r="F115" s="128"/>
      <c r="G115" s="128"/>
      <c r="H115" s="136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</row>
    <row r="116">
      <c r="A116" s="135"/>
      <c r="B116" s="136"/>
      <c r="C116" s="128"/>
      <c r="D116" s="128"/>
      <c r="E116" s="128"/>
      <c r="F116" s="128"/>
      <c r="G116" s="128"/>
      <c r="H116" s="136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</row>
    <row r="117">
      <c r="A117" s="135"/>
      <c r="B117" s="136"/>
      <c r="C117" s="128"/>
      <c r="D117" s="128"/>
      <c r="E117" s="128"/>
      <c r="F117" s="128"/>
      <c r="G117" s="128"/>
      <c r="H117" s="136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</row>
    <row r="118">
      <c r="A118" s="135"/>
      <c r="B118" s="136"/>
      <c r="C118" s="128"/>
      <c r="D118" s="128"/>
      <c r="E118" s="128"/>
      <c r="F118" s="128"/>
      <c r="G118" s="128"/>
      <c r="H118" s="136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</row>
    <row r="119">
      <c r="A119" s="135"/>
      <c r="B119" s="136"/>
      <c r="C119" s="128"/>
      <c r="D119" s="128"/>
      <c r="E119" s="128"/>
      <c r="F119" s="128"/>
      <c r="G119" s="128"/>
      <c r="H119" s="136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</row>
    <row r="120">
      <c r="A120" s="135"/>
      <c r="B120" s="136"/>
      <c r="C120" s="128"/>
      <c r="D120" s="128"/>
      <c r="E120" s="128"/>
      <c r="F120" s="128"/>
      <c r="G120" s="128"/>
      <c r="H120" s="136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</row>
    <row r="121">
      <c r="A121" s="135"/>
      <c r="B121" s="136"/>
      <c r="C121" s="128"/>
      <c r="D121" s="128"/>
      <c r="E121" s="128"/>
      <c r="F121" s="128"/>
      <c r="G121" s="128"/>
      <c r="H121" s="136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</row>
    <row r="122">
      <c r="A122" s="135"/>
      <c r="B122" s="136"/>
      <c r="C122" s="128"/>
      <c r="D122" s="128"/>
      <c r="E122" s="128"/>
      <c r="F122" s="128"/>
      <c r="G122" s="128"/>
      <c r="H122" s="136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</row>
    <row r="123">
      <c r="A123" s="135"/>
      <c r="B123" s="136"/>
      <c r="C123" s="128"/>
      <c r="D123" s="128"/>
      <c r="E123" s="128"/>
      <c r="F123" s="128"/>
      <c r="G123" s="128"/>
      <c r="H123" s="136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</row>
    <row r="124">
      <c r="A124" s="135"/>
      <c r="B124" s="136"/>
      <c r="C124" s="128"/>
      <c r="D124" s="128"/>
      <c r="E124" s="128"/>
      <c r="F124" s="128"/>
      <c r="G124" s="128"/>
      <c r="H124" s="136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</row>
    <row r="125">
      <c r="A125" s="135"/>
      <c r="B125" s="136"/>
      <c r="C125" s="128"/>
      <c r="D125" s="128"/>
      <c r="E125" s="128"/>
      <c r="F125" s="128"/>
      <c r="G125" s="128"/>
      <c r="H125" s="136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</row>
    <row r="126">
      <c r="A126" s="135"/>
      <c r="B126" s="136"/>
      <c r="C126" s="128"/>
      <c r="D126" s="128"/>
      <c r="E126" s="128"/>
      <c r="F126" s="128"/>
      <c r="G126" s="128"/>
      <c r="H126" s="136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</row>
    <row r="127">
      <c r="A127" s="135"/>
      <c r="B127" s="136"/>
      <c r="C127" s="128"/>
      <c r="D127" s="128"/>
      <c r="E127" s="128"/>
      <c r="F127" s="128"/>
      <c r="G127" s="128"/>
      <c r="H127" s="136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</row>
    <row r="128">
      <c r="A128" s="135"/>
      <c r="B128" s="136"/>
      <c r="C128" s="128"/>
      <c r="D128" s="128"/>
      <c r="E128" s="128"/>
      <c r="F128" s="128"/>
      <c r="G128" s="128"/>
      <c r="H128" s="136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</row>
    <row r="129">
      <c r="A129" s="135"/>
      <c r="B129" s="136"/>
      <c r="C129" s="128"/>
      <c r="D129" s="128"/>
      <c r="E129" s="128"/>
      <c r="F129" s="128"/>
      <c r="G129" s="128"/>
      <c r="H129" s="136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</row>
    <row r="130">
      <c r="A130" s="135"/>
      <c r="B130" s="136"/>
      <c r="C130" s="128"/>
      <c r="D130" s="128"/>
      <c r="E130" s="128"/>
      <c r="F130" s="128"/>
      <c r="G130" s="128"/>
      <c r="H130" s="136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</row>
    <row r="131">
      <c r="A131" s="135"/>
      <c r="B131" s="136"/>
      <c r="C131" s="128"/>
      <c r="D131" s="128"/>
      <c r="E131" s="128"/>
      <c r="F131" s="128"/>
      <c r="G131" s="128"/>
      <c r="H131" s="136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</row>
    <row r="132">
      <c r="A132" s="135"/>
      <c r="B132" s="136"/>
      <c r="C132" s="128"/>
      <c r="D132" s="128"/>
      <c r="E132" s="128"/>
      <c r="F132" s="128"/>
      <c r="G132" s="128"/>
      <c r="H132" s="136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</row>
    <row r="133">
      <c r="A133" s="135"/>
      <c r="B133" s="136"/>
      <c r="C133" s="128"/>
      <c r="D133" s="128"/>
      <c r="E133" s="128"/>
      <c r="F133" s="128"/>
      <c r="G133" s="128"/>
      <c r="H133" s="136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</row>
    <row r="134">
      <c r="A134" s="135"/>
      <c r="B134" s="136"/>
      <c r="C134" s="128"/>
      <c r="D134" s="128"/>
      <c r="E134" s="128"/>
      <c r="F134" s="128"/>
      <c r="G134" s="128"/>
      <c r="H134" s="136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</row>
    <row r="135">
      <c r="A135" s="135"/>
      <c r="B135" s="136"/>
      <c r="C135" s="128"/>
      <c r="D135" s="128"/>
      <c r="E135" s="128"/>
      <c r="F135" s="128"/>
      <c r="G135" s="128"/>
      <c r="H135" s="136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</row>
    <row r="136">
      <c r="A136" s="135"/>
      <c r="B136" s="136"/>
      <c r="C136" s="128"/>
      <c r="D136" s="128"/>
      <c r="E136" s="128"/>
      <c r="F136" s="128"/>
      <c r="G136" s="128"/>
      <c r="H136" s="136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</row>
    <row r="137">
      <c r="A137" s="135"/>
      <c r="B137" s="136"/>
      <c r="C137" s="128"/>
      <c r="D137" s="128"/>
      <c r="E137" s="128"/>
      <c r="F137" s="128"/>
      <c r="G137" s="128"/>
      <c r="H137" s="136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</row>
    <row r="138">
      <c r="A138" s="135"/>
      <c r="B138" s="136"/>
      <c r="C138" s="128"/>
      <c r="D138" s="128"/>
      <c r="E138" s="128"/>
      <c r="F138" s="128"/>
      <c r="G138" s="128"/>
      <c r="H138" s="136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</row>
    <row r="139">
      <c r="A139" s="135"/>
      <c r="B139" s="136"/>
      <c r="C139" s="128"/>
      <c r="D139" s="128"/>
      <c r="E139" s="128"/>
      <c r="F139" s="128"/>
      <c r="G139" s="128"/>
      <c r="H139" s="136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</row>
    <row r="140">
      <c r="A140" s="135"/>
      <c r="B140" s="136"/>
      <c r="C140" s="128"/>
      <c r="D140" s="128"/>
      <c r="E140" s="128"/>
      <c r="F140" s="128"/>
      <c r="G140" s="128"/>
      <c r="H140" s="136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</row>
    <row r="141">
      <c r="A141" s="135"/>
      <c r="B141" s="136"/>
      <c r="C141" s="128"/>
      <c r="D141" s="128"/>
      <c r="E141" s="128"/>
      <c r="F141" s="128"/>
      <c r="G141" s="128"/>
      <c r="H141" s="136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</row>
    <row r="142">
      <c r="A142" s="135"/>
      <c r="B142" s="136"/>
      <c r="C142" s="128"/>
      <c r="D142" s="128"/>
      <c r="E142" s="128"/>
      <c r="F142" s="128"/>
      <c r="G142" s="128"/>
      <c r="H142" s="136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</row>
    <row r="143">
      <c r="A143" s="135"/>
      <c r="B143" s="136"/>
      <c r="C143" s="128"/>
      <c r="D143" s="128"/>
      <c r="E143" s="128"/>
      <c r="F143" s="128"/>
      <c r="G143" s="128"/>
      <c r="H143" s="136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</row>
    <row r="144">
      <c r="A144" s="135"/>
      <c r="B144" s="136"/>
      <c r="C144" s="128"/>
      <c r="D144" s="128"/>
      <c r="E144" s="128"/>
      <c r="F144" s="128"/>
      <c r="G144" s="128"/>
      <c r="H144" s="136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</row>
    <row r="145">
      <c r="A145" s="135"/>
      <c r="B145" s="136"/>
      <c r="C145" s="128"/>
      <c r="D145" s="128"/>
      <c r="E145" s="128"/>
      <c r="F145" s="128"/>
      <c r="G145" s="128"/>
      <c r="H145" s="136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</row>
    <row r="146">
      <c r="A146" s="135"/>
      <c r="B146" s="136"/>
      <c r="C146" s="128"/>
      <c r="D146" s="128"/>
      <c r="E146" s="128"/>
      <c r="F146" s="128"/>
      <c r="G146" s="128"/>
      <c r="H146" s="136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</row>
    <row r="147">
      <c r="A147" s="135"/>
      <c r="B147" s="136"/>
      <c r="C147" s="128"/>
      <c r="D147" s="128"/>
      <c r="E147" s="128"/>
      <c r="F147" s="128"/>
      <c r="G147" s="128"/>
      <c r="H147" s="136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>
      <c r="A148" s="135"/>
      <c r="B148" s="136"/>
      <c r="C148" s="128"/>
      <c r="D148" s="128"/>
      <c r="E148" s="128"/>
      <c r="F148" s="128"/>
      <c r="G148" s="128"/>
      <c r="H148" s="136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</row>
    <row r="149">
      <c r="A149" s="135"/>
      <c r="B149" s="136"/>
      <c r="C149" s="128"/>
      <c r="D149" s="128"/>
      <c r="E149" s="128"/>
      <c r="F149" s="128"/>
      <c r="G149" s="128"/>
      <c r="H149" s="136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</row>
    <row r="150">
      <c r="A150" s="135"/>
      <c r="B150" s="136"/>
      <c r="C150" s="128"/>
      <c r="D150" s="128"/>
      <c r="E150" s="128"/>
      <c r="F150" s="128"/>
      <c r="G150" s="128"/>
      <c r="H150" s="136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</row>
    <row r="151">
      <c r="A151" s="135"/>
      <c r="B151" s="136"/>
      <c r="C151" s="128"/>
      <c r="D151" s="128"/>
      <c r="E151" s="128"/>
      <c r="F151" s="128"/>
      <c r="G151" s="128"/>
      <c r="H151" s="136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>
      <c r="A152" s="135"/>
      <c r="B152" s="136"/>
      <c r="C152" s="128"/>
      <c r="D152" s="128"/>
      <c r="E152" s="128"/>
      <c r="F152" s="128"/>
      <c r="G152" s="128"/>
      <c r="H152" s="136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</row>
    <row r="153">
      <c r="A153" s="135"/>
      <c r="B153" s="136"/>
      <c r="C153" s="128"/>
      <c r="D153" s="128"/>
      <c r="E153" s="128"/>
      <c r="F153" s="128"/>
      <c r="G153" s="128"/>
      <c r="H153" s="136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</row>
    <row r="154">
      <c r="A154" s="135"/>
      <c r="B154" s="136"/>
      <c r="C154" s="128"/>
      <c r="D154" s="128"/>
      <c r="E154" s="128"/>
      <c r="F154" s="128"/>
      <c r="G154" s="128"/>
      <c r="H154" s="136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</row>
    <row r="155">
      <c r="A155" s="135"/>
      <c r="B155" s="136"/>
      <c r="C155" s="128"/>
      <c r="D155" s="128"/>
      <c r="E155" s="128"/>
      <c r="F155" s="128"/>
      <c r="G155" s="128"/>
      <c r="H155" s="136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</row>
    <row r="156">
      <c r="A156" s="135"/>
      <c r="B156" s="136"/>
      <c r="C156" s="128"/>
      <c r="D156" s="128"/>
      <c r="E156" s="128"/>
      <c r="F156" s="128"/>
      <c r="G156" s="128"/>
      <c r="H156" s="136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</row>
    <row r="157">
      <c r="A157" s="135"/>
      <c r="B157" s="136"/>
      <c r="C157" s="128"/>
      <c r="D157" s="128"/>
      <c r="E157" s="128"/>
      <c r="F157" s="128"/>
      <c r="G157" s="128"/>
      <c r="H157" s="136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</row>
    <row r="158">
      <c r="A158" s="135"/>
      <c r="B158" s="136"/>
      <c r="C158" s="128"/>
      <c r="D158" s="128"/>
      <c r="E158" s="128"/>
      <c r="F158" s="128"/>
      <c r="G158" s="128"/>
      <c r="H158" s="136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</row>
    <row r="159">
      <c r="A159" s="135"/>
      <c r="B159" s="136"/>
      <c r="C159" s="128"/>
      <c r="D159" s="128"/>
      <c r="E159" s="128"/>
      <c r="F159" s="128"/>
      <c r="G159" s="128"/>
      <c r="H159" s="136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>
      <c r="A160" s="135"/>
      <c r="B160" s="136"/>
      <c r="C160" s="128"/>
      <c r="D160" s="128"/>
      <c r="E160" s="128"/>
      <c r="F160" s="128"/>
      <c r="G160" s="128"/>
      <c r="H160" s="136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>
      <c r="A161" s="135"/>
      <c r="B161" s="136"/>
      <c r="C161" s="128"/>
      <c r="D161" s="128"/>
      <c r="E161" s="128"/>
      <c r="F161" s="128"/>
      <c r="G161" s="128"/>
      <c r="H161" s="136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</row>
    <row r="162">
      <c r="A162" s="135"/>
      <c r="B162" s="136"/>
      <c r="C162" s="128"/>
      <c r="D162" s="128"/>
      <c r="E162" s="128"/>
      <c r="F162" s="128"/>
      <c r="G162" s="128"/>
      <c r="H162" s="136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</row>
    <row r="163">
      <c r="A163" s="135"/>
      <c r="B163" s="136"/>
      <c r="C163" s="128"/>
      <c r="D163" s="128"/>
      <c r="E163" s="128"/>
      <c r="F163" s="128"/>
      <c r="G163" s="128"/>
      <c r="H163" s="136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>
      <c r="A164" s="135"/>
      <c r="B164" s="136"/>
      <c r="C164" s="128"/>
      <c r="D164" s="128"/>
      <c r="E164" s="128"/>
      <c r="F164" s="128"/>
      <c r="G164" s="128"/>
      <c r="H164" s="136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>
      <c r="A165" s="135"/>
      <c r="B165" s="136"/>
      <c r="C165" s="128"/>
      <c r="D165" s="128"/>
      <c r="E165" s="128"/>
      <c r="F165" s="128"/>
      <c r="G165" s="128"/>
      <c r="H165" s="136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>
      <c r="A166" s="135"/>
      <c r="B166" s="136"/>
      <c r="C166" s="128"/>
      <c r="D166" s="128"/>
      <c r="E166" s="128"/>
      <c r="F166" s="128"/>
      <c r="G166" s="128"/>
      <c r="H166" s="136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>
      <c r="A167" s="135"/>
      <c r="B167" s="136"/>
      <c r="C167" s="128"/>
      <c r="D167" s="128"/>
      <c r="E167" s="128"/>
      <c r="F167" s="128"/>
      <c r="G167" s="128"/>
      <c r="H167" s="136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>
      <c r="A168" s="135"/>
      <c r="B168" s="136"/>
      <c r="C168" s="128"/>
      <c r="D168" s="128"/>
      <c r="E168" s="128"/>
      <c r="F168" s="128"/>
      <c r="G168" s="128"/>
      <c r="H168" s="136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>
      <c r="A169" s="135"/>
      <c r="B169" s="136"/>
      <c r="C169" s="128"/>
      <c r="D169" s="128"/>
      <c r="E169" s="128"/>
      <c r="F169" s="128"/>
      <c r="G169" s="128"/>
      <c r="H169" s="136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>
      <c r="A170" s="135"/>
      <c r="B170" s="136"/>
      <c r="C170" s="128"/>
      <c r="D170" s="128"/>
      <c r="E170" s="128"/>
      <c r="F170" s="128"/>
      <c r="G170" s="128"/>
      <c r="H170" s="136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</row>
    <row r="171">
      <c r="A171" s="135"/>
      <c r="B171" s="136"/>
      <c r="C171" s="128"/>
      <c r="D171" s="128"/>
      <c r="E171" s="128"/>
      <c r="F171" s="128"/>
      <c r="G171" s="128"/>
      <c r="H171" s="136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</row>
    <row r="172">
      <c r="A172" s="135"/>
      <c r="B172" s="136"/>
      <c r="C172" s="128"/>
      <c r="D172" s="128"/>
      <c r="E172" s="128"/>
      <c r="F172" s="128"/>
      <c r="G172" s="128"/>
      <c r="H172" s="136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</row>
    <row r="173">
      <c r="A173" s="135"/>
      <c r="B173" s="136"/>
      <c r="C173" s="128"/>
      <c r="D173" s="128"/>
      <c r="E173" s="128"/>
      <c r="F173" s="128"/>
      <c r="G173" s="128"/>
      <c r="H173" s="136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</row>
    <row r="174">
      <c r="A174" s="135"/>
      <c r="B174" s="136"/>
      <c r="C174" s="128"/>
      <c r="D174" s="128"/>
      <c r="E174" s="128"/>
      <c r="F174" s="128"/>
      <c r="G174" s="128"/>
      <c r="H174" s="136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>
      <c r="A175" s="135"/>
      <c r="B175" s="136"/>
      <c r="C175" s="128"/>
      <c r="D175" s="128"/>
      <c r="E175" s="128"/>
      <c r="F175" s="128"/>
      <c r="G175" s="128"/>
      <c r="H175" s="136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</row>
    <row r="176">
      <c r="A176" s="135"/>
      <c r="B176" s="136"/>
      <c r="C176" s="128"/>
      <c r="D176" s="128"/>
      <c r="E176" s="128"/>
      <c r="F176" s="128"/>
      <c r="G176" s="128"/>
      <c r="H176" s="136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>
      <c r="A177" s="135"/>
      <c r="B177" s="136"/>
      <c r="C177" s="128"/>
      <c r="D177" s="128"/>
      <c r="E177" s="128"/>
      <c r="F177" s="128"/>
      <c r="G177" s="128"/>
      <c r="H177" s="136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>
      <c r="A178" s="135"/>
      <c r="B178" s="136"/>
      <c r="C178" s="128"/>
      <c r="D178" s="128"/>
      <c r="E178" s="128"/>
      <c r="F178" s="128"/>
      <c r="G178" s="128"/>
      <c r="H178" s="136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>
      <c r="A179" s="135"/>
      <c r="B179" s="136"/>
      <c r="C179" s="128"/>
      <c r="D179" s="128"/>
      <c r="E179" s="128"/>
      <c r="F179" s="128"/>
      <c r="G179" s="128"/>
      <c r="H179" s="136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>
      <c r="A180" s="135"/>
      <c r="B180" s="136"/>
      <c r="C180" s="128"/>
      <c r="D180" s="128"/>
      <c r="E180" s="128"/>
      <c r="F180" s="128"/>
      <c r="G180" s="128"/>
      <c r="H180" s="136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</row>
    <row r="181">
      <c r="A181" s="135"/>
      <c r="B181" s="136"/>
      <c r="C181" s="128"/>
      <c r="D181" s="128"/>
      <c r="E181" s="128"/>
      <c r="F181" s="128"/>
      <c r="G181" s="128"/>
      <c r="H181" s="136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</row>
    <row r="182">
      <c r="A182" s="135"/>
      <c r="B182" s="136"/>
      <c r="C182" s="128"/>
      <c r="D182" s="128"/>
      <c r="E182" s="128"/>
      <c r="F182" s="128"/>
      <c r="G182" s="128"/>
      <c r="H182" s="136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</row>
    <row r="183">
      <c r="A183" s="135"/>
      <c r="B183" s="136"/>
      <c r="C183" s="128"/>
      <c r="D183" s="128"/>
      <c r="E183" s="128"/>
      <c r="F183" s="128"/>
      <c r="G183" s="128"/>
      <c r="H183" s="136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</row>
    <row r="184">
      <c r="A184" s="135"/>
      <c r="B184" s="136"/>
      <c r="C184" s="128"/>
      <c r="D184" s="128"/>
      <c r="E184" s="128"/>
      <c r="F184" s="128"/>
      <c r="G184" s="128"/>
      <c r="H184" s="136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>
      <c r="A185" s="135"/>
      <c r="B185" s="136"/>
      <c r="C185" s="128"/>
      <c r="D185" s="128"/>
      <c r="E185" s="128"/>
      <c r="F185" s="128"/>
      <c r="G185" s="128"/>
      <c r="H185" s="136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>
      <c r="A186" s="135"/>
      <c r="B186" s="136"/>
      <c r="C186" s="128"/>
      <c r="D186" s="128"/>
      <c r="E186" s="128"/>
      <c r="F186" s="128"/>
      <c r="G186" s="128"/>
      <c r="H186" s="136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>
      <c r="A187" s="135"/>
      <c r="B187" s="136"/>
      <c r="C187" s="128"/>
      <c r="D187" s="128"/>
      <c r="E187" s="128"/>
      <c r="F187" s="128"/>
      <c r="G187" s="128"/>
      <c r="H187" s="136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>
      <c r="A188" s="135"/>
      <c r="B188" s="136"/>
      <c r="C188" s="128"/>
      <c r="D188" s="128"/>
      <c r="E188" s="128"/>
      <c r="F188" s="128"/>
      <c r="G188" s="128"/>
      <c r="H188" s="136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</row>
    <row r="189">
      <c r="A189" s="135"/>
      <c r="B189" s="136"/>
      <c r="C189" s="128"/>
      <c r="D189" s="128"/>
      <c r="E189" s="128"/>
      <c r="F189" s="128"/>
      <c r="G189" s="128"/>
      <c r="H189" s="136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>
      <c r="A190" s="135"/>
      <c r="B190" s="136"/>
      <c r="C190" s="128"/>
      <c r="D190" s="128"/>
      <c r="E190" s="128"/>
      <c r="F190" s="128"/>
      <c r="G190" s="128"/>
      <c r="H190" s="136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</row>
    <row r="191">
      <c r="A191" s="135"/>
      <c r="B191" s="136"/>
      <c r="C191" s="128"/>
      <c r="D191" s="128"/>
      <c r="E191" s="128"/>
      <c r="F191" s="128"/>
      <c r="G191" s="128"/>
      <c r="H191" s="136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>
      <c r="A192" s="135"/>
      <c r="B192" s="136"/>
      <c r="C192" s="128"/>
      <c r="D192" s="128"/>
      <c r="E192" s="128"/>
      <c r="F192" s="128"/>
      <c r="G192" s="128"/>
      <c r="H192" s="136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</row>
    <row r="193">
      <c r="A193" s="135"/>
      <c r="B193" s="136"/>
      <c r="C193" s="128"/>
      <c r="D193" s="128"/>
      <c r="E193" s="128"/>
      <c r="F193" s="128"/>
      <c r="G193" s="128"/>
      <c r="H193" s="136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</row>
    <row r="194">
      <c r="A194" s="135"/>
      <c r="B194" s="136"/>
      <c r="C194" s="128"/>
      <c r="D194" s="128"/>
      <c r="E194" s="128"/>
      <c r="F194" s="128"/>
      <c r="G194" s="128"/>
      <c r="H194" s="136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</row>
    <row r="195">
      <c r="A195" s="135"/>
      <c r="B195" s="136"/>
      <c r="C195" s="128"/>
      <c r="D195" s="128"/>
      <c r="E195" s="128"/>
      <c r="F195" s="128"/>
      <c r="G195" s="128"/>
      <c r="H195" s="136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>
      <c r="A196" s="135"/>
      <c r="B196" s="136"/>
      <c r="C196" s="128"/>
      <c r="D196" s="128"/>
      <c r="E196" s="128"/>
      <c r="F196" s="128"/>
      <c r="G196" s="128"/>
      <c r="H196" s="136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>
      <c r="A197" s="135"/>
      <c r="B197" s="136"/>
      <c r="C197" s="128"/>
      <c r="D197" s="128"/>
      <c r="E197" s="128"/>
      <c r="F197" s="128"/>
      <c r="G197" s="128"/>
      <c r="H197" s="136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>
      <c r="A198" s="135"/>
      <c r="B198" s="136"/>
      <c r="C198" s="128"/>
      <c r="D198" s="128"/>
      <c r="E198" s="128"/>
      <c r="F198" s="128"/>
      <c r="G198" s="128"/>
      <c r="H198" s="136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>
      <c r="A199" s="135"/>
      <c r="B199" s="136"/>
      <c r="C199" s="128"/>
      <c r="D199" s="128"/>
      <c r="E199" s="128"/>
      <c r="F199" s="128"/>
      <c r="G199" s="128"/>
      <c r="H199" s="136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>
      <c r="A200" s="135"/>
      <c r="B200" s="136"/>
      <c r="C200" s="128"/>
      <c r="D200" s="128"/>
      <c r="E200" s="128"/>
      <c r="F200" s="128"/>
      <c r="G200" s="128"/>
      <c r="H200" s="136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>
      <c r="A201" s="135"/>
      <c r="B201" s="136"/>
      <c r="C201" s="128"/>
      <c r="D201" s="128"/>
      <c r="E201" s="128"/>
      <c r="F201" s="128"/>
      <c r="G201" s="128"/>
      <c r="H201" s="136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>
      <c r="A202" s="135"/>
      <c r="B202" s="136"/>
      <c r="C202" s="128"/>
      <c r="D202" s="128"/>
      <c r="E202" s="128"/>
      <c r="F202" s="128"/>
      <c r="G202" s="128"/>
      <c r="H202" s="136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</row>
    <row r="203">
      <c r="A203" s="135"/>
      <c r="B203" s="136"/>
      <c r="C203" s="128"/>
      <c r="D203" s="128"/>
      <c r="E203" s="128"/>
      <c r="F203" s="128"/>
      <c r="G203" s="128"/>
      <c r="H203" s="136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</row>
    <row r="204">
      <c r="A204" s="135"/>
      <c r="B204" s="136"/>
      <c r="C204" s="128"/>
      <c r="D204" s="128"/>
      <c r="E204" s="128"/>
      <c r="F204" s="128"/>
      <c r="G204" s="128"/>
      <c r="H204" s="136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</row>
    <row r="205">
      <c r="A205" s="135"/>
      <c r="B205" s="136"/>
      <c r="C205" s="128"/>
      <c r="D205" s="128"/>
      <c r="E205" s="128"/>
      <c r="F205" s="128"/>
      <c r="G205" s="128"/>
      <c r="H205" s="136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>
      <c r="A206" s="135"/>
      <c r="B206" s="136"/>
      <c r="C206" s="128"/>
      <c r="D206" s="128"/>
      <c r="E206" s="128"/>
      <c r="F206" s="128"/>
      <c r="G206" s="128"/>
      <c r="H206" s="136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>
      <c r="A207" s="135"/>
      <c r="B207" s="136"/>
      <c r="C207" s="128"/>
      <c r="D207" s="128"/>
      <c r="E207" s="128"/>
      <c r="F207" s="128"/>
      <c r="G207" s="128"/>
      <c r="H207" s="136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>
      <c r="A208" s="135"/>
      <c r="B208" s="136"/>
      <c r="C208" s="128"/>
      <c r="D208" s="128"/>
      <c r="E208" s="128"/>
      <c r="F208" s="128"/>
      <c r="G208" s="128"/>
      <c r="H208" s="136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</row>
    <row r="209">
      <c r="A209" s="135"/>
      <c r="B209" s="136"/>
      <c r="C209" s="128"/>
      <c r="D209" s="128"/>
      <c r="E209" s="128"/>
      <c r="F209" s="128"/>
      <c r="G209" s="128"/>
      <c r="H209" s="136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</row>
    <row r="210">
      <c r="A210" s="135"/>
      <c r="B210" s="136"/>
      <c r="C210" s="128"/>
      <c r="D210" s="128"/>
      <c r="E210" s="128"/>
      <c r="F210" s="128"/>
      <c r="G210" s="128"/>
      <c r="H210" s="136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>
      <c r="A211" s="135"/>
      <c r="B211" s="136"/>
      <c r="C211" s="128"/>
      <c r="D211" s="128"/>
      <c r="E211" s="128"/>
      <c r="F211" s="128"/>
      <c r="G211" s="128"/>
      <c r="H211" s="136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>
      <c r="A212" s="135"/>
      <c r="B212" s="136"/>
      <c r="C212" s="128"/>
      <c r="D212" s="128"/>
      <c r="E212" s="128"/>
      <c r="F212" s="128"/>
      <c r="G212" s="128"/>
      <c r="H212" s="136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</row>
    <row r="213">
      <c r="A213" s="135"/>
      <c r="B213" s="136"/>
      <c r="C213" s="128"/>
      <c r="D213" s="128"/>
      <c r="E213" s="128"/>
      <c r="F213" s="128"/>
      <c r="G213" s="128"/>
      <c r="H213" s="136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</row>
    <row r="214">
      <c r="A214" s="135"/>
      <c r="B214" s="136"/>
      <c r="C214" s="128"/>
      <c r="D214" s="128"/>
      <c r="E214" s="128"/>
      <c r="F214" s="128"/>
      <c r="G214" s="128"/>
      <c r="H214" s="136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</row>
    <row r="215">
      <c r="A215" s="135"/>
      <c r="B215" s="136"/>
      <c r="C215" s="128"/>
      <c r="D215" s="128"/>
      <c r="E215" s="128"/>
      <c r="F215" s="128"/>
      <c r="G215" s="128"/>
      <c r="H215" s="136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</row>
    <row r="216">
      <c r="A216" s="135"/>
      <c r="B216" s="136"/>
      <c r="C216" s="128"/>
      <c r="D216" s="128"/>
      <c r="E216" s="128"/>
      <c r="F216" s="128"/>
      <c r="G216" s="128"/>
      <c r="H216" s="136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>
      <c r="A217" s="135"/>
      <c r="B217" s="136"/>
      <c r="C217" s="128"/>
      <c r="D217" s="128"/>
      <c r="E217" s="128"/>
      <c r="F217" s="128"/>
      <c r="G217" s="128"/>
      <c r="H217" s="136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>
      <c r="A218" s="135"/>
      <c r="B218" s="136"/>
      <c r="C218" s="128"/>
      <c r="D218" s="128"/>
      <c r="E218" s="128"/>
      <c r="F218" s="128"/>
      <c r="G218" s="128"/>
      <c r="H218" s="136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</row>
    <row r="219">
      <c r="A219" s="135"/>
      <c r="B219" s="136"/>
      <c r="C219" s="128"/>
      <c r="D219" s="128"/>
      <c r="E219" s="128"/>
      <c r="F219" s="128"/>
      <c r="G219" s="128"/>
      <c r="H219" s="136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</row>
    <row r="220">
      <c r="A220" s="135"/>
      <c r="B220" s="136"/>
      <c r="C220" s="128"/>
      <c r="D220" s="128"/>
      <c r="E220" s="128"/>
      <c r="F220" s="128"/>
      <c r="G220" s="128"/>
      <c r="H220" s="136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>
      <c r="A221" s="135"/>
      <c r="B221" s="136"/>
      <c r="C221" s="128"/>
      <c r="D221" s="128"/>
      <c r="E221" s="128"/>
      <c r="F221" s="128"/>
      <c r="G221" s="128"/>
      <c r="H221" s="136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>
      <c r="A222" s="135"/>
      <c r="B222" s="136"/>
      <c r="C222" s="128"/>
      <c r="D222" s="128"/>
      <c r="E222" s="128"/>
      <c r="F222" s="128"/>
      <c r="G222" s="128"/>
      <c r="H222" s="136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</row>
    <row r="223">
      <c r="A223" s="135"/>
      <c r="B223" s="136"/>
      <c r="C223" s="128"/>
      <c r="D223" s="128"/>
      <c r="E223" s="128"/>
      <c r="F223" s="128"/>
      <c r="G223" s="128"/>
      <c r="H223" s="136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>
      <c r="A224" s="135"/>
      <c r="B224" s="136"/>
      <c r="C224" s="128"/>
      <c r="D224" s="128"/>
      <c r="E224" s="128"/>
      <c r="F224" s="128"/>
      <c r="G224" s="128"/>
      <c r="H224" s="136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>
      <c r="A225" s="135"/>
      <c r="B225" s="136"/>
      <c r="C225" s="128"/>
      <c r="D225" s="128"/>
      <c r="E225" s="128"/>
      <c r="F225" s="128"/>
      <c r="G225" s="128"/>
      <c r="H225" s="136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>
      <c r="A226" s="135"/>
      <c r="B226" s="136"/>
      <c r="C226" s="128"/>
      <c r="D226" s="128"/>
      <c r="E226" s="128"/>
      <c r="F226" s="128"/>
      <c r="G226" s="128"/>
      <c r="H226" s="136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>
      <c r="A227" s="135"/>
      <c r="B227" s="136"/>
      <c r="C227" s="128"/>
      <c r="D227" s="128"/>
      <c r="E227" s="128"/>
      <c r="F227" s="128"/>
      <c r="G227" s="128"/>
      <c r="H227" s="136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</row>
    <row r="228">
      <c r="A228" s="135"/>
      <c r="B228" s="136"/>
      <c r="C228" s="128"/>
      <c r="D228" s="128"/>
      <c r="E228" s="128"/>
      <c r="F228" s="128"/>
      <c r="G228" s="128"/>
      <c r="H228" s="136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</row>
    <row r="229">
      <c r="A229" s="135"/>
      <c r="B229" s="136"/>
      <c r="C229" s="128"/>
      <c r="D229" s="128"/>
      <c r="E229" s="128"/>
      <c r="F229" s="128"/>
      <c r="G229" s="128"/>
      <c r="H229" s="136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</row>
    <row r="230">
      <c r="A230" s="135"/>
      <c r="B230" s="136"/>
      <c r="C230" s="128"/>
      <c r="D230" s="128"/>
      <c r="E230" s="128"/>
      <c r="F230" s="128"/>
      <c r="G230" s="128"/>
      <c r="H230" s="136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</row>
    <row r="231">
      <c r="A231" s="135"/>
      <c r="B231" s="136"/>
      <c r="C231" s="128"/>
      <c r="D231" s="128"/>
      <c r="E231" s="128"/>
      <c r="F231" s="128"/>
      <c r="G231" s="128"/>
      <c r="H231" s="136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</row>
    <row r="232">
      <c r="A232" s="135"/>
      <c r="B232" s="136"/>
      <c r="C232" s="128"/>
      <c r="D232" s="128"/>
      <c r="E232" s="128"/>
      <c r="F232" s="128"/>
      <c r="G232" s="128"/>
      <c r="H232" s="136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>
      <c r="A233" s="135"/>
      <c r="B233" s="136"/>
      <c r="C233" s="128"/>
      <c r="D233" s="128"/>
      <c r="E233" s="128"/>
      <c r="F233" s="128"/>
      <c r="G233" s="128"/>
      <c r="H233" s="136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</row>
    <row r="234">
      <c r="A234" s="135"/>
      <c r="B234" s="136"/>
      <c r="C234" s="128"/>
      <c r="D234" s="128"/>
      <c r="E234" s="128"/>
      <c r="F234" s="128"/>
      <c r="G234" s="128"/>
      <c r="H234" s="136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</row>
    <row r="235">
      <c r="A235" s="135"/>
      <c r="B235" s="136"/>
      <c r="C235" s="128"/>
      <c r="D235" s="128"/>
      <c r="E235" s="128"/>
      <c r="F235" s="128"/>
      <c r="G235" s="128"/>
      <c r="H235" s="136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</row>
    <row r="236">
      <c r="A236" s="135"/>
      <c r="B236" s="136"/>
      <c r="C236" s="128"/>
      <c r="D236" s="128"/>
      <c r="E236" s="128"/>
      <c r="F236" s="128"/>
      <c r="G236" s="128"/>
      <c r="H236" s="136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>
      <c r="A237" s="135"/>
      <c r="B237" s="136"/>
      <c r="C237" s="128"/>
      <c r="D237" s="128"/>
      <c r="E237" s="128"/>
      <c r="F237" s="128"/>
      <c r="G237" s="128"/>
      <c r="H237" s="136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</row>
    <row r="238">
      <c r="A238" s="135"/>
      <c r="B238" s="136"/>
      <c r="C238" s="128"/>
      <c r="D238" s="128"/>
      <c r="E238" s="128"/>
      <c r="F238" s="128"/>
      <c r="G238" s="128"/>
      <c r="H238" s="136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>
      <c r="A239" s="135"/>
      <c r="B239" s="136"/>
      <c r="C239" s="128"/>
      <c r="D239" s="128"/>
      <c r="E239" s="128"/>
      <c r="F239" s="128"/>
      <c r="G239" s="128"/>
      <c r="H239" s="136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>
      <c r="A240" s="135"/>
      <c r="B240" s="136"/>
      <c r="C240" s="128"/>
      <c r="D240" s="128"/>
      <c r="E240" s="128"/>
      <c r="F240" s="128"/>
      <c r="G240" s="128"/>
      <c r="H240" s="136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>
      <c r="A241" s="135"/>
      <c r="B241" s="136"/>
      <c r="C241" s="128"/>
      <c r="D241" s="128"/>
      <c r="E241" s="128"/>
      <c r="F241" s="128"/>
      <c r="G241" s="128"/>
      <c r="H241" s="136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>
      <c r="A242" s="135"/>
      <c r="B242" s="136"/>
      <c r="C242" s="128"/>
      <c r="D242" s="128"/>
      <c r="E242" s="128"/>
      <c r="F242" s="128"/>
      <c r="G242" s="128"/>
      <c r="H242" s="136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>
      <c r="A243" s="135"/>
      <c r="B243" s="136"/>
      <c r="C243" s="128"/>
      <c r="D243" s="128"/>
      <c r="E243" s="128"/>
      <c r="F243" s="128"/>
      <c r="G243" s="128"/>
      <c r="H243" s="136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>
      <c r="A244" s="135"/>
      <c r="B244" s="136"/>
      <c r="C244" s="128"/>
      <c r="D244" s="128"/>
      <c r="E244" s="128"/>
      <c r="F244" s="128"/>
      <c r="G244" s="128"/>
      <c r="H244" s="136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>
      <c r="A245" s="135"/>
      <c r="B245" s="136"/>
      <c r="C245" s="128"/>
      <c r="D245" s="128"/>
      <c r="E245" s="128"/>
      <c r="F245" s="128"/>
      <c r="G245" s="128"/>
      <c r="H245" s="136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>
      <c r="A246" s="135"/>
      <c r="B246" s="136"/>
      <c r="C246" s="128"/>
      <c r="D246" s="128"/>
      <c r="E246" s="128"/>
      <c r="F246" s="128"/>
      <c r="G246" s="128"/>
      <c r="H246" s="136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>
      <c r="A247" s="135"/>
      <c r="B247" s="136"/>
      <c r="C247" s="128"/>
      <c r="D247" s="128"/>
      <c r="E247" s="128"/>
      <c r="F247" s="128"/>
      <c r="G247" s="128"/>
      <c r="H247" s="136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</row>
    <row r="248">
      <c r="A248" s="135"/>
      <c r="B248" s="136"/>
      <c r="C248" s="128"/>
      <c r="D248" s="128"/>
      <c r="E248" s="128"/>
      <c r="F248" s="128"/>
      <c r="G248" s="128"/>
      <c r="H248" s="136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</row>
    <row r="249">
      <c r="A249" s="135"/>
      <c r="B249" s="136"/>
      <c r="C249" s="128"/>
      <c r="D249" s="128"/>
      <c r="E249" s="128"/>
      <c r="F249" s="128"/>
      <c r="G249" s="128"/>
      <c r="H249" s="136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</row>
    <row r="250">
      <c r="A250" s="135"/>
      <c r="B250" s="136"/>
      <c r="C250" s="128"/>
      <c r="D250" s="128"/>
      <c r="E250" s="128"/>
      <c r="F250" s="128"/>
      <c r="G250" s="128"/>
      <c r="H250" s="136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>
      <c r="A251" s="135"/>
      <c r="B251" s="136"/>
      <c r="C251" s="128"/>
      <c r="D251" s="128"/>
      <c r="E251" s="128"/>
      <c r="F251" s="128"/>
      <c r="G251" s="128"/>
      <c r="H251" s="136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>
      <c r="A252" s="135"/>
      <c r="B252" s="136"/>
      <c r="C252" s="128"/>
      <c r="D252" s="128"/>
      <c r="E252" s="128"/>
      <c r="F252" s="128"/>
      <c r="G252" s="128"/>
      <c r="H252" s="136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>
      <c r="A253" s="135"/>
      <c r="B253" s="136"/>
      <c r="C253" s="128"/>
      <c r="D253" s="128"/>
      <c r="E253" s="128"/>
      <c r="F253" s="128"/>
      <c r="G253" s="128"/>
      <c r="H253" s="136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>
      <c r="A254" s="135"/>
      <c r="B254" s="136"/>
      <c r="C254" s="128"/>
      <c r="D254" s="128"/>
      <c r="E254" s="128"/>
      <c r="F254" s="128"/>
      <c r="G254" s="128"/>
      <c r="H254" s="136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</row>
    <row r="255">
      <c r="A255" s="135"/>
      <c r="B255" s="136"/>
      <c r="C255" s="128"/>
      <c r="D255" s="128"/>
      <c r="E255" s="128"/>
      <c r="F255" s="128"/>
      <c r="G255" s="128"/>
      <c r="H255" s="136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</row>
    <row r="256">
      <c r="A256" s="135"/>
      <c r="B256" s="136"/>
      <c r="C256" s="128"/>
      <c r="D256" s="128"/>
      <c r="E256" s="128"/>
      <c r="F256" s="128"/>
      <c r="G256" s="128"/>
      <c r="H256" s="136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</row>
    <row r="257">
      <c r="A257" s="135"/>
      <c r="B257" s="136"/>
      <c r="C257" s="128"/>
      <c r="D257" s="128"/>
      <c r="E257" s="128"/>
      <c r="F257" s="128"/>
      <c r="G257" s="128"/>
      <c r="H257" s="136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>
      <c r="A258" s="135"/>
      <c r="B258" s="136"/>
      <c r="C258" s="128"/>
      <c r="D258" s="128"/>
      <c r="E258" s="128"/>
      <c r="F258" s="128"/>
      <c r="G258" s="128"/>
      <c r="H258" s="136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>
      <c r="A259" s="135"/>
      <c r="B259" s="136"/>
      <c r="C259" s="128"/>
      <c r="D259" s="128"/>
      <c r="E259" s="128"/>
      <c r="F259" s="128"/>
      <c r="G259" s="128"/>
      <c r="H259" s="136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</row>
    <row r="260">
      <c r="A260" s="135"/>
      <c r="B260" s="136"/>
      <c r="C260" s="128"/>
      <c r="D260" s="128"/>
      <c r="E260" s="128"/>
      <c r="F260" s="128"/>
      <c r="G260" s="128"/>
      <c r="H260" s="136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>
      <c r="A261" s="135"/>
      <c r="B261" s="136"/>
      <c r="C261" s="128"/>
      <c r="D261" s="128"/>
      <c r="E261" s="128"/>
      <c r="F261" s="128"/>
      <c r="G261" s="128"/>
      <c r="H261" s="136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>
      <c r="A262" s="135"/>
      <c r="B262" s="136"/>
      <c r="C262" s="128"/>
      <c r="D262" s="128"/>
      <c r="E262" s="128"/>
      <c r="F262" s="128"/>
      <c r="G262" s="128"/>
      <c r="H262" s="136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>
      <c r="A263" s="135"/>
      <c r="B263" s="136"/>
      <c r="C263" s="128"/>
      <c r="D263" s="128"/>
      <c r="E263" s="128"/>
      <c r="F263" s="128"/>
      <c r="G263" s="128"/>
      <c r="H263" s="136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>
      <c r="A264" s="135"/>
      <c r="B264" s="136"/>
      <c r="C264" s="128"/>
      <c r="D264" s="128"/>
      <c r="E264" s="128"/>
      <c r="F264" s="128"/>
      <c r="G264" s="128"/>
      <c r="H264" s="136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>
      <c r="A265" s="135"/>
      <c r="B265" s="136"/>
      <c r="C265" s="128"/>
      <c r="D265" s="128"/>
      <c r="E265" s="128"/>
      <c r="F265" s="128"/>
      <c r="G265" s="128"/>
      <c r="H265" s="136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>
      <c r="A266" s="135"/>
      <c r="B266" s="136"/>
      <c r="C266" s="128"/>
      <c r="D266" s="128"/>
      <c r="E266" s="128"/>
      <c r="F266" s="128"/>
      <c r="G266" s="128"/>
      <c r="H266" s="136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>
      <c r="A267" s="135"/>
      <c r="B267" s="136"/>
      <c r="C267" s="128"/>
      <c r="D267" s="128"/>
      <c r="E267" s="128"/>
      <c r="F267" s="128"/>
      <c r="G267" s="128"/>
      <c r="H267" s="136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</row>
    <row r="268">
      <c r="A268" s="135"/>
      <c r="B268" s="136"/>
      <c r="C268" s="128"/>
      <c r="D268" s="128"/>
      <c r="E268" s="128"/>
      <c r="F268" s="128"/>
      <c r="G268" s="128"/>
      <c r="H268" s="136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</row>
    <row r="269">
      <c r="A269" s="135"/>
      <c r="B269" s="136"/>
      <c r="C269" s="128"/>
      <c r="D269" s="128"/>
      <c r="E269" s="128"/>
      <c r="F269" s="128"/>
      <c r="G269" s="128"/>
      <c r="H269" s="136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>
      <c r="A270" s="135"/>
      <c r="B270" s="136"/>
      <c r="C270" s="128"/>
      <c r="D270" s="128"/>
      <c r="E270" s="128"/>
      <c r="F270" s="128"/>
      <c r="G270" s="128"/>
      <c r="H270" s="136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</row>
    <row r="271">
      <c r="A271" s="135"/>
      <c r="B271" s="136"/>
      <c r="C271" s="128"/>
      <c r="D271" s="128"/>
      <c r="E271" s="128"/>
      <c r="F271" s="128"/>
      <c r="G271" s="128"/>
      <c r="H271" s="136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</row>
    <row r="272">
      <c r="A272" s="135"/>
      <c r="B272" s="136"/>
      <c r="C272" s="128"/>
      <c r="D272" s="128"/>
      <c r="E272" s="128"/>
      <c r="F272" s="128"/>
      <c r="G272" s="128"/>
      <c r="H272" s="136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>
      <c r="A273" s="135"/>
      <c r="B273" s="136"/>
      <c r="C273" s="128"/>
      <c r="D273" s="128"/>
      <c r="E273" s="128"/>
      <c r="F273" s="128"/>
      <c r="G273" s="128"/>
      <c r="H273" s="136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</row>
    <row r="274">
      <c r="A274" s="135"/>
      <c r="B274" s="136"/>
      <c r="C274" s="128"/>
      <c r="D274" s="128"/>
      <c r="E274" s="128"/>
      <c r="F274" s="128"/>
      <c r="G274" s="128"/>
      <c r="H274" s="136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>
      <c r="A275" s="135"/>
      <c r="B275" s="136"/>
      <c r="C275" s="128"/>
      <c r="D275" s="128"/>
      <c r="E275" s="128"/>
      <c r="F275" s="128"/>
      <c r="G275" s="128"/>
      <c r="H275" s="136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>
      <c r="A276" s="135"/>
      <c r="B276" s="136"/>
      <c r="C276" s="128"/>
      <c r="D276" s="128"/>
      <c r="E276" s="128"/>
      <c r="F276" s="128"/>
      <c r="G276" s="128"/>
      <c r="H276" s="136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>
      <c r="A277" s="135"/>
      <c r="B277" s="136"/>
      <c r="C277" s="128"/>
      <c r="D277" s="128"/>
      <c r="E277" s="128"/>
      <c r="F277" s="128"/>
      <c r="G277" s="128"/>
      <c r="H277" s="136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>
      <c r="A278" s="135"/>
      <c r="B278" s="136"/>
      <c r="C278" s="128"/>
      <c r="D278" s="128"/>
      <c r="E278" s="128"/>
      <c r="F278" s="128"/>
      <c r="G278" s="128"/>
      <c r="H278" s="136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</row>
    <row r="279">
      <c r="A279" s="135"/>
      <c r="B279" s="136"/>
      <c r="C279" s="128"/>
      <c r="D279" s="128"/>
      <c r="E279" s="128"/>
      <c r="F279" s="128"/>
      <c r="G279" s="128"/>
      <c r="H279" s="136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>
      <c r="A280" s="135"/>
      <c r="B280" s="136"/>
      <c r="C280" s="128"/>
      <c r="D280" s="128"/>
      <c r="E280" s="128"/>
      <c r="F280" s="128"/>
      <c r="G280" s="128"/>
      <c r="H280" s="136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</row>
    <row r="281">
      <c r="A281" s="135"/>
      <c r="B281" s="136"/>
      <c r="C281" s="128"/>
      <c r="D281" s="128"/>
      <c r="E281" s="128"/>
      <c r="F281" s="128"/>
      <c r="G281" s="128"/>
      <c r="H281" s="136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</row>
    <row r="282">
      <c r="A282" s="135"/>
      <c r="B282" s="136"/>
      <c r="C282" s="128"/>
      <c r="D282" s="128"/>
      <c r="E282" s="128"/>
      <c r="F282" s="128"/>
      <c r="G282" s="128"/>
      <c r="H282" s="136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>
      <c r="A283" s="135"/>
      <c r="B283" s="136"/>
      <c r="C283" s="128"/>
      <c r="D283" s="128"/>
      <c r="E283" s="128"/>
      <c r="F283" s="128"/>
      <c r="G283" s="128"/>
      <c r="H283" s="136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>
      <c r="A284" s="135"/>
      <c r="B284" s="136"/>
      <c r="C284" s="128"/>
      <c r="D284" s="128"/>
      <c r="E284" s="128"/>
      <c r="F284" s="128"/>
      <c r="G284" s="128"/>
      <c r="H284" s="136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</row>
    <row r="285">
      <c r="A285" s="135"/>
      <c r="B285" s="136"/>
      <c r="C285" s="128"/>
      <c r="D285" s="128"/>
      <c r="E285" s="128"/>
      <c r="F285" s="128"/>
      <c r="G285" s="128"/>
      <c r="H285" s="136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>
      <c r="A286" s="135"/>
      <c r="B286" s="136"/>
      <c r="C286" s="128"/>
      <c r="D286" s="128"/>
      <c r="E286" s="128"/>
      <c r="F286" s="128"/>
      <c r="G286" s="128"/>
      <c r="H286" s="136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>
      <c r="A287" s="135"/>
      <c r="B287" s="136"/>
      <c r="C287" s="128"/>
      <c r="D287" s="128"/>
      <c r="E287" s="128"/>
      <c r="F287" s="128"/>
      <c r="G287" s="128"/>
      <c r="H287" s="136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</row>
    <row r="288">
      <c r="A288" s="135"/>
      <c r="B288" s="136"/>
      <c r="C288" s="128"/>
      <c r="D288" s="128"/>
      <c r="E288" s="128"/>
      <c r="F288" s="128"/>
      <c r="G288" s="128"/>
      <c r="H288" s="136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>
      <c r="A289" s="135"/>
      <c r="B289" s="136"/>
      <c r="C289" s="128"/>
      <c r="D289" s="128"/>
      <c r="E289" s="128"/>
      <c r="F289" s="128"/>
      <c r="G289" s="128"/>
      <c r="H289" s="136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>
      <c r="A290" s="135"/>
      <c r="B290" s="136"/>
      <c r="C290" s="128"/>
      <c r="D290" s="128"/>
      <c r="E290" s="128"/>
      <c r="F290" s="128"/>
      <c r="G290" s="128"/>
      <c r="H290" s="136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>
      <c r="A291" s="135"/>
      <c r="B291" s="136"/>
      <c r="C291" s="128"/>
      <c r="D291" s="128"/>
      <c r="E291" s="128"/>
      <c r="F291" s="128"/>
      <c r="G291" s="128"/>
      <c r="H291" s="136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>
      <c r="A292" s="135"/>
      <c r="B292" s="136"/>
      <c r="C292" s="128"/>
      <c r="D292" s="128"/>
      <c r="E292" s="128"/>
      <c r="F292" s="128"/>
      <c r="G292" s="128"/>
      <c r="H292" s="136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>
      <c r="A293" s="135"/>
      <c r="B293" s="136"/>
      <c r="C293" s="128"/>
      <c r="D293" s="128"/>
      <c r="E293" s="128"/>
      <c r="F293" s="128"/>
      <c r="G293" s="128"/>
      <c r="H293" s="136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</row>
    <row r="294">
      <c r="A294" s="135"/>
      <c r="B294" s="136"/>
      <c r="C294" s="128"/>
      <c r="D294" s="128"/>
      <c r="E294" s="128"/>
      <c r="F294" s="128"/>
      <c r="G294" s="128"/>
      <c r="H294" s="136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>
      <c r="A295" s="135"/>
      <c r="B295" s="136"/>
      <c r="C295" s="128"/>
      <c r="D295" s="128"/>
      <c r="E295" s="128"/>
      <c r="F295" s="128"/>
      <c r="G295" s="128"/>
      <c r="H295" s="136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</row>
    <row r="296">
      <c r="A296" s="135"/>
      <c r="B296" s="136"/>
      <c r="C296" s="128"/>
      <c r="D296" s="128"/>
      <c r="E296" s="128"/>
      <c r="F296" s="128"/>
      <c r="G296" s="128"/>
      <c r="H296" s="136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>
      <c r="A297" s="135"/>
      <c r="B297" s="136"/>
      <c r="C297" s="128"/>
      <c r="D297" s="128"/>
      <c r="E297" s="128"/>
      <c r="F297" s="128"/>
      <c r="G297" s="128"/>
      <c r="H297" s="136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>
      <c r="A298" s="135"/>
      <c r="B298" s="136"/>
      <c r="C298" s="128"/>
      <c r="D298" s="128"/>
      <c r="E298" s="128"/>
      <c r="F298" s="128"/>
      <c r="G298" s="128"/>
      <c r="H298" s="136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>
      <c r="A299" s="135"/>
      <c r="B299" s="136"/>
      <c r="C299" s="128"/>
      <c r="D299" s="128"/>
      <c r="E299" s="128"/>
      <c r="F299" s="128"/>
      <c r="G299" s="128"/>
      <c r="H299" s="136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>
      <c r="A300" s="135"/>
      <c r="B300" s="136"/>
      <c r="C300" s="128"/>
      <c r="D300" s="128"/>
      <c r="E300" s="128"/>
      <c r="F300" s="128"/>
      <c r="G300" s="128"/>
      <c r="H300" s="136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>
      <c r="A301" s="135"/>
      <c r="B301" s="136"/>
      <c r="C301" s="128"/>
      <c r="D301" s="128"/>
      <c r="E301" s="128"/>
      <c r="F301" s="128"/>
      <c r="G301" s="128"/>
      <c r="H301" s="136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</row>
    <row r="302">
      <c r="A302" s="135"/>
      <c r="B302" s="136"/>
      <c r="C302" s="128"/>
      <c r="D302" s="128"/>
      <c r="E302" s="128"/>
      <c r="F302" s="128"/>
      <c r="G302" s="128"/>
      <c r="H302" s="136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>
      <c r="A303" s="135"/>
      <c r="B303" s="136"/>
      <c r="C303" s="128"/>
      <c r="D303" s="128"/>
      <c r="E303" s="128"/>
      <c r="F303" s="128"/>
      <c r="G303" s="128"/>
      <c r="H303" s="136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>
      <c r="A304" s="135"/>
      <c r="B304" s="136"/>
      <c r="C304" s="128"/>
      <c r="D304" s="128"/>
      <c r="E304" s="128"/>
      <c r="F304" s="128"/>
      <c r="G304" s="128"/>
      <c r="H304" s="136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>
      <c r="A305" s="135"/>
      <c r="B305" s="136"/>
      <c r="C305" s="128"/>
      <c r="D305" s="128"/>
      <c r="E305" s="128"/>
      <c r="F305" s="128"/>
      <c r="G305" s="128"/>
      <c r="H305" s="136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</row>
    <row r="306">
      <c r="A306" s="135"/>
      <c r="B306" s="136"/>
      <c r="C306" s="128"/>
      <c r="D306" s="128"/>
      <c r="E306" s="128"/>
      <c r="F306" s="128"/>
      <c r="G306" s="128"/>
      <c r="H306" s="136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</row>
    <row r="307">
      <c r="A307" s="135"/>
      <c r="B307" s="136"/>
      <c r="C307" s="128"/>
      <c r="D307" s="128"/>
      <c r="E307" s="128"/>
      <c r="F307" s="128"/>
      <c r="G307" s="128"/>
      <c r="H307" s="136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</row>
    <row r="308">
      <c r="A308" s="135"/>
      <c r="B308" s="136"/>
      <c r="C308" s="128"/>
      <c r="D308" s="128"/>
      <c r="E308" s="128"/>
      <c r="F308" s="128"/>
      <c r="G308" s="128"/>
      <c r="H308" s="136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>
      <c r="A309" s="135"/>
      <c r="B309" s="136"/>
      <c r="C309" s="128"/>
      <c r="D309" s="128"/>
      <c r="E309" s="128"/>
      <c r="F309" s="128"/>
      <c r="G309" s="128"/>
      <c r="H309" s="136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</row>
    <row r="310">
      <c r="A310" s="135"/>
      <c r="B310" s="136"/>
      <c r="C310" s="128"/>
      <c r="D310" s="128"/>
      <c r="E310" s="128"/>
      <c r="F310" s="128"/>
      <c r="G310" s="128"/>
      <c r="H310" s="136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>
      <c r="A311" s="135"/>
      <c r="B311" s="136"/>
      <c r="C311" s="128"/>
      <c r="D311" s="128"/>
      <c r="E311" s="128"/>
      <c r="F311" s="128"/>
      <c r="G311" s="128"/>
      <c r="H311" s="136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>
      <c r="A312" s="135"/>
      <c r="B312" s="136"/>
      <c r="C312" s="128"/>
      <c r="D312" s="128"/>
      <c r="E312" s="128"/>
      <c r="F312" s="128"/>
      <c r="G312" s="128"/>
      <c r="H312" s="136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>
      <c r="A313" s="135"/>
      <c r="B313" s="136"/>
      <c r="C313" s="128"/>
      <c r="D313" s="128"/>
      <c r="E313" s="128"/>
      <c r="F313" s="128"/>
      <c r="G313" s="128"/>
      <c r="H313" s="136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</row>
    <row r="314">
      <c r="A314" s="135"/>
      <c r="B314" s="136"/>
      <c r="C314" s="128"/>
      <c r="D314" s="128"/>
      <c r="E314" s="128"/>
      <c r="F314" s="128"/>
      <c r="G314" s="128"/>
      <c r="H314" s="136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</row>
    <row r="315">
      <c r="A315" s="135"/>
      <c r="B315" s="136"/>
      <c r="C315" s="128"/>
      <c r="D315" s="128"/>
      <c r="E315" s="128"/>
      <c r="F315" s="128"/>
      <c r="G315" s="128"/>
      <c r="H315" s="136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</row>
    <row r="316">
      <c r="A316" s="135"/>
      <c r="B316" s="136"/>
      <c r="C316" s="128"/>
      <c r="D316" s="128"/>
      <c r="E316" s="128"/>
      <c r="F316" s="128"/>
      <c r="G316" s="128"/>
      <c r="H316" s="136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>
      <c r="A317" s="135"/>
      <c r="B317" s="136"/>
      <c r="C317" s="128"/>
      <c r="D317" s="128"/>
      <c r="E317" s="128"/>
      <c r="F317" s="128"/>
      <c r="G317" s="128"/>
      <c r="H317" s="136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>
      <c r="A318" s="135"/>
      <c r="B318" s="136"/>
      <c r="C318" s="128"/>
      <c r="D318" s="128"/>
      <c r="E318" s="128"/>
      <c r="F318" s="128"/>
      <c r="G318" s="128"/>
      <c r="H318" s="136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>
      <c r="A319" s="135"/>
      <c r="B319" s="136"/>
      <c r="C319" s="128"/>
      <c r="D319" s="128"/>
      <c r="E319" s="128"/>
      <c r="F319" s="128"/>
      <c r="G319" s="128"/>
      <c r="H319" s="136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>
      <c r="A320" s="135"/>
      <c r="B320" s="136"/>
      <c r="C320" s="128"/>
      <c r="D320" s="128"/>
      <c r="E320" s="128"/>
      <c r="F320" s="128"/>
      <c r="G320" s="128"/>
      <c r="H320" s="136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</row>
    <row r="321">
      <c r="A321" s="135"/>
      <c r="B321" s="136"/>
      <c r="C321" s="128"/>
      <c r="D321" s="128"/>
      <c r="E321" s="128"/>
      <c r="F321" s="128"/>
      <c r="G321" s="128"/>
      <c r="H321" s="136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</row>
    <row r="322">
      <c r="A322" s="135"/>
      <c r="B322" s="136"/>
      <c r="C322" s="128"/>
      <c r="D322" s="128"/>
      <c r="E322" s="128"/>
      <c r="F322" s="128"/>
      <c r="G322" s="128"/>
      <c r="H322" s="136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>
      <c r="A323" s="135"/>
      <c r="B323" s="136"/>
      <c r="C323" s="128"/>
      <c r="D323" s="128"/>
      <c r="E323" s="128"/>
      <c r="F323" s="128"/>
      <c r="G323" s="128"/>
      <c r="H323" s="136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>
      <c r="A324" s="135"/>
      <c r="B324" s="136"/>
      <c r="C324" s="128"/>
      <c r="D324" s="128"/>
      <c r="E324" s="128"/>
      <c r="F324" s="128"/>
      <c r="G324" s="128"/>
      <c r="H324" s="136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>
      <c r="A325" s="135"/>
      <c r="B325" s="136"/>
      <c r="C325" s="128"/>
      <c r="D325" s="128"/>
      <c r="E325" s="128"/>
      <c r="F325" s="128"/>
      <c r="G325" s="128"/>
      <c r="H325" s="136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>
      <c r="A326" s="135"/>
      <c r="B326" s="136"/>
      <c r="C326" s="128"/>
      <c r="D326" s="128"/>
      <c r="E326" s="128"/>
      <c r="F326" s="128"/>
      <c r="G326" s="128"/>
      <c r="H326" s="136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>
      <c r="A327" s="135"/>
      <c r="B327" s="136"/>
      <c r="C327" s="128"/>
      <c r="D327" s="128"/>
      <c r="E327" s="128"/>
      <c r="F327" s="128"/>
      <c r="G327" s="128"/>
      <c r="H327" s="136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</row>
    <row r="328">
      <c r="A328" s="135"/>
      <c r="B328" s="136"/>
      <c r="C328" s="128"/>
      <c r="D328" s="128"/>
      <c r="E328" s="128"/>
      <c r="F328" s="128"/>
      <c r="G328" s="128"/>
      <c r="H328" s="136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>
      <c r="A329" s="135"/>
      <c r="B329" s="136"/>
      <c r="C329" s="128"/>
      <c r="D329" s="128"/>
      <c r="E329" s="128"/>
      <c r="F329" s="128"/>
      <c r="G329" s="128"/>
      <c r="H329" s="136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>
      <c r="A330" s="135"/>
      <c r="B330" s="136"/>
      <c r="C330" s="128"/>
      <c r="D330" s="128"/>
      <c r="E330" s="128"/>
      <c r="F330" s="128"/>
      <c r="G330" s="128"/>
      <c r="H330" s="136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</row>
    <row r="331">
      <c r="A331" s="135"/>
      <c r="B331" s="136"/>
      <c r="C331" s="128"/>
      <c r="D331" s="128"/>
      <c r="E331" s="128"/>
      <c r="F331" s="128"/>
      <c r="G331" s="128"/>
      <c r="H331" s="136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>
      <c r="A332" s="135"/>
      <c r="B332" s="136"/>
      <c r="C332" s="128"/>
      <c r="D332" s="128"/>
      <c r="E332" s="128"/>
      <c r="F332" s="128"/>
      <c r="G332" s="128"/>
      <c r="H332" s="136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>
      <c r="A333" s="135"/>
      <c r="B333" s="136"/>
      <c r="C333" s="128"/>
      <c r="D333" s="128"/>
      <c r="E333" s="128"/>
      <c r="F333" s="128"/>
      <c r="G333" s="128"/>
      <c r="H333" s="136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>
      <c r="A334" s="135"/>
      <c r="B334" s="136"/>
      <c r="C334" s="128"/>
      <c r="D334" s="128"/>
      <c r="E334" s="128"/>
      <c r="F334" s="128"/>
      <c r="G334" s="128"/>
      <c r="H334" s="136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</row>
    <row r="335">
      <c r="A335" s="135"/>
      <c r="B335" s="136"/>
      <c r="C335" s="128"/>
      <c r="D335" s="128"/>
      <c r="E335" s="128"/>
      <c r="F335" s="128"/>
      <c r="G335" s="128"/>
      <c r="H335" s="136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</row>
    <row r="336">
      <c r="A336" s="135"/>
      <c r="B336" s="136"/>
      <c r="C336" s="128"/>
      <c r="D336" s="128"/>
      <c r="E336" s="128"/>
      <c r="F336" s="128"/>
      <c r="G336" s="128"/>
      <c r="H336" s="136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>
      <c r="A337" s="135"/>
      <c r="B337" s="136"/>
      <c r="C337" s="128"/>
      <c r="D337" s="128"/>
      <c r="E337" s="128"/>
      <c r="F337" s="128"/>
      <c r="G337" s="128"/>
      <c r="H337" s="136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</row>
    <row r="338">
      <c r="A338" s="135"/>
      <c r="B338" s="136"/>
      <c r="C338" s="128"/>
      <c r="D338" s="128"/>
      <c r="E338" s="128"/>
      <c r="F338" s="128"/>
      <c r="G338" s="128"/>
      <c r="H338" s="136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>
      <c r="A339" s="135"/>
      <c r="B339" s="136"/>
      <c r="C339" s="128"/>
      <c r="D339" s="128"/>
      <c r="E339" s="128"/>
      <c r="F339" s="128"/>
      <c r="G339" s="128"/>
      <c r="H339" s="136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>
      <c r="A340" s="135"/>
      <c r="B340" s="136"/>
      <c r="C340" s="128"/>
      <c r="D340" s="128"/>
      <c r="E340" s="128"/>
      <c r="F340" s="128"/>
      <c r="G340" s="128"/>
      <c r="H340" s="136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>
      <c r="A341" s="135"/>
      <c r="B341" s="136"/>
      <c r="C341" s="128"/>
      <c r="D341" s="128"/>
      <c r="E341" s="128"/>
      <c r="F341" s="128"/>
      <c r="G341" s="128"/>
      <c r="H341" s="136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>
      <c r="A342" s="135"/>
      <c r="B342" s="136"/>
      <c r="C342" s="128"/>
      <c r="D342" s="128"/>
      <c r="E342" s="128"/>
      <c r="F342" s="128"/>
      <c r="G342" s="128"/>
      <c r="H342" s="136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>
      <c r="A343" s="135"/>
      <c r="B343" s="136"/>
      <c r="C343" s="128"/>
      <c r="D343" s="128"/>
      <c r="E343" s="128"/>
      <c r="F343" s="128"/>
      <c r="G343" s="128"/>
      <c r="H343" s="136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>
      <c r="A344" s="135"/>
      <c r="B344" s="136"/>
      <c r="C344" s="128"/>
      <c r="D344" s="128"/>
      <c r="E344" s="128"/>
      <c r="F344" s="128"/>
      <c r="G344" s="128"/>
      <c r="H344" s="136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>
      <c r="A345" s="135"/>
      <c r="B345" s="136"/>
      <c r="C345" s="128"/>
      <c r="D345" s="128"/>
      <c r="E345" s="128"/>
      <c r="F345" s="128"/>
      <c r="G345" s="128"/>
      <c r="H345" s="136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>
      <c r="A346" s="135"/>
      <c r="B346" s="136"/>
      <c r="C346" s="128"/>
      <c r="D346" s="128"/>
      <c r="E346" s="128"/>
      <c r="F346" s="128"/>
      <c r="G346" s="128"/>
      <c r="H346" s="136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>
      <c r="A347" s="135"/>
      <c r="B347" s="136"/>
      <c r="C347" s="128"/>
      <c r="D347" s="128"/>
      <c r="E347" s="128"/>
      <c r="F347" s="128"/>
      <c r="G347" s="128"/>
      <c r="H347" s="136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>
      <c r="A348" s="135"/>
      <c r="B348" s="136"/>
      <c r="C348" s="128"/>
      <c r="D348" s="128"/>
      <c r="E348" s="128"/>
      <c r="F348" s="128"/>
      <c r="G348" s="128"/>
      <c r="H348" s="136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>
      <c r="A349" s="135"/>
      <c r="B349" s="136"/>
      <c r="C349" s="128"/>
      <c r="D349" s="128"/>
      <c r="E349" s="128"/>
      <c r="F349" s="128"/>
      <c r="G349" s="128"/>
      <c r="H349" s="136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>
      <c r="A350" s="135"/>
      <c r="B350" s="136"/>
      <c r="C350" s="128"/>
      <c r="D350" s="128"/>
      <c r="E350" s="128"/>
      <c r="F350" s="128"/>
      <c r="G350" s="128"/>
      <c r="H350" s="136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</row>
    <row r="351">
      <c r="A351" s="135"/>
      <c r="B351" s="136"/>
      <c r="C351" s="128"/>
      <c r="D351" s="128"/>
      <c r="E351" s="128"/>
      <c r="F351" s="128"/>
      <c r="G351" s="128"/>
      <c r="H351" s="136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>
      <c r="A352" s="135"/>
      <c r="B352" s="136"/>
      <c r="C352" s="128"/>
      <c r="D352" s="128"/>
      <c r="E352" s="128"/>
      <c r="F352" s="128"/>
      <c r="G352" s="128"/>
      <c r="H352" s="136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</row>
    <row r="353">
      <c r="A353" s="135"/>
      <c r="B353" s="136"/>
      <c r="C353" s="128"/>
      <c r="D353" s="128"/>
      <c r="E353" s="128"/>
      <c r="F353" s="128"/>
      <c r="G353" s="128"/>
      <c r="H353" s="136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>
      <c r="A354" s="135"/>
      <c r="B354" s="136"/>
      <c r="C354" s="128"/>
      <c r="D354" s="128"/>
      <c r="E354" s="128"/>
      <c r="F354" s="128"/>
      <c r="G354" s="128"/>
      <c r="H354" s="136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</row>
    <row r="355">
      <c r="A355" s="135"/>
      <c r="B355" s="136"/>
      <c r="C355" s="128"/>
      <c r="D355" s="128"/>
      <c r="E355" s="128"/>
      <c r="F355" s="128"/>
      <c r="G355" s="128"/>
      <c r="H355" s="136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</row>
    <row r="356">
      <c r="A356" s="135"/>
      <c r="B356" s="136"/>
      <c r="C356" s="128"/>
      <c r="D356" s="128"/>
      <c r="E356" s="128"/>
      <c r="F356" s="128"/>
      <c r="G356" s="128"/>
      <c r="H356" s="136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>
      <c r="A357" s="135"/>
      <c r="B357" s="136"/>
      <c r="C357" s="128"/>
      <c r="D357" s="128"/>
      <c r="E357" s="128"/>
      <c r="F357" s="128"/>
      <c r="G357" s="128"/>
      <c r="H357" s="136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>
      <c r="A358" s="135"/>
      <c r="B358" s="136"/>
      <c r="C358" s="128"/>
      <c r="D358" s="128"/>
      <c r="E358" s="128"/>
      <c r="F358" s="128"/>
      <c r="G358" s="128"/>
      <c r="H358" s="136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</row>
    <row r="359">
      <c r="A359" s="135"/>
      <c r="B359" s="136"/>
      <c r="C359" s="128"/>
      <c r="D359" s="128"/>
      <c r="E359" s="128"/>
      <c r="F359" s="128"/>
      <c r="G359" s="128"/>
      <c r="H359" s="136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>
      <c r="A360" s="135"/>
      <c r="B360" s="136"/>
      <c r="C360" s="128"/>
      <c r="D360" s="128"/>
      <c r="E360" s="128"/>
      <c r="F360" s="128"/>
      <c r="G360" s="128"/>
      <c r="H360" s="136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>
      <c r="A361" s="135"/>
      <c r="B361" s="136"/>
      <c r="C361" s="128"/>
      <c r="D361" s="128"/>
      <c r="E361" s="128"/>
      <c r="F361" s="128"/>
      <c r="G361" s="128"/>
      <c r="H361" s="136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>
      <c r="A362" s="135"/>
      <c r="B362" s="136"/>
      <c r="C362" s="128"/>
      <c r="D362" s="128"/>
      <c r="E362" s="128"/>
      <c r="F362" s="128"/>
      <c r="G362" s="128"/>
      <c r="H362" s="136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>
      <c r="A363" s="135"/>
      <c r="B363" s="136"/>
      <c r="C363" s="128"/>
      <c r="D363" s="128"/>
      <c r="E363" s="128"/>
      <c r="F363" s="128"/>
      <c r="G363" s="128"/>
      <c r="H363" s="136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</row>
    <row r="364">
      <c r="A364" s="135"/>
      <c r="B364" s="136"/>
      <c r="C364" s="128"/>
      <c r="D364" s="128"/>
      <c r="E364" s="128"/>
      <c r="F364" s="128"/>
      <c r="G364" s="128"/>
      <c r="H364" s="136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>
      <c r="A365" s="135"/>
      <c r="B365" s="136"/>
      <c r="C365" s="128"/>
      <c r="D365" s="128"/>
      <c r="E365" s="128"/>
      <c r="F365" s="128"/>
      <c r="G365" s="128"/>
      <c r="H365" s="136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>
      <c r="A366" s="135"/>
      <c r="B366" s="136"/>
      <c r="C366" s="128"/>
      <c r="D366" s="128"/>
      <c r="E366" s="128"/>
      <c r="F366" s="128"/>
      <c r="G366" s="128"/>
      <c r="H366" s="136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</row>
    <row r="367">
      <c r="A367" s="135"/>
      <c r="B367" s="136"/>
      <c r="C367" s="128"/>
      <c r="D367" s="128"/>
      <c r="E367" s="128"/>
      <c r="F367" s="128"/>
      <c r="G367" s="128"/>
      <c r="H367" s="136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</row>
    <row r="368">
      <c r="A368" s="135"/>
      <c r="B368" s="136"/>
      <c r="C368" s="128"/>
      <c r="D368" s="128"/>
      <c r="E368" s="128"/>
      <c r="F368" s="128"/>
      <c r="G368" s="128"/>
      <c r="H368" s="136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>
      <c r="A369" s="135"/>
      <c r="B369" s="136"/>
      <c r="C369" s="128"/>
      <c r="D369" s="128"/>
      <c r="E369" s="128"/>
      <c r="F369" s="128"/>
      <c r="G369" s="128"/>
      <c r="H369" s="136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>
      <c r="A370" s="135"/>
      <c r="B370" s="136"/>
      <c r="C370" s="128"/>
      <c r="D370" s="128"/>
      <c r="E370" s="128"/>
      <c r="F370" s="128"/>
      <c r="G370" s="128"/>
      <c r="H370" s="136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>
      <c r="A371" s="135"/>
      <c r="B371" s="136"/>
      <c r="C371" s="128"/>
      <c r="D371" s="128"/>
      <c r="E371" s="128"/>
      <c r="F371" s="128"/>
      <c r="G371" s="128"/>
      <c r="H371" s="136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>
      <c r="A372" s="135"/>
      <c r="B372" s="136"/>
      <c r="C372" s="128"/>
      <c r="D372" s="128"/>
      <c r="E372" s="128"/>
      <c r="F372" s="128"/>
      <c r="G372" s="128"/>
      <c r="H372" s="136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>
      <c r="A373" s="135"/>
      <c r="B373" s="136"/>
      <c r="C373" s="128"/>
      <c r="D373" s="128"/>
      <c r="E373" s="128"/>
      <c r="F373" s="128"/>
      <c r="G373" s="128"/>
      <c r="H373" s="136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</row>
    <row r="374">
      <c r="A374" s="135"/>
      <c r="B374" s="136"/>
      <c r="C374" s="128"/>
      <c r="D374" s="128"/>
      <c r="E374" s="128"/>
      <c r="F374" s="128"/>
      <c r="G374" s="128"/>
      <c r="H374" s="136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</row>
    <row r="375">
      <c r="A375" s="135"/>
      <c r="B375" s="136"/>
      <c r="C375" s="128"/>
      <c r="D375" s="128"/>
      <c r="E375" s="128"/>
      <c r="F375" s="128"/>
      <c r="G375" s="128"/>
      <c r="H375" s="136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</row>
    <row r="376">
      <c r="A376" s="135"/>
      <c r="B376" s="136"/>
      <c r="C376" s="128"/>
      <c r="D376" s="128"/>
      <c r="E376" s="128"/>
      <c r="F376" s="128"/>
      <c r="G376" s="128"/>
      <c r="H376" s="136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>
      <c r="A377" s="135"/>
      <c r="B377" s="136"/>
      <c r="C377" s="128"/>
      <c r="D377" s="128"/>
      <c r="E377" s="128"/>
      <c r="F377" s="128"/>
      <c r="G377" s="128"/>
      <c r="H377" s="136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>
      <c r="A378" s="135"/>
      <c r="B378" s="136"/>
      <c r="C378" s="128"/>
      <c r="D378" s="128"/>
      <c r="E378" s="128"/>
      <c r="F378" s="128"/>
      <c r="G378" s="128"/>
      <c r="H378" s="136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</row>
    <row r="379">
      <c r="A379" s="135"/>
      <c r="B379" s="136"/>
      <c r="C379" s="128"/>
      <c r="D379" s="128"/>
      <c r="E379" s="128"/>
      <c r="F379" s="128"/>
      <c r="G379" s="128"/>
      <c r="H379" s="136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>
      <c r="A380" s="135"/>
      <c r="B380" s="136"/>
      <c r="C380" s="128"/>
      <c r="D380" s="128"/>
      <c r="E380" s="128"/>
      <c r="F380" s="128"/>
      <c r="G380" s="128"/>
      <c r="H380" s="136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>
      <c r="A381" s="135"/>
      <c r="B381" s="136"/>
      <c r="C381" s="128"/>
      <c r="D381" s="128"/>
      <c r="E381" s="128"/>
      <c r="F381" s="128"/>
      <c r="G381" s="128"/>
      <c r="H381" s="136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>
      <c r="A382" s="135"/>
      <c r="B382" s="136"/>
      <c r="C382" s="128"/>
      <c r="D382" s="128"/>
      <c r="E382" s="128"/>
      <c r="F382" s="128"/>
      <c r="G382" s="128"/>
      <c r="H382" s="136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</row>
    <row r="383">
      <c r="A383" s="135"/>
      <c r="B383" s="136"/>
      <c r="C383" s="128"/>
      <c r="D383" s="128"/>
      <c r="E383" s="128"/>
      <c r="F383" s="128"/>
      <c r="G383" s="128"/>
      <c r="H383" s="136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</row>
    <row r="384">
      <c r="A384" s="135"/>
      <c r="B384" s="136"/>
      <c r="C384" s="128"/>
      <c r="D384" s="128"/>
      <c r="E384" s="128"/>
      <c r="F384" s="128"/>
      <c r="G384" s="128"/>
      <c r="H384" s="136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</row>
    <row r="385">
      <c r="A385" s="135"/>
      <c r="B385" s="136"/>
      <c r="C385" s="128"/>
      <c r="D385" s="128"/>
      <c r="E385" s="128"/>
      <c r="F385" s="128"/>
      <c r="G385" s="128"/>
      <c r="H385" s="136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>
      <c r="A386" s="135"/>
      <c r="B386" s="136"/>
      <c r="C386" s="128"/>
      <c r="D386" s="128"/>
      <c r="E386" s="128"/>
      <c r="F386" s="128"/>
      <c r="G386" s="128"/>
      <c r="H386" s="136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>
      <c r="A387" s="135"/>
      <c r="B387" s="136"/>
      <c r="C387" s="128"/>
      <c r="D387" s="128"/>
      <c r="E387" s="128"/>
      <c r="F387" s="128"/>
      <c r="G387" s="128"/>
      <c r="H387" s="136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</row>
    <row r="388">
      <c r="A388" s="135"/>
      <c r="B388" s="136"/>
      <c r="C388" s="128"/>
      <c r="D388" s="128"/>
      <c r="E388" s="128"/>
      <c r="F388" s="128"/>
      <c r="G388" s="128"/>
      <c r="H388" s="136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>
      <c r="A389" s="135"/>
      <c r="B389" s="136"/>
      <c r="C389" s="128"/>
      <c r="D389" s="128"/>
      <c r="E389" s="128"/>
      <c r="F389" s="128"/>
      <c r="G389" s="128"/>
      <c r="H389" s="136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>
      <c r="A390" s="135"/>
      <c r="B390" s="136"/>
      <c r="C390" s="128"/>
      <c r="D390" s="128"/>
      <c r="E390" s="128"/>
      <c r="F390" s="128"/>
      <c r="G390" s="128"/>
      <c r="H390" s="136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>
      <c r="A391" s="135"/>
      <c r="B391" s="136"/>
      <c r="C391" s="128"/>
      <c r="D391" s="128"/>
      <c r="E391" s="128"/>
      <c r="F391" s="128"/>
      <c r="G391" s="128"/>
      <c r="H391" s="136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</row>
    <row r="392">
      <c r="A392" s="135"/>
      <c r="B392" s="136"/>
      <c r="C392" s="128"/>
      <c r="D392" s="128"/>
      <c r="E392" s="128"/>
      <c r="F392" s="128"/>
      <c r="G392" s="128"/>
      <c r="H392" s="136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>
      <c r="A393" s="135"/>
      <c r="B393" s="136"/>
      <c r="C393" s="128"/>
      <c r="D393" s="128"/>
      <c r="E393" s="128"/>
      <c r="F393" s="128"/>
      <c r="G393" s="128"/>
      <c r="H393" s="136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>
      <c r="A394" s="135"/>
      <c r="B394" s="136"/>
      <c r="C394" s="128"/>
      <c r="D394" s="128"/>
      <c r="E394" s="128"/>
      <c r="F394" s="128"/>
      <c r="G394" s="128"/>
      <c r="H394" s="136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>
      <c r="A395" s="135"/>
      <c r="B395" s="136"/>
      <c r="C395" s="128"/>
      <c r="D395" s="128"/>
      <c r="E395" s="128"/>
      <c r="F395" s="128"/>
      <c r="G395" s="128"/>
      <c r="H395" s="136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>
      <c r="A396" s="135"/>
      <c r="B396" s="136"/>
      <c r="C396" s="128"/>
      <c r="D396" s="128"/>
      <c r="E396" s="128"/>
      <c r="F396" s="128"/>
      <c r="G396" s="128"/>
      <c r="H396" s="136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>
      <c r="A397" s="135"/>
      <c r="B397" s="136"/>
      <c r="C397" s="128"/>
      <c r="D397" s="128"/>
      <c r="E397" s="128"/>
      <c r="F397" s="128"/>
      <c r="G397" s="128"/>
      <c r="H397" s="136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>
      <c r="A398" s="135"/>
      <c r="B398" s="136"/>
      <c r="C398" s="128"/>
      <c r="D398" s="128"/>
      <c r="E398" s="128"/>
      <c r="F398" s="128"/>
      <c r="G398" s="128"/>
      <c r="H398" s="136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>
      <c r="A399" s="135"/>
      <c r="B399" s="136"/>
      <c r="C399" s="128"/>
      <c r="D399" s="128"/>
      <c r="E399" s="128"/>
      <c r="F399" s="128"/>
      <c r="G399" s="128"/>
      <c r="H399" s="136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>
      <c r="A400" s="135"/>
      <c r="B400" s="136"/>
      <c r="C400" s="128"/>
      <c r="D400" s="128"/>
      <c r="E400" s="128"/>
      <c r="F400" s="128"/>
      <c r="G400" s="128"/>
      <c r="H400" s="136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</row>
    <row r="401">
      <c r="A401" s="135"/>
      <c r="B401" s="136"/>
      <c r="C401" s="128"/>
      <c r="D401" s="128"/>
      <c r="E401" s="128"/>
      <c r="F401" s="128"/>
      <c r="G401" s="128"/>
      <c r="H401" s="136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>
      <c r="A402" s="135"/>
      <c r="B402" s="136"/>
      <c r="C402" s="128"/>
      <c r="D402" s="128"/>
      <c r="E402" s="128"/>
      <c r="F402" s="128"/>
      <c r="G402" s="128"/>
      <c r="H402" s="136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>
      <c r="A403" s="135"/>
      <c r="B403" s="136"/>
      <c r="C403" s="128"/>
      <c r="D403" s="128"/>
      <c r="E403" s="128"/>
      <c r="F403" s="128"/>
      <c r="G403" s="128"/>
      <c r="H403" s="136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>
      <c r="A404" s="135"/>
      <c r="B404" s="136"/>
      <c r="C404" s="128"/>
      <c r="D404" s="128"/>
      <c r="E404" s="128"/>
      <c r="F404" s="128"/>
      <c r="G404" s="128"/>
      <c r="H404" s="136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</row>
    <row r="405">
      <c r="A405" s="135"/>
      <c r="B405" s="136"/>
      <c r="C405" s="128"/>
      <c r="D405" s="128"/>
      <c r="E405" s="128"/>
      <c r="F405" s="128"/>
      <c r="G405" s="128"/>
      <c r="H405" s="136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>
      <c r="A406" s="135"/>
      <c r="B406" s="136"/>
      <c r="C406" s="128"/>
      <c r="D406" s="128"/>
      <c r="E406" s="128"/>
      <c r="F406" s="128"/>
      <c r="G406" s="128"/>
      <c r="H406" s="136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</row>
    <row r="407">
      <c r="A407" s="135"/>
      <c r="B407" s="136"/>
      <c r="C407" s="128"/>
      <c r="D407" s="128"/>
      <c r="E407" s="128"/>
      <c r="F407" s="128"/>
      <c r="G407" s="128"/>
      <c r="H407" s="136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>
      <c r="A408" s="135"/>
      <c r="B408" s="136"/>
      <c r="C408" s="128"/>
      <c r="D408" s="128"/>
      <c r="E408" s="128"/>
      <c r="F408" s="128"/>
      <c r="G408" s="128"/>
      <c r="H408" s="136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>
      <c r="A409" s="135"/>
      <c r="B409" s="136"/>
      <c r="C409" s="128"/>
      <c r="D409" s="128"/>
      <c r="E409" s="128"/>
      <c r="F409" s="128"/>
      <c r="G409" s="128"/>
      <c r="H409" s="136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>
      <c r="A410" s="135"/>
      <c r="B410" s="136"/>
      <c r="C410" s="128"/>
      <c r="D410" s="128"/>
      <c r="E410" s="128"/>
      <c r="F410" s="128"/>
      <c r="G410" s="128"/>
      <c r="H410" s="136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</row>
    <row r="411">
      <c r="A411" s="135"/>
      <c r="B411" s="136"/>
      <c r="C411" s="128"/>
      <c r="D411" s="128"/>
      <c r="E411" s="128"/>
      <c r="F411" s="128"/>
      <c r="G411" s="128"/>
      <c r="H411" s="136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</row>
    <row r="412">
      <c r="A412" s="135"/>
      <c r="B412" s="136"/>
      <c r="C412" s="128"/>
      <c r="D412" s="128"/>
      <c r="E412" s="128"/>
      <c r="F412" s="128"/>
      <c r="G412" s="128"/>
      <c r="H412" s="136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>
      <c r="A413" s="135"/>
      <c r="B413" s="136"/>
      <c r="C413" s="128"/>
      <c r="D413" s="128"/>
      <c r="E413" s="128"/>
      <c r="F413" s="128"/>
      <c r="G413" s="128"/>
      <c r="H413" s="136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</row>
    <row r="414">
      <c r="A414" s="135"/>
      <c r="B414" s="136"/>
      <c r="C414" s="128"/>
      <c r="D414" s="128"/>
      <c r="E414" s="128"/>
      <c r="F414" s="128"/>
      <c r="G414" s="128"/>
      <c r="H414" s="136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>
      <c r="A415" s="135"/>
      <c r="B415" s="136"/>
      <c r="C415" s="128"/>
      <c r="D415" s="128"/>
      <c r="E415" s="128"/>
      <c r="F415" s="128"/>
      <c r="G415" s="128"/>
      <c r="H415" s="136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>
      <c r="A416" s="135"/>
      <c r="B416" s="136"/>
      <c r="C416" s="128"/>
      <c r="D416" s="128"/>
      <c r="E416" s="128"/>
      <c r="F416" s="128"/>
      <c r="G416" s="128"/>
      <c r="H416" s="136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</row>
    <row r="417">
      <c r="A417" s="135"/>
      <c r="B417" s="136"/>
      <c r="C417" s="128"/>
      <c r="D417" s="128"/>
      <c r="E417" s="128"/>
      <c r="F417" s="128"/>
      <c r="G417" s="128"/>
      <c r="H417" s="136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</row>
    <row r="418">
      <c r="A418" s="135"/>
      <c r="B418" s="136"/>
      <c r="C418" s="128"/>
      <c r="D418" s="128"/>
      <c r="E418" s="128"/>
      <c r="F418" s="128"/>
      <c r="G418" s="128"/>
      <c r="H418" s="136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>
      <c r="A419" s="135"/>
      <c r="B419" s="136"/>
      <c r="C419" s="128"/>
      <c r="D419" s="128"/>
      <c r="E419" s="128"/>
      <c r="F419" s="128"/>
      <c r="G419" s="128"/>
      <c r="H419" s="136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>
      <c r="A420" s="135"/>
      <c r="B420" s="136"/>
      <c r="C420" s="128"/>
      <c r="D420" s="128"/>
      <c r="E420" s="128"/>
      <c r="F420" s="128"/>
      <c r="G420" s="128"/>
      <c r="H420" s="136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</row>
    <row r="421">
      <c r="A421" s="135"/>
      <c r="B421" s="136"/>
      <c r="C421" s="128"/>
      <c r="D421" s="128"/>
      <c r="E421" s="128"/>
      <c r="F421" s="128"/>
      <c r="G421" s="128"/>
      <c r="H421" s="136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>
      <c r="A422" s="135"/>
      <c r="B422" s="136"/>
      <c r="C422" s="128"/>
      <c r="D422" s="128"/>
      <c r="E422" s="128"/>
      <c r="F422" s="128"/>
      <c r="G422" s="128"/>
      <c r="H422" s="136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</row>
    <row r="423">
      <c r="A423" s="135"/>
      <c r="B423" s="136"/>
      <c r="C423" s="128"/>
      <c r="D423" s="128"/>
      <c r="E423" s="128"/>
      <c r="F423" s="128"/>
      <c r="G423" s="128"/>
      <c r="H423" s="136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>
      <c r="A424" s="135"/>
      <c r="B424" s="136"/>
      <c r="C424" s="128"/>
      <c r="D424" s="128"/>
      <c r="E424" s="128"/>
      <c r="F424" s="128"/>
      <c r="G424" s="128"/>
      <c r="H424" s="136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>
      <c r="A425" s="135"/>
      <c r="B425" s="136"/>
      <c r="C425" s="128"/>
      <c r="D425" s="128"/>
      <c r="E425" s="128"/>
      <c r="F425" s="128"/>
      <c r="G425" s="128"/>
      <c r="H425" s="136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</row>
    <row r="426">
      <c r="A426" s="135"/>
      <c r="B426" s="136"/>
      <c r="C426" s="128"/>
      <c r="D426" s="128"/>
      <c r="E426" s="128"/>
      <c r="F426" s="128"/>
      <c r="G426" s="128"/>
      <c r="H426" s="136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>
      <c r="A427" s="135"/>
      <c r="B427" s="136"/>
      <c r="C427" s="128"/>
      <c r="D427" s="128"/>
      <c r="E427" s="128"/>
      <c r="F427" s="128"/>
      <c r="G427" s="128"/>
      <c r="H427" s="136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</row>
    <row r="428">
      <c r="A428" s="135"/>
      <c r="B428" s="136"/>
      <c r="C428" s="128"/>
      <c r="D428" s="128"/>
      <c r="E428" s="128"/>
      <c r="F428" s="128"/>
      <c r="G428" s="128"/>
      <c r="H428" s="136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>
      <c r="A429" s="135"/>
      <c r="B429" s="136"/>
      <c r="C429" s="128"/>
      <c r="D429" s="128"/>
      <c r="E429" s="128"/>
      <c r="F429" s="128"/>
      <c r="G429" s="128"/>
      <c r="H429" s="136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</row>
    <row r="430">
      <c r="A430" s="135"/>
      <c r="B430" s="136"/>
      <c r="C430" s="128"/>
      <c r="D430" s="128"/>
      <c r="E430" s="128"/>
      <c r="F430" s="128"/>
      <c r="G430" s="128"/>
      <c r="H430" s="136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>
      <c r="A431" s="135"/>
      <c r="B431" s="136"/>
      <c r="C431" s="128"/>
      <c r="D431" s="128"/>
      <c r="E431" s="128"/>
      <c r="F431" s="128"/>
      <c r="G431" s="128"/>
      <c r="H431" s="136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>
      <c r="A432" s="135"/>
      <c r="B432" s="136"/>
      <c r="C432" s="128"/>
      <c r="D432" s="128"/>
      <c r="E432" s="128"/>
      <c r="F432" s="128"/>
      <c r="G432" s="128"/>
      <c r="H432" s="136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>
      <c r="A433" s="135"/>
      <c r="B433" s="136"/>
      <c r="C433" s="128"/>
      <c r="D433" s="128"/>
      <c r="E433" s="128"/>
      <c r="F433" s="128"/>
      <c r="G433" s="128"/>
      <c r="H433" s="136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</row>
    <row r="434">
      <c r="A434" s="135"/>
      <c r="B434" s="136"/>
      <c r="C434" s="128"/>
      <c r="D434" s="128"/>
      <c r="E434" s="128"/>
      <c r="F434" s="128"/>
      <c r="G434" s="128"/>
      <c r="H434" s="136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>
      <c r="A435" s="135"/>
      <c r="B435" s="136"/>
      <c r="C435" s="128"/>
      <c r="D435" s="128"/>
      <c r="E435" s="128"/>
      <c r="F435" s="128"/>
      <c r="G435" s="128"/>
      <c r="H435" s="136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>
      <c r="A436" s="135"/>
      <c r="B436" s="136"/>
      <c r="C436" s="128"/>
      <c r="D436" s="128"/>
      <c r="E436" s="128"/>
      <c r="F436" s="128"/>
      <c r="G436" s="128"/>
      <c r="H436" s="136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>
      <c r="A437" s="135"/>
      <c r="B437" s="136"/>
      <c r="C437" s="128"/>
      <c r="D437" s="128"/>
      <c r="E437" s="128"/>
      <c r="F437" s="128"/>
      <c r="G437" s="128"/>
      <c r="H437" s="136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</row>
    <row r="438">
      <c r="A438" s="135"/>
      <c r="B438" s="136"/>
      <c r="C438" s="128"/>
      <c r="D438" s="128"/>
      <c r="E438" s="128"/>
      <c r="F438" s="128"/>
      <c r="G438" s="128"/>
      <c r="H438" s="136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>
      <c r="A439" s="135"/>
      <c r="B439" s="136"/>
      <c r="C439" s="128"/>
      <c r="D439" s="128"/>
      <c r="E439" s="128"/>
      <c r="F439" s="128"/>
      <c r="G439" s="128"/>
      <c r="H439" s="136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</row>
    <row r="440">
      <c r="A440" s="135"/>
      <c r="B440" s="136"/>
      <c r="C440" s="128"/>
      <c r="D440" s="128"/>
      <c r="E440" s="128"/>
      <c r="F440" s="128"/>
      <c r="G440" s="128"/>
      <c r="H440" s="136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</row>
    <row r="441">
      <c r="A441" s="135"/>
      <c r="B441" s="136"/>
      <c r="C441" s="128"/>
      <c r="D441" s="128"/>
      <c r="E441" s="128"/>
      <c r="F441" s="128"/>
      <c r="G441" s="128"/>
      <c r="H441" s="136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</row>
    <row r="442">
      <c r="A442" s="135"/>
      <c r="B442" s="136"/>
      <c r="C442" s="128"/>
      <c r="D442" s="128"/>
      <c r="E442" s="128"/>
      <c r="F442" s="128"/>
      <c r="G442" s="128"/>
      <c r="H442" s="136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>
      <c r="A443" s="135"/>
      <c r="B443" s="136"/>
      <c r="C443" s="128"/>
      <c r="D443" s="128"/>
      <c r="E443" s="128"/>
      <c r="F443" s="128"/>
      <c r="G443" s="128"/>
      <c r="H443" s="136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>
      <c r="A444" s="135"/>
      <c r="B444" s="136"/>
      <c r="C444" s="128"/>
      <c r="D444" s="128"/>
      <c r="E444" s="128"/>
      <c r="F444" s="128"/>
      <c r="G444" s="128"/>
      <c r="H444" s="136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>
      <c r="A445" s="135"/>
      <c r="B445" s="136"/>
      <c r="C445" s="128"/>
      <c r="D445" s="128"/>
      <c r="E445" s="128"/>
      <c r="F445" s="128"/>
      <c r="G445" s="128"/>
      <c r="H445" s="136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>
      <c r="A446" s="135"/>
      <c r="B446" s="136"/>
      <c r="C446" s="128"/>
      <c r="D446" s="128"/>
      <c r="E446" s="128"/>
      <c r="F446" s="128"/>
      <c r="G446" s="128"/>
      <c r="H446" s="136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</row>
    <row r="447">
      <c r="A447" s="135"/>
      <c r="B447" s="136"/>
      <c r="C447" s="128"/>
      <c r="D447" s="128"/>
      <c r="E447" s="128"/>
      <c r="F447" s="128"/>
      <c r="G447" s="128"/>
      <c r="H447" s="136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>
      <c r="A448" s="135"/>
      <c r="B448" s="136"/>
      <c r="C448" s="128"/>
      <c r="D448" s="128"/>
      <c r="E448" s="128"/>
      <c r="F448" s="128"/>
      <c r="G448" s="128"/>
      <c r="H448" s="136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>
      <c r="A449" s="135"/>
      <c r="B449" s="136"/>
      <c r="C449" s="128"/>
      <c r="D449" s="128"/>
      <c r="E449" s="128"/>
      <c r="F449" s="128"/>
      <c r="G449" s="128"/>
      <c r="H449" s="136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>
      <c r="A450" s="135"/>
      <c r="B450" s="136"/>
      <c r="C450" s="128"/>
      <c r="D450" s="128"/>
      <c r="E450" s="128"/>
      <c r="F450" s="128"/>
      <c r="G450" s="128"/>
      <c r="H450" s="136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</row>
    <row r="451">
      <c r="A451" s="135"/>
      <c r="B451" s="136"/>
      <c r="C451" s="128"/>
      <c r="D451" s="128"/>
      <c r="E451" s="128"/>
      <c r="F451" s="128"/>
      <c r="G451" s="128"/>
      <c r="H451" s="136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</row>
    <row r="452">
      <c r="A452" s="135"/>
      <c r="B452" s="136"/>
      <c r="C452" s="128"/>
      <c r="D452" s="128"/>
      <c r="E452" s="128"/>
      <c r="F452" s="128"/>
      <c r="G452" s="128"/>
      <c r="H452" s="136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>
      <c r="A453" s="135"/>
      <c r="B453" s="136"/>
      <c r="C453" s="128"/>
      <c r="D453" s="128"/>
      <c r="E453" s="128"/>
      <c r="F453" s="128"/>
      <c r="G453" s="128"/>
      <c r="H453" s="136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>
      <c r="A454" s="135"/>
      <c r="B454" s="136"/>
      <c r="C454" s="128"/>
      <c r="D454" s="128"/>
      <c r="E454" s="128"/>
      <c r="F454" s="128"/>
      <c r="G454" s="128"/>
      <c r="H454" s="136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</row>
    <row r="455">
      <c r="A455" s="135"/>
      <c r="B455" s="136"/>
      <c r="C455" s="128"/>
      <c r="D455" s="128"/>
      <c r="E455" s="128"/>
      <c r="F455" s="128"/>
      <c r="G455" s="128"/>
      <c r="H455" s="136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</row>
    <row r="456">
      <c r="A456" s="135"/>
      <c r="B456" s="136"/>
      <c r="C456" s="128"/>
      <c r="D456" s="128"/>
      <c r="E456" s="128"/>
      <c r="F456" s="128"/>
      <c r="G456" s="128"/>
      <c r="H456" s="136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>
      <c r="A457" s="135"/>
      <c r="B457" s="136"/>
      <c r="C457" s="128"/>
      <c r="D457" s="128"/>
      <c r="E457" s="128"/>
      <c r="F457" s="128"/>
      <c r="G457" s="128"/>
      <c r="H457" s="136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>
      <c r="A458" s="135"/>
      <c r="B458" s="136"/>
      <c r="C458" s="128"/>
      <c r="D458" s="128"/>
      <c r="E458" s="128"/>
      <c r="F458" s="128"/>
      <c r="G458" s="128"/>
      <c r="H458" s="136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</row>
    <row r="459">
      <c r="A459" s="135"/>
      <c r="B459" s="136"/>
      <c r="C459" s="128"/>
      <c r="D459" s="128"/>
      <c r="E459" s="128"/>
      <c r="F459" s="128"/>
      <c r="G459" s="128"/>
      <c r="H459" s="136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</row>
    <row r="460">
      <c r="A460" s="135"/>
      <c r="B460" s="136"/>
      <c r="C460" s="128"/>
      <c r="D460" s="128"/>
      <c r="E460" s="128"/>
      <c r="F460" s="128"/>
      <c r="G460" s="128"/>
      <c r="H460" s="136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>
      <c r="A461" s="135"/>
      <c r="B461" s="136"/>
      <c r="C461" s="128"/>
      <c r="D461" s="128"/>
      <c r="E461" s="128"/>
      <c r="F461" s="128"/>
      <c r="G461" s="128"/>
      <c r="H461" s="136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>
      <c r="A462" s="135"/>
      <c r="B462" s="136"/>
      <c r="C462" s="128"/>
      <c r="D462" s="128"/>
      <c r="E462" s="128"/>
      <c r="F462" s="128"/>
      <c r="G462" s="128"/>
      <c r="H462" s="136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</row>
    <row r="463">
      <c r="A463" s="135"/>
      <c r="B463" s="136"/>
      <c r="C463" s="128"/>
      <c r="D463" s="128"/>
      <c r="E463" s="128"/>
      <c r="F463" s="128"/>
      <c r="G463" s="128"/>
      <c r="H463" s="136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>
      <c r="A464" s="135"/>
      <c r="B464" s="136"/>
      <c r="C464" s="128"/>
      <c r="D464" s="128"/>
      <c r="E464" s="128"/>
      <c r="F464" s="128"/>
      <c r="G464" s="128"/>
      <c r="H464" s="136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>
      <c r="A465" s="135"/>
      <c r="B465" s="136"/>
      <c r="C465" s="128"/>
      <c r="D465" s="128"/>
      <c r="E465" s="128"/>
      <c r="F465" s="128"/>
      <c r="G465" s="128"/>
      <c r="H465" s="136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>
      <c r="A466" s="135"/>
      <c r="B466" s="136"/>
      <c r="C466" s="128"/>
      <c r="D466" s="128"/>
      <c r="E466" s="128"/>
      <c r="F466" s="128"/>
      <c r="G466" s="128"/>
      <c r="H466" s="136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>
      <c r="A467" s="135"/>
      <c r="B467" s="136"/>
      <c r="C467" s="128"/>
      <c r="D467" s="128"/>
      <c r="E467" s="128"/>
      <c r="F467" s="128"/>
      <c r="G467" s="128"/>
      <c r="H467" s="136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>
      <c r="A468" s="135"/>
      <c r="B468" s="136"/>
      <c r="C468" s="128"/>
      <c r="D468" s="128"/>
      <c r="E468" s="128"/>
      <c r="F468" s="128"/>
      <c r="G468" s="128"/>
      <c r="H468" s="136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>
      <c r="A469" s="135"/>
      <c r="B469" s="136"/>
      <c r="C469" s="128"/>
      <c r="D469" s="128"/>
      <c r="E469" s="128"/>
      <c r="F469" s="128"/>
      <c r="G469" s="128"/>
      <c r="H469" s="136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</row>
    <row r="470">
      <c r="A470" s="135"/>
      <c r="B470" s="136"/>
      <c r="C470" s="128"/>
      <c r="D470" s="128"/>
      <c r="E470" s="128"/>
      <c r="F470" s="128"/>
      <c r="G470" s="128"/>
      <c r="H470" s="136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>
      <c r="A471" s="135"/>
      <c r="B471" s="136"/>
      <c r="C471" s="128"/>
      <c r="D471" s="128"/>
      <c r="E471" s="128"/>
      <c r="F471" s="128"/>
      <c r="G471" s="128"/>
      <c r="H471" s="136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>
      <c r="A472" s="135"/>
      <c r="B472" s="136"/>
      <c r="C472" s="128"/>
      <c r="D472" s="128"/>
      <c r="E472" s="128"/>
      <c r="F472" s="128"/>
      <c r="G472" s="128"/>
      <c r="H472" s="136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</row>
    <row r="473">
      <c r="A473" s="135"/>
      <c r="B473" s="136"/>
      <c r="C473" s="128"/>
      <c r="D473" s="128"/>
      <c r="E473" s="128"/>
      <c r="F473" s="128"/>
      <c r="G473" s="128"/>
      <c r="H473" s="136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</row>
    <row r="474">
      <c r="A474" s="135"/>
      <c r="B474" s="136"/>
      <c r="C474" s="128"/>
      <c r="D474" s="128"/>
      <c r="E474" s="128"/>
      <c r="F474" s="128"/>
      <c r="G474" s="128"/>
      <c r="H474" s="136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</row>
    <row r="475">
      <c r="A475" s="135"/>
      <c r="B475" s="136"/>
      <c r="C475" s="128"/>
      <c r="D475" s="128"/>
      <c r="E475" s="128"/>
      <c r="F475" s="128"/>
      <c r="G475" s="128"/>
      <c r="H475" s="136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>
      <c r="A476" s="135"/>
      <c r="B476" s="136"/>
      <c r="C476" s="128"/>
      <c r="D476" s="128"/>
      <c r="E476" s="128"/>
      <c r="F476" s="128"/>
      <c r="G476" s="128"/>
      <c r="H476" s="136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</row>
    <row r="477">
      <c r="A477" s="135"/>
      <c r="B477" s="136"/>
      <c r="C477" s="128"/>
      <c r="D477" s="128"/>
      <c r="E477" s="128"/>
      <c r="F477" s="128"/>
      <c r="G477" s="128"/>
      <c r="H477" s="136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>
      <c r="A478" s="135"/>
      <c r="B478" s="136"/>
      <c r="C478" s="128"/>
      <c r="D478" s="128"/>
      <c r="E478" s="128"/>
      <c r="F478" s="128"/>
      <c r="G478" s="128"/>
      <c r="H478" s="136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</row>
    <row r="479">
      <c r="A479" s="135"/>
      <c r="B479" s="136"/>
      <c r="C479" s="128"/>
      <c r="D479" s="128"/>
      <c r="E479" s="128"/>
      <c r="F479" s="128"/>
      <c r="G479" s="128"/>
      <c r="H479" s="136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</row>
    <row r="480">
      <c r="A480" s="135"/>
      <c r="B480" s="136"/>
      <c r="C480" s="128"/>
      <c r="D480" s="128"/>
      <c r="E480" s="128"/>
      <c r="F480" s="128"/>
      <c r="G480" s="128"/>
      <c r="H480" s="136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>
      <c r="A481" s="135"/>
      <c r="B481" s="136"/>
      <c r="C481" s="128"/>
      <c r="D481" s="128"/>
      <c r="E481" s="128"/>
      <c r="F481" s="128"/>
      <c r="G481" s="128"/>
      <c r="H481" s="136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</row>
    <row r="482">
      <c r="A482" s="135"/>
      <c r="B482" s="136"/>
      <c r="C482" s="128"/>
      <c r="D482" s="128"/>
      <c r="E482" s="128"/>
      <c r="F482" s="128"/>
      <c r="G482" s="128"/>
      <c r="H482" s="136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>
      <c r="A483" s="135"/>
      <c r="B483" s="136"/>
      <c r="C483" s="128"/>
      <c r="D483" s="128"/>
      <c r="E483" s="128"/>
      <c r="F483" s="128"/>
      <c r="G483" s="128"/>
      <c r="H483" s="136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>
      <c r="A484" s="135"/>
      <c r="B484" s="136"/>
      <c r="C484" s="128"/>
      <c r="D484" s="128"/>
      <c r="E484" s="128"/>
      <c r="F484" s="128"/>
      <c r="G484" s="128"/>
      <c r="H484" s="136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</row>
    <row r="485">
      <c r="A485" s="135"/>
      <c r="B485" s="136"/>
      <c r="C485" s="128"/>
      <c r="D485" s="128"/>
      <c r="E485" s="128"/>
      <c r="F485" s="128"/>
      <c r="G485" s="128"/>
      <c r="H485" s="136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>
      <c r="A486" s="135"/>
      <c r="B486" s="136"/>
      <c r="C486" s="128"/>
      <c r="D486" s="128"/>
      <c r="E486" s="128"/>
      <c r="F486" s="128"/>
      <c r="G486" s="128"/>
      <c r="H486" s="136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>
      <c r="A487" s="135"/>
      <c r="B487" s="136"/>
      <c r="C487" s="128"/>
      <c r="D487" s="128"/>
      <c r="E487" s="128"/>
      <c r="F487" s="128"/>
      <c r="G487" s="128"/>
      <c r="H487" s="136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</row>
    <row r="488">
      <c r="A488" s="135"/>
      <c r="B488" s="136"/>
      <c r="C488" s="128"/>
      <c r="D488" s="128"/>
      <c r="E488" s="128"/>
      <c r="F488" s="128"/>
      <c r="G488" s="128"/>
      <c r="H488" s="136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>
      <c r="A489" s="135"/>
      <c r="B489" s="136"/>
      <c r="C489" s="128"/>
      <c r="D489" s="128"/>
      <c r="E489" s="128"/>
      <c r="F489" s="128"/>
      <c r="G489" s="128"/>
      <c r="H489" s="136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>
      <c r="A490" s="135"/>
      <c r="B490" s="136"/>
      <c r="C490" s="128"/>
      <c r="D490" s="128"/>
      <c r="E490" s="128"/>
      <c r="F490" s="128"/>
      <c r="G490" s="128"/>
      <c r="H490" s="136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</row>
    <row r="491">
      <c r="A491" s="135"/>
      <c r="B491" s="136"/>
      <c r="C491" s="128"/>
      <c r="D491" s="128"/>
      <c r="E491" s="128"/>
      <c r="F491" s="128"/>
      <c r="G491" s="128"/>
      <c r="H491" s="136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</row>
    <row r="492">
      <c r="A492" s="135"/>
      <c r="B492" s="136"/>
      <c r="C492" s="128"/>
      <c r="D492" s="128"/>
      <c r="E492" s="128"/>
      <c r="F492" s="128"/>
      <c r="G492" s="128"/>
      <c r="H492" s="136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>
      <c r="A493" s="135"/>
      <c r="B493" s="136"/>
      <c r="C493" s="128"/>
      <c r="D493" s="128"/>
      <c r="E493" s="128"/>
      <c r="F493" s="128"/>
      <c r="G493" s="128"/>
      <c r="H493" s="136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>
      <c r="A494" s="135"/>
      <c r="B494" s="136"/>
      <c r="C494" s="128"/>
      <c r="D494" s="128"/>
      <c r="E494" s="128"/>
      <c r="F494" s="128"/>
      <c r="G494" s="128"/>
      <c r="H494" s="136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</row>
    <row r="495">
      <c r="A495" s="135"/>
      <c r="B495" s="136"/>
      <c r="C495" s="128"/>
      <c r="D495" s="128"/>
      <c r="E495" s="128"/>
      <c r="F495" s="128"/>
      <c r="G495" s="128"/>
      <c r="H495" s="136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>
      <c r="A496" s="135"/>
      <c r="B496" s="136"/>
      <c r="C496" s="128"/>
      <c r="D496" s="128"/>
      <c r="E496" s="128"/>
      <c r="F496" s="128"/>
      <c r="G496" s="128"/>
      <c r="H496" s="136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</row>
    <row r="497">
      <c r="A497" s="135"/>
      <c r="B497" s="136"/>
      <c r="C497" s="128"/>
      <c r="D497" s="128"/>
      <c r="E497" s="128"/>
      <c r="F497" s="128"/>
      <c r="G497" s="128"/>
      <c r="H497" s="136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</row>
    <row r="498">
      <c r="A498" s="135"/>
      <c r="B498" s="136"/>
      <c r="C498" s="128"/>
      <c r="D498" s="128"/>
      <c r="E498" s="128"/>
      <c r="F498" s="128"/>
      <c r="G498" s="128"/>
      <c r="H498" s="136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</row>
    <row r="499">
      <c r="A499" s="135"/>
      <c r="B499" s="136"/>
      <c r="C499" s="128"/>
      <c r="D499" s="128"/>
      <c r="E499" s="128"/>
      <c r="F499" s="128"/>
      <c r="G499" s="128"/>
      <c r="H499" s="136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</row>
    <row r="500">
      <c r="A500" s="135"/>
      <c r="B500" s="136"/>
      <c r="C500" s="128"/>
      <c r="D500" s="128"/>
      <c r="E500" s="128"/>
      <c r="F500" s="128"/>
      <c r="G500" s="128"/>
      <c r="H500" s="136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>
      <c r="A501" s="135"/>
      <c r="B501" s="136"/>
      <c r="C501" s="128"/>
      <c r="D501" s="128"/>
      <c r="E501" s="128"/>
      <c r="F501" s="128"/>
      <c r="G501" s="128"/>
      <c r="H501" s="136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>
      <c r="A502" s="135"/>
      <c r="B502" s="136"/>
      <c r="C502" s="128"/>
      <c r="D502" s="128"/>
      <c r="E502" s="128"/>
      <c r="F502" s="128"/>
      <c r="G502" s="128"/>
      <c r="H502" s="136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</row>
    <row r="503">
      <c r="A503" s="135"/>
      <c r="B503" s="136"/>
      <c r="C503" s="128"/>
      <c r="D503" s="128"/>
      <c r="E503" s="128"/>
      <c r="F503" s="128"/>
      <c r="G503" s="128"/>
      <c r="H503" s="136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</row>
    <row r="504">
      <c r="A504" s="135"/>
      <c r="B504" s="136"/>
      <c r="C504" s="128"/>
      <c r="D504" s="128"/>
      <c r="E504" s="128"/>
      <c r="F504" s="128"/>
      <c r="G504" s="128"/>
      <c r="H504" s="136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>
      <c r="A505" s="135"/>
      <c r="B505" s="136"/>
      <c r="C505" s="128"/>
      <c r="D505" s="128"/>
      <c r="E505" s="128"/>
      <c r="F505" s="128"/>
      <c r="G505" s="128"/>
      <c r="H505" s="136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>
      <c r="A506" s="135"/>
      <c r="B506" s="136"/>
      <c r="C506" s="128"/>
      <c r="D506" s="128"/>
      <c r="E506" s="128"/>
      <c r="F506" s="128"/>
      <c r="G506" s="128"/>
      <c r="H506" s="136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>
      <c r="A507" s="135"/>
      <c r="B507" s="136"/>
      <c r="C507" s="128"/>
      <c r="D507" s="128"/>
      <c r="E507" s="128"/>
      <c r="F507" s="128"/>
      <c r="G507" s="128"/>
      <c r="H507" s="136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>
      <c r="A508" s="135"/>
      <c r="B508" s="136"/>
      <c r="C508" s="128"/>
      <c r="D508" s="128"/>
      <c r="E508" s="128"/>
      <c r="F508" s="128"/>
      <c r="G508" s="128"/>
      <c r="H508" s="136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</row>
    <row r="509">
      <c r="A509" s="135"/>
      <c r="B509" s="136"/>
      <c r="C509" s="128"/>
      <c r="D509" s="128"/>
      <c r="E509" s="128"/>
      <c r="F509" s="128"/>
      <c r="G509" s="128"/>
      <c r="H509" s="136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>
      <c r="A510" s="135"/>
      <c r="B510" s="136"/>
      <c r="C510" s="128"/>
      <c r="D510" s="128"/>
      <c r="E510" s="128"/>
      <c r="F510" s="128"/>
      <c r="G510" s="128"/>
      <c r="H510" s="136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>
      <c r="A511" s="135"/>
      <c r="B511" s="136"/>
      <c r="C511" s="128"/>
      <c r="D511" s="128"/>
      <c r="E511" s="128"/>
      <c r="F511" s="128"/>
      <c r="G511" s="128"/>
      <c r="H511" s="136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>
      <c r="A512" s="135"/>
      <c r="B512" s="136"/>
      <c r="C512" s="128"/>
      <c r="D512" s="128"/>
      <c r="E512" s="128"/>
      <c r="F512" s="128"/>
      <c r="G512" s="128"/>
      <c r="H512" s="136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>
      <c r="A513" s="135"/>
      <c r="B513" s="136"/>
      <c r="C513" s="128"/>
      <c r="D513" s="128"/>
      <c r="E513" s="128"/>
      <c r="F513" s="128"/>
      <c r="G513" s="128"/>
      <c r="H513" s="136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>
      <c r="A514" s="135"/>
      <c r="B514" s="136"/>
      <c r="C514" s="128"/>
      <c r="D514" s="128"/>
      <c r="E514" s="128"/>
      <c r="F514" s="128"/>
      <c r="G514" s="128"/>
      <c r="H514" s="136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>
      <c r="A515" s="135"/>
      <c r="B515" s="136"/>
      <c r="C515" s="128"/>
      <c r="D515" s="128"/>
      <c r="E515" s="128"/>
      <c r="F515" s="128"/>
      <c r="G515" s="128"/>
      <c r="H515" s="136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>
      <c r="A516" s="135"/>
      <c r="B516" s="136"/>
      <c r="C516" s="128"/>
      <c r="D516" s="128"/>
      <c r="E516" s="128"/>
      <c r="F516" s="128"/>
      <c r="G516" s="128"/>
      <c r="H516" s="136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>
      <c r="A517" s="135"/>
      <c r="B517" s="136"/>
      <c r="C517" s="128"/>
      <c r="D517" s="128"/>
      <c r="E517" s="128"/>
      <c r="F517" s="128"/>
      <c r="G517" s="128"/>
      <c r="H517" s="136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>
      <c r="A518" s="135"/>
      <c r="B518" s="136"/>
      <c r="C518" s="128"/>
      <c r="D518" s="128"/>
      <c r="E518" s="128"/>
      <c r="F518" s="128"/>
      <c r="G518" s="128"/>
      <c r="H518" s="136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>
      <c r="A519" s="135"/>
      <c r="B519" s="136"/>
      <c r="C519" s="128"/>
      <c r="D519" s="128"/>
      <c r="E519" s="128"/>
      <c r="F519" s="128"/>
      <c r="G519" s="128"/>
      <c r="H519" s="136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>
      <c r="A520" s="135"/>
      <c r="B520" s="136"/>
      <c r="C520" s="128"/>
      <c r="D520" s="128"/>
      <c r="E520" s="128"/>
      <c r="F520" s="128"/>
      <c r="G520" s="128"/>
      <c r="H520" s="136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>
      <c r="A521" s="135"/>
      <c r="B521" s="136"/>
      <c r="C521" s="128"/>
      <c r="D521" s="128"/>
      <c r="E521" s="128"/>
      <c r="F521" s="128"/>
      <c r="G521" s="128"/>
      <c r="H521" s="136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>
      <c r="A522" s="135"/>
      <c r="B522" s="136"/>
      <c r="C522" s="128"/>
      <c r="D522" s="128"/>
      <c r="E522" s="128"/>
      <c r="F522" s="128"/>
      <c r="G522" s="128"/>
      <c r="H522" s="136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>
      <c r="A523" s="135"/>
      <c r="B523" s="136"/>
      <c r="C523" s="128"/>
      <c r="D523" s="128"/>
      <c r="E523" s="128"/>
      <c r="F523" s="128"/>
      <c r="G523" s="128"/>
      <c r="H523" s="136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>
      <c r="A524" s="135"/>
      <c r="B524" s="136"/>
      <c r="C524" s="128"/>
      <c r="D524" s="128"/>
      <c r="E524" s="128"/>
      <c r="F524" s="128"/>
      <c r="G524" s="128"/>
      <c r="H524" s="136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>
      <c r="A525" s="135"/>
      <c r="B525" s="136"/>
      <c r="C525" s="128"/>
      <c r="D525" s="128"/>
      <c r="E525" s="128"/>
      <c r="F525" s="128"/>
      <c r="G525" s="128"/>
      <c r="H525" s="136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>
      <c r="A526" s="135"/>
      <c r="B526" s="136"/>
      <c r="C526" s="128"/>
      <c r="D526" s="128"/>
      <c r="E526" s="128"/>
      <c r="F526" s="128"/>
      <c r="G526" s="128"/>
      <c r="H526" s="136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>
      <c r="A527" s="135"/>
      <c r="B527" s="136"/>
      <c r="C527" s="128"/>
      <c r="D527" s="128"/>
      <c r="E527" s="128"/>
      <c r="F527" s="128"/>
      <c r="G527" s="128"/>
      <c r="H527" s="136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>
      <c r="A528" s="135"/>
      <c r="B528" s="136"/>
      <c r="C528" s="128"/>
      <c r="D528" s="128"/>
      <c r="E528" s="128"/>
      <c r="F528" s="128"/>
      <c r="G528" s="128"/>
      <c r="H528" s="136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>
      <c r="A529" s="135"/>
      <c r="B529" s="136"/>
      <c r="C529" s="128"/>
      <c r="D529" s="128"/>
      <c r="E529" s="128"/>
      <c r="F529" s="128"/>
      <c r="G529" s="128"/>
      <c r="H529" s="136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</row>
    <row r="530">
      <c r="A530" s="135"/>
      <c r="B530" s="136"/>
      <c r="C530" s="128"/>
      <c r="D530" s="128"/>
      <c r="E530" s="128"/>
      <c r="F530" s="128"/>
      <c r="G530" s="128"/>
      <c r="H530" s="136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>
      <c r="A531" s="135"/>
      <c r="B531" s="136"/>
      <c r="C531" s="128"/>
      <c r="D531" s="128"/>
      <c r="E531" s="128"/>
      <c r="F531" s="128"/>
      <c r="G531" s="128"/>
      <c r="H531" s="136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>
      <c r="A532" s="135"/>
      <c r="B532" s="136"/>
      <c r="C532" s="128"/>
      <c r="D532" s="128"/>
      <c r="E532" s="128"/>
      <c r="F532" s="128"/>
      <c r="G532" s="128"/>
      <c r="H532" s="136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</row>
    <row r="533">
      <c r="A533" s="135"/>
      <c r="B533" s="136"/>
      <c r="C533" s="128"/>
      <c r="D533" s="128"/>
      <c r="E533" s="128"/>
      <c r="F533" s="128"/>
      <c r="G533" s="128"/>
      <c r="H533" s="136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</row>
    <row r="534">
      <c r="A534" s="135"/>
      <c r="B534" s="136"/>
      <c r="C534" s="128"/>
      <c r="D534" s="128"/>
      <c r="E534" s="128"/>
      <c r="F534" s="128"/>
      <c r="G534" s="128"/>
      <c r="H534" s="136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</row>
    <row r="535">
      <c r="A535" s="135"/>
      <c r="B535" s="136"/>
      <c r="C535" s="128"/>
      <c r="D535" s="128"/>
      <c r="E535" s="128"/>
      <c r="F535" s="128"/>
      <c r="G535" s="128"/>
      <c r="H535" s="136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</row>
    <row r="536">
      <c r="A536" s="135"/>
      <c r="B536" s="136"/>
      <c r="C536" s="128"/>
      <c r="D536" s="128"/>
      <c r="E536" s="128"/>
      <c r="F536" s="128"/>
      <c r="G536" s="128"/>
      <c r="H536" s="136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>
      <c r="A537" s="135"/>
      <c r="B537" s="136"/>
      <c r="C537" s="128"/>
      <c r="D537" s="128"/>
      <c r="E537" s="128"/>
      <c r="F537" s="128"/>
      <c r="G537" s="128"/>
      <c r="H537" s="136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>
      <c r="A538" s="135"/>
      <c r="B538" s="136"/>
      <c r="C538" s="128"/>
      <c r="D538" s="128"/>
      <c r="E538" s="128"/>
      <c r="F538" s="128"/>
      <c r="G538" s="128"/>
      <c r="H538" s="136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</row>
    <row r="539">
      <c r="A539" s="135"/>
      <c r="B539" s="136"/>
      <c r="C539" s="128"/>
      <c r="D539" s="128"/>
      <c r="E539" s="128"/>
      <c r="F539" s="128"/>
      <c r="G539" s="128"/>
      <c r="H539" s="136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</row>
    <row r="540">
      <c r="A540" s="135"/>
      <c r="B540" s="136"/>
      <c r="C540" s="128"/>
      <c r="D540" s="128"/>
      <c r="E540" s="128"/>
      <c r="F540" s="128"/>
      <c r="G540" s="128"/>
      <c r="H540" s="136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>
      <c r="A541" s="135"/>
      <c r="B541" s="136"/>
      <c r="C541" s="128"/>
      <c r="D541" s="128"/>
      <c r="E541" s="128"/>
      <c r="F541" s="128"/>
      <c r="G541" s="128"/>
      <c r="H541" s="136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</row>
    <row r="542">
      <c r="A542" s="135"/>
      <c r="B542" s="136"/>
      <c r="C542" s="128"/>
      <c r="D542" s="128"/>
      <c r="E542" s="128"/>
      <c r="F542" s="128"/>
      <c r="G542" s="128"/>
      <c r="H542" s="136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>
      <c r="A543" s="135"/>
      <c r="B543" s="136"/>
      <c r="C543" s="128"/>
      <c r="D543" s="128"/>
      <c r="E543" s="128"/>
      <c r="F543" s="128"/>
      <c r="G543" s="128"/>
      <c r="H543" s="136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>
      <c r="A544" s="135"/>
      <c r="B544" s="136"/>
      <c r="C544" s="128"/>
      <c r="D544" s="128"/>
      <c r="E544" s="128"/>
      <c r="F544" s="128"/>
      <c r="G544" s="128"/>
      <c r="H544" s="136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>
      <c r="A545" s="135"/>
      <c r="B545" s="136"/>
      <c r="C545" s="128"/>
      <c r="D545" s="128"/>
      <c r="E545" s="128"/>
      <c r="F545" s="128"/>
      <c r="G545" s="128"/>
      <c r="H545" s="136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>
      <c r="A546" s="135"/>
      <c r="B546" s="136"/>
      <c r="C546" s="128"/>
      <c r="D546" s="128"/>
      <c r="E546" s="128"/>
      <c r="F546" s="128"/>
      <c r="G546" s="128"/>
      <c r="H546" s="136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</row>
    <row r="547">
      <c r="A547" s="135"/>
      <c r="B547" s="136"/>
      <c r="C547" s="128"/>
      <c r="D547" s="128"/>
      <c r="E547" s="128"/>
      <c r="F547" s="128"/>
      <c r="G547" s="128"/>
      <c r="H547" s="136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>
      <c r="A548" s="135"/>
      <c r="B548" s="136"/>
      <c r="C548" s="128"/>
      <c r="D548" s="128"/>
      <c r="E548" s="128"/>
      <c r="F548" s="128"/>
      <c r="G548" s="128"/>
      <c r="H548" s="136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>
      <c r="A549" s="135"/>
      <c r="B549" s="136"/>
      <c r="C549" s="128"/>
      <c r="D549" s="128"/>
      <c r="E549" s="128"/>
      <c r="F549" s="128"/>
      <c r="G549" s="128"/>
      <c r="H549" s="136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</row>
    <row r="550">
      <c r="A550" s="135"/>
      <c r="B550" s="136"/>
      <c r="C550" s="128"/>
      <c r="D550" s="128"/>
      <c r="E550" s="128"/>
      <c r="F550" s="128"/>
      <c r="G550" s="128"/>
      <c r="H550" s="136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</row>
    <row r="551">
      <c r="A551" s="135"/>
      <c r="B551" s="136"/>
      <c r="C551" s="128"/>
      <c r="D551" s="128"/>
      <c r="E551" s="128"/>
      <c r="F551" s="128"/>
      <c r="G551" s="128"/>
      <c r="H551" s="136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>
      <c r="A552" s="135"/>
      <c r="B552" s="136"/>
      <c r="C552" s="128"/>
      <c r="D552" s="128"/>
      <c r="E552" s="128"/>
      <c r="F552" s="128"/>
      <c r="G552" s="128"/>
      <c r="H552" s="136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>
      <c r="A553" s="135"/>
      <c r="B553" s="136"/>
      <c r="C553" s="128"/>
      <c r="D553" s="128"/>
      <c r="E553" s="128"/>
      <c r="F553" s="128"/>
      <c r="G553" s="128"/>
      <c r="H553" s="136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>
      <c r="A554" s="135"/>
      <c r="B554" s="136"/>
      <c r="C554" s="128"/>
      <c r="D554" s="128"/>
      <c r="E554" s="128"/>
      <c r="F554" s="128"/>
      <c r="G554" s="128"/>
      <c r="H554" s="136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>
      <c r="A555" s="135"/>
      <c r="B555" s="136"/>
      <c r="C555" s="128"/>
      <c r="D555" s="128"/>
      <c r="E555" s="128"/>
      <c r="F555" s="128"/>
      <c r="G555" s="128"/>
      <c r="H555" s="136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>
      <c r="A556" s="135"/>
      <c r="B556" s="136"/>
      <c r="C556" s="128"/>
      <c r="D556" s="128"/>
      <c r="E556" s="128"/>
      <c r="F556" s="128"/>
      <c r="G556" s="128"/>
      <c r="H556" s="136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</row>
    <row r="557">
      <c r="A557" s="135"/>
      <c r="B557" s="136"/>
      <c r="C557" s="128"/>
      <c r="D557" s="128"/>
      <c r="E557" s="128"/>
      <c r="F557" s="128"/>
      <c r="G557" s="128"/>
      <c r="H557" s="136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</row>
    <row r="558">
      <c r="A558" s="135"/>
      <c r="B558" s="136"/>
      <c r="C558" s="128"/>
      <c r="D558" s="128"/>
      <c r="E558" s="128"/>
      <c r="F558" s="128"/>
      <c r="G558" s="128"/>
      <c r="H558" s="136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>
      <c r="A559" s="135"/>
      <c r="B559" s="136"/>
      <c r="C559" s="128"/>
      <c r="D559" s="128"/>
      <c r="E559" s="128"/>
      <c r="F559" s="128"/>
      <c r="G559" s="128"/>
      <c r="H559" s="136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>
      <c r="A560" s="135"/>
      <c r="B560" s="136"/>
      <c r="C560" s="128"/>
      <c r="D560" s="128"/>
      <c r="E560" s="128"/>
      <c r="F560" s="128"/>
      <c r="G560" s="128"/>
      <c r="H560" s="136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>
      <c r="A561" s="135"/>
      <c r="B561" s="136"/>
      <c r="C561" s="128"/>
      <c r="D561" s="128"/>
      <c r="E561" s="128"/>
      <c r="F561" s="128"/>
      <c r="G561" s="128"/>
      <c r="H561" s="136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>
      <c r="A562" s="135"/>
      <c r="B562" s="136"/>
      <c r="C562" s="128"/>
      <c r="D562" s="128"/>
      <c r="E562" s="128"/>
      <c r="F562" s="128"/>
      <c r="G562" s="128"/>
      <c r="H562" s="136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</row>
    <row r="563">
      <c r="A563" s="135"/>
      <c r="B563" s="136"/>
      <c r="C563" s="128"/>
      <c r="D563" s="128"/>
      <c r="E563" s="128"/>
      <c r="F563" s="128"/>
      <c r="G563" s="128"/>
      <c r="H563" s="136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>
      <c r="A564" s="135"/>
      <c r="B564" s="136"/>
      <c r="C564" s="128"/>
      <c r="D564" s="128"/>
      <c r="E564" s="128"/>
      <c r="F564" s="128"/>
      <c r="G564" s="128"/>
      <c r="H564" s="136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>
      <c r="A565" s="135"/>
      <c r="B565" s="136"/>
      <c r="C565" s="128"/>
      <c r="D565" s="128"/>
      <c r="E565" s="128"/>
      <c r="F565" s="128"/>
      <c r="G565" s="128"/>
      <c r="H565" s="136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</row>
    <row r="566">
      <c r="A566" s="135"/>
      <c r="B566" s="136"/>
      <c r="C566" s="128"/>
      <c r="D566" s="128"/>
      <c r="E566" s="128"/>
      <c r="F566" s="128"/>
      <c r="G566" s="128"/>
      <c r="H566" s="136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</row>
    <row r="567">
      <c r="A567" s="135"/>
      <c r="B567" s="136"/>
      <c r="C567" s="128"/>
      <c r="D567" s="128"/>
      <c r="E567" s="128"/>
      <c r="F567" s="128"/>
      <c r="G567" s="128"/>
      <c r="H567" s="136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>
      <c r="A568" s="135"/>
      <c r="B568" s="136"/>
      <c r="C568" s="128"/>
      <c r="D568" s="128"/>
      <c r="E568" s="128"/>
      <c r="F568" s="128"/>
      <c r="G568" s="128"/>
      <c r="H568" s="136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>
      <c r="A569" s="135"/>
      <c r="B569" s="136"/>
      <c r="C569" s="128"/>
      <c r="D569" s="128"/>
      <c r="E569" s="128"/>
      <c r="F569" s="128"/>
      <c r="G569" s="128"/>
      <c r="H569" s="136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>
      <c r="A570" s="135"/>
      <c r="B570" s="136"/>
      <c r="C570" s="128"/>
      <c r="D570" s="128"/>
      <c r="E570" s="128"/>
      <c r="F570" s="128"/>
      <c r="G570" s="128"/>
      <c r="H570" s="136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>
      <c r="A571" s="135"/>
      <c r="B571" s="136"/>
      <c r="C571" s="128"/>
      <c r="D571" s="128"/>
      <c r="E571" s="128"/>
      <c r="F571" s="128"/>
      <c r="G571" s="128"/>
      <c r="H571" s="136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>
      <c r="A572" s="135"/>
      <c r="B572" s="136"/>
      <c r="C572" s="128"/>
      <c r="D572" s="128"/>
      <c r="E572" s="128"/>
      <c r="F572" s="128"/>
      <c r="G572" s="128"/>
      <c r="H572" s="136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>
      <c r="A573" s="135"/>
      <c r="B573" s="136"/>
      <c r="C573" s="128"/>
      <c r="D573" s="128"/>
      <c r="E573" s="128"/>
      <c r="F573" s="128"/>
      <c r="G573" s="128"/>
      <c r="H573" s="136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>
      <c r="A574" s="135"/>
      <c r="B574" s="136"/>
      <c r="C574" s="128"/>
      <c r="D574" s="128"/>
      <c r="E574" s="128"/>
      <c r="F574" s="128"/>
      <c r="G574" s="128"/>
      <c r="H574" s="136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>
      <c r="A575" s="135"/>
      <c r="B575" s="136"/>
      <c r="C575" s="128"/>
      <c r="D575" s="128"/>
      <c r="E575" s="128"/>
      <c r="F575" s="128"/>
      <c r="G575" s="128"/>
      <c r="H575" s="136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>
      <c r="A576" s="135"/>
      <c r="B576" s="136"/>
      <c r="C576" s="128"/>
      <c r="D576" s="128"/>
      <c r="E576" s="128"/>
      <c r="F576" s="128"/>
      <c r="G576" s="128"/>
      <c r="H576" s="136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>
      <c r="A577" s="135"/>
      <c r="B577" s="136"/>
      <c r="C577" s="128"/>
      <c r="D577" s="128"/>
      <c r="E577" s="128"/>
      <c r="F577" s="128"/>
      <c r="G577" s="128"/>
      <c r="H577" s="136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</row>
    <row r="578">
      <c r="A578" s="135"/>
      <c r="B578" s="136"/>
      <c r="C578" s="128"/>
      <c r="D578" s="128"/>
      <c r="E578" s="128"/>
      <c r="F578" s="128"/>
      <c r="G578" s="128"/>
      <c r="H578" s="136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>
      <c r="A579" s="135"/>
      <c r="B579" s="136"/>
      <c r="C579" s="128"/>
      <c r="D579" s="128"/>
      <c r="E579" s="128"/>
      <c r="F579" s="128"/>
      <c r="G579" s="128"/>
      <c r="H579" s="136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</row>
    <row r="580">
      <c r="A580" s="135"/>
      <c r="B580" s="136"/>
      <c r="C580" s="128"/>
      <c r="D580" s="128"/>
      <c r="E580" s="128"/>
      <c r="F580" s="128"/>
      <c r="G580" s="128"/>
      <c r="H580" s="136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>
      <c r="A581" s="135"/>
      <c r="B581" s="136"/>
      <c r="C581" s="128"/>
      <c r="D581" s="128"/>
      <c r="E581" s="128"/>
      <c r="F581" s="128"/>
      <c r="G581" s="128"/>
      <c r="H581" s="136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>
      <c r="A582" s="135"/>
      <c r="B582" s="136"/>
      <c r="C582" s="128"/>
      <c r="D582" s="128"/>
      <c r="E582" s="128"/>
      <c r="F582" s="128"/>
      <c r="G582" s="128"/>
      <c r="H582" s="136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>
      <c r="A583" s="135"/>
      <c r="B583" s="136"/>
      <c r="C583" s="128"/>
      <c r="D583" s="128"/>
      <c r="E583" s="128"/>
      <c r="F583" s="128"/>
      <c r="G583" s="128"/>
      <c r="H583" s="136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>
      <c r="A584" s="135"/>
      <c r="B584" s="136"/>
      <c r="C584" s="128"/>
      <c r="D584" s="128"/>
      <c r="E584" s="128"/>
      <c r="F584" s="128"/>
      <c r="G584" s="128"/>
      <c r="H584" s="136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>
      <c r="A585" s="135"/>
      <c r="B585" s="136"/>
      <c r="C585" s="128"/>
      <c r="D585" s="128"/>
      <c r="E585" s="128"/>
      <c r="F585" s="128"/>
      <c r="G585" s="128"/>
      <c r="H585" s="136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</row>
    <row r="586">
      <c r="A586" s="135"/>
      <c r="B586" s="136"/>
      <c r="C586" s="128"/>
      <c r="D586" s="128"/>
      <c r="E586" s="128"/>
      <c r="F586" s="128"/>
      <c r="G586" s="128"/>
      <c r="H586" s="136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</row>
    <row r="587">
      <c r="A587" s="135"/>
      <c r="B587" s="136"/>
      <c r="C587" s="128"/>
      <c r="D587" s="128"/>
      <c r="E587" s="128"/>
      <c r="F587" s="128"/>
      <c r="G587" s="128"/>
      <c r="H587" s="136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>
      <c r="A588" s="135"/>
      <c r="B588" s="136"/>
      <c r="C588" s="128"/>
      <c r="D588" s="128"/>
      <c r="E588" s="128"/>
      <c r="F588" s="128"/>
      <c r="G588" s="128"/>
      <c r="H588" s="136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</row>
    <row r="589">
      <c r="A589" s="135"/>
      <c r="B589" s="136"/>
      <c r="C589" s="128"/>
      <c r="D589" s="128"/>
      <c r="E589" s="128"/>
      <c r="F589" s="128"/>
      <c r="G589" s="128"/>
      <c r="H589" s="136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>
      <c r="A590" s="135"/>
      <c r="B590" s="136"/>
      <c r="C590" s="128"/>
      <c r="D590" s="128"/>
      <c r="E590" s="128"/>
      <c r="F590" s="128"/>
      <c r="G590" s="128"/>
      <c r="H590" s="136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>
      <c r="A591" s="135"/>
      <c r="B591" s="136"/>
      <c r="C591" s="128"/>
      <c r="D591" s="128"/>
      <c r="E591" s="128"/>
      <c r="F591" s="128"/>
      <c r="G591" s="128"/>
      <c r="H591" s="136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>
      <c r="A592" s="135"/>
      <c r="B592" s="136"/>
      <c r="C592" s="128"/>
      <c r="D592" s="128"/>
      <c r="E592" s="128"/>
      <c r="F592" s="128"/>
      <c r="G592" s="128"/>
      <c r="H592" s="136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</row>
    <row r="593">
      <c r="A593" s="135"/>
      <c r="B593" s="136"/>
      <c r="C593" s="128"/>
      <c r="D593" s="128"/>
      <c r="E593" s="128"/>
      <c r="F593" s="128"/>
      <c r="G593" s="128"/>
      <c r="H593" s="136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>
      <c r="A594" s="135"/>
      <c r="B594" s="136"/>
      <c r="C594" s="128"/>
      <c r="D594" s="128"/>
      <c r="E594" s="128"/>
      <c r="F594" s="128"/>
      <c r="G594" s="128"/>
      <c r="H594" s="136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</row>
    <row r="595">
      <c r="A595" s="135"/>
      <c r="B595" s="136"/>
      <c r="C595" s="128"/>
      <c r="D595" s="128"/>
      <c r="E595" s="128"/>
      <c r="F595" s="128"/>
      <c r="G595" s="128"/>
      <c r="H595" s="136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</row>
    <row r="596">
      <c r="A596" s="135"/>
      <c r="B596" s="136"/>
      <c r="C596" s="128"/>
      <c r="D596" s="128"/>
      <c r="E596" s="128"/>
      <c r="F596" s="128"/>
      <c r="G596" s="128"/>
      <c r="H596" s="136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</row>
    <row r="597">
      <c r="A597" s="135"/>
      <c r="B597" s="136"/>
      <c r="C597" s="128"/>
      <c r="D597" s="128"/>
      <c r="E597" s="128"/>
      <c r="F597" s="128"/>
      <c r="G597" s="128"/>
      <c r="H597" s="136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</row>
    <row r="598">
      <c r="A598" s="135"/>
      <c r="B598" s="136"/>
      <c r="C598" s="128"/>
      <c r="D598" s="128"/>
      <c r="E598" s="128"/>
      <c r="F598" s="128"/>
      <c r="G598" s="128"/>
      <c r="H598" s="136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</row>
    <row r="599">
      <c r="A599" s="135"/>
      <c r="B599" s="136"/>
      <c r="C599" s="128"/>
      <c r="D599" s="128"/>
      <c r="E599" s="128"/>
      <c r="F599" s="128"/>
      <c r="G599" s="128"/>
      <c r="H599" s="136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</row>
    <row r="600">
      <c r="A600" s="135"/>
      <c r="B600" s="136"/>
      <c r="C600" s="128"/>
      <c r="D600" s="128"/>
      <c r="E600" s="128"/>
      <c r="F600" s="128"/>
      <c r="G600" s="128"/>
      <c r="H600" s="136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</row>
    <row r="601">
      <c r="A601" s="135"/>
      <c r="B601" s="136"/>
      <c r="C601" s="128"/>
      <c r="D601" s="128"/>
      <c r="E601" s="128"/>
      <c r="F601" s="128"/>
      <c r="G601" s="128"/>
      <c r="H601" s="136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</row>
    <row r="602">
      <c r="A602" s="135"/>
      <c r="B602" s="136"/>
      <c r="C602" s="128"/>
      <c r="D602" s="128"/>
      <c r="E602" s="128"/>
      <c r="F602" s="128"/>
      <c r="G602" s="128"/>
      <c r="H602" s="136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</row>
    <row r="603">
      <c r="A603" s="135"/>
      <c r="B603" s="136"/>
      <c r="C603" s="128"/>
      <c r="D603" s="128"/>
      <c r="E603" s="128"/>
      <c r="F603" s="128"/>
      <c r="G603" s="128"/>
      <c r="H603" s="136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>
      <c r="A604" s="135"/>
      <c r="B604" s="136"/>
      <c r="C604" s="128"/>
      <c r="D604" s="128"/>
      <c r="E604" s="128"/>
      <c r="F604" s="128"/>
      <c r="G604" s="128"/>
      <c r="H604" s="136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>
      <c r="A605" s="135"/>
      <c r="B605" s="136"/>
      <c r="C605" s="128"/>
      <c r="D605" s="128"/>
      <c r="E605" s="128"/>
      <c r="F605" s="128"/>
      <c r="G605" s="128"/>
      <c r="H605" s="136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>
      <c r="A606" s="135"/>
      <c r="B606" s="136"/>
      <c r="C606" s="128"/>
      <c r="D606" s="128"/>
      <c r="E606" s="128"/>
      <c r="F606" s="128"/>
      <c r="G606" s="128"/>
      <c r="H606" s="136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</row>
    <row r="607">
      <c r="A607" s="135"/>
      <c r="B607" s="136"/>
      <c r="C607" s="128"/>
      <c r="D607" s="128"/>
      <c r="E607" s="128"/>
      <c r="F607" s="128"/>
      <c r="G607" s="128"/>
      <c r="H607" s="136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>
      <c r="A608" s="135"/>
      <c r="B608" s="136"/>
      <c r="C608" s="128"/>
      <c r="D608" s="128"/>
      <c r="E608" s="128"/>
      <c r="F608" s="128"/>
      <c r="G608" s="128"/>
      <c r="H608" s="136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</row>
    <row r="609">
      <c r="A609" s="135"/>
      <c r="B609" s="136"/>
      <c r="C609" s="128"/>
      <c r="D609" s="128"/>
      <c r="E609" s="128"/>
      <c r="F609" s="128"/>
      <c r="G609" s="128"/>
      <c r="H609" s="136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>
      <c r="A610" s="135"/>
      <c r="B610" s="136"/>
      <c r="C610" s="128"/>
      <c r="D610" s="128"/>
      <c r="E610" s="128"/>
      <c r="F610" s="128"/>
      <c r="G610" s="128"/>
      <c r="H610" s="136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>
      <c r="A611" s="135"/>
      <c r="B611" s="136"/>
      <c r="C611" s="128"/>
      <c r="D611" s="128"/>
      <c r="E611" s="128"/>
      <c r="F611" s="128"/>
      <c r="G611" s="128"/>
      <c r="H611" s="136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>
      <c r="A612" s="135"/>
      <c r="B612" s="136"/>
      <c r="C612" s="128"/>
      <c r="D612" s="128"/>
      <c r="E612" s="128"/>
      <c r="F612" s="128"/>
      <c r="G612" s="128"/>
      <c r="H612" s="136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>
      <c r="A613" s="135"/>
      <c r="B613" s="136"/>
      <c r="C613" s="128"/>
      <c r="D613" s="128"/>
      <c r="E613" s="128"/>
      <c r="F613" s="128"/>
      <c r="G613" s="128"/>
      <c r="H613" s="136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</row>
    <row r="614">
      <c r="A614" s="135"/>
      <c r="B614" s="136"/>
      <c r="C614" s="128"/>
      <c r="D614" s="128"/>
      <c r="E614" s="128"/>
      <c r="F614" s="128"/>
      <c r="G614" s="128"/>
      <c r="H614" s="136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</row>
    <row r="615">
      <c r="A615" s="135"/>
      <c r="B615" s="136"/>
      <c r="C615" s="128"/>
      <c r="D615" s="128"/>
      <c r="E615" s="128"/>
      <c r="F615" s="128"/>
      <c r="G615" s="128"/>
      <c r="H615" s="136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>
      <c r="A616" s="135"/>
      <c r="B616" s="136"/>
      <c r="C616" s="128"/>
      <c r="D616" s="128"/>
      <c r="E616" s="128"/>
      <c r="F616" s="128"/>
      <c r="G616" s="128"/>
      <c r="H616" s="136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</row>
    <row r="617">
      <c r="A617" s="135"/>
      <c r="B617" s="136"/>
      <c r="C617" s="128"/>
      <c r="D617" s="128"/>
      <c r="E617" s="128"/>
      <c r="F617" s="128"/>
      <c r="G617" s="128"/>
      <c r="H617" s="136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>
      <c r="A618" s="135"/>
      <c r="B618" s="136"/>
      <c r="C618" s="128"/>
      <c r="D618" s="128"/>
      <c r="E618" s="128"/>
      <c r="F618" s="128"/>
      <c r="G618" s="128"/>
      <c r="H618" s="136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</row>
    <row r="619">
      <c r="A619" s="135"/>
      <c r="B619" s="136"/>
      <c r="C619" s="128"/>
      <c r="D619" s="128"/>
      <c r="E619" s="128"/>
      <c r="F619" s="128"/>
      <c r="G619" s="128"/>
      <c r="H619" s="136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</row>
    <row r="620">
      <c r="A620" s="135"/>
      <c r="B620" s="136"/>
      <c r="C620" s="128"/>
      <c r="D620" s="128"/>
      <c r="E620" s="128"/>
      <c r="F620" s="128"/>
      <c r="G620" s="128"/>
      <c r="H620" s="136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>
      <c r="A621" s="135"/>
      <c r="B621" s="136"/>
      <c r="C621" s="128"/>
      <c r="D621" s="128"/>
      <c r="E621" s="128"/>
      <c r="F621" s="128"/>
      <c r="G621" s="128"/>
      <c r="H621" s="136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>
      <c r="A622" s="135"/>
      <c r="B622" s="136"/>
      <c r="C622" s="128"/>
      <c r="D622" s="128"/>
      <c r="E622" s="128"/>
      <c r="F622" s="128"/>
      <c r="G622" s="128"/>
      <c r="H622" s="136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>
      <c r="A623" s="135"/>
      <c r="B623" s="136"/>
      <c r="C623" s="128"/>
      <c r="D623" s="128"/>
      <c r="E623" s="128"/>
      <c r="F623" s="128"/>
      <c r="G623" s="128"/>
      <c r="H623" s="136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</row>
    <row r="624">
      <c r="A624" s="135"/>
      <c r="B624" s="136"/>
      <c r="C624" s="128"/>
      <c r="D624" s="128"/>
      <c r="E624" s="128"/>
      <c r="F624" s="128"/>
      <c r="G624" s="128"/>
      <c r="H624" s="136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</row>
    <row r="625">
      <c r="A625" s="135"/>
      <c r="B625" s="136"/>
      <c r="C625" s="128"/>
      <c r="D625" s="128"/>
      <c r="E625" s="128"/>
      <c r="F625" s="128"/>
      <c r="G625" s="128"/>
      <c r="H625" s="136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</row>
    <row r="626">
      <c r="A626" s="135"/>
      <c r="B626" s="136"/>
      <c r="C626" s="128"/>
      <c r="D626" s="128"/>
      <c r="E626" s="128"/>
      <c r="F626" s="128"/>
      <c r="G626" s="128"/>
      <c r="H626" s="136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</row>
    <row r="627">
      <c r="A627" s="135"/>
      <c r="B627" s="136"/>
      <c r="C627" s="128"/>
      <c r="D627" s="128"/>
      <c r="E627" s="128"/>
      <c r="F627" s="128"/>
      <c r="G627" s="128"/>
      <c r="H627" s="136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>
      <c r="A628" s="135"/>
      <c r="B628" s="136"/>
      <c r="C628" s="128"/>
      <c r="D628" s="128"/>
      <c r="E628" s="128"/>
      <c r="F628" s="128"/>
      <c r="G628" s="128"/>
      <c r="H628" s="136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>
      <c r="A629" s="135"/>
      <c r="B629" s="136"/>
      <c r="C629" s="128"/>
      <c r="D629" s="128"/>
      <c r="E629" s="128"/>
      <c r="F629" s="128"/>
      <c r="G629" s="128"/>
      <c r="H629" s="136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>
      <c r="A630" s="135"/>
      <c r="B630" s="136"/>
      <c r="C630" s="128"/>
      <c r="D630" s="128"/>
      <c r="E630" s="128"/>
      <c r="F630" s="128"/>
      <c r="G630" s="128"/>
      <c r="H630" s="136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</row>
    <row r="631">
      <c r="A631" s="135"/>
      <c r="B631" s="136"/>
      <c r="C631" s="128"/>
      <c r="D631" s="128"/>
      <c r="E631" s="128"/>
      <c r="F631" s="128"/>
      <c r="G631" s="128"/>
      <c r="H631" s="136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</row>
    <row r="632">
      <c r="A632" s="135"/>
      <c r="B632" s="136"/>
      <c r="C632" s="128"/>
      <c r="D632" s="128"/>
      <c r="E632" s="128"/>
      <c r="F632" s="128"/>
      <c r="G632" s="128"/>
      <c r="H632" s="136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</row>
    <row r="633">
      <c r="A633" s="135"/>
      <c r="B633" s="136"/>
      <c r="C633" s="128"/>
      <c r="D633" s="128"/>
      <c r="E633" s="128"/>
      <c r="F633" s="128"/>
      <c r="G633" s="128"/>
      <c r="H633" s="136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>
      <c r="A634" s="135"/>
      <c r="B634" s="136"/>
      <c r="C634" s="128"/>
      <c r="D634" s="128"/>
      <c r="E634" s="128"/>
      <c r="F634" s="128"/>
      <c r="G634" s="128"/>
      <c r="H634" s="136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>
      <c r="A635" s="135"/>
      <c r="B635" s="136"/>
      <c r="C635" s="128"/>
      <c r="D635" s="128"/>
      <c r="E635" s="128"/>
      <c r="F635" s="128"/>
      <c r="G635" s="128"/>
      <c r="H635" s="136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>
      <c r="A636" s="135"/>
      <c r="B636" s="136"/>
      <c r="C636" s="128"/>
      <c r="D636" s="128"/>
      <c r="E636" s="128"/>
      <c r="F636" s="128"/>
      <c r="G636" s="128"/>
      <c r="H636" s="136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</row>
    <row r="637">
      <c r="A637" s="135"/>
      <c r="B637" s="136"/>
      <c r="C637" s="128"/>
      <c r="D637" s="128"/>
      <c r="E637" s="128"/>
      <c r="F637" s="128"/>
      <c r="G637" s="128"/>
      <c r="H637" s="136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</row>
    <row r="638">
      <c r="A638" s="135"/>
      <c r="B638" s="136"/>
      <c r="C638" s="128"/>
      <c r="D638" s="128"/>
      <c r="E638" s="128"/>
      <c r="F638" s="128"/>
      <c r="G638" s="128"/>
      <c r="H638" s="136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</row>
    <row r="639">
      <c r="A639" s="135"/>
      <c r="B639" s="136"/>
      <c r="C639" s="128"/>
      <c r="D639" s="128"/>
      <c r="E639" s="128"/>
      <c r="F639" s="128"/>
      <c r="G639" s="128"/>
      <c r="H639" s="136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</row>
    <row r="640">
      <c r="A640" s="135"/>
      <c r="B640" s="136"/>
      <c r="C640" s="128"/>
      <c r="D640" s="128"/>
      <c r="E640" s="128"/>
      <c r="F640" s="128"/>
      <c r="G640" s="128"/>
      <c r="H640" s="136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</row>
    <row r="641">
      <c r="A641" s="135"/>
      <c r="B641" s="136"/>
      <c r="C641" s="128"/>
      <c r="D641" s="128"/>
      <c r="E641" s="128"/>
      <c r="F641" s="128"/>
      <c r="G641" s="128"/>
      <c r="H641" s="136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</row>
    <row r="642">
      <c r="A642" s="135"/>
      <c r="B642" s="136"/>
      <c r="C642" s="128"/>
      <c r="D642" s="128"/>
      <c r="E642" s="128"/>
      <c r="F642" s="128"/>
      <c r="G642" s="128"/>
      <c r="H642" s="136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>
      <c r="A643" s="135"/>
      <c r="B643" s="136"/>
      <c r="C643" s="128"/>
      <c r="D643" s="128"/>
      <c r="E643" s="128"/>
      <c r="F643" s="128"/>
      <c r="G643" s="128"/>
      <c r="H643" s="136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</row>
    <row r="644">
      <c r="A644" s="135"/>
      <c r="B644" s="136"/>
      <c r="C644" s="128"/>
      <c r="D644" s="128"/>
      <c r="E644" s="128"/>
      <c r="F644" s="128"/>
      <c r="G644" s="128"/>
      <c r="H644" s="136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>
      <c r="A645" s="135"/>
      <c r="B645" s="136"/>
      <c r="C645" s="128"/>
      <c r="D645" s="128"/>
      <c r="E645" s="128"/>
      <c r="F645" s="128"/>
      <c r="G645" s="128"/>
      <c r="H645" s="136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</row>
    <row r="646">
      <c r="A646" s="135"/>
      <c r="B646" s="136"/>
      <c r="C646" s="128"/>
      <c r="D646" s="128"/>
      <c r="E646" s="128"/>
      <c r="F646" s="128"/>
      <c r="G646" s="128"/>
      <c r="H646" s="136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>
      <c r="A647" s="135"/>
      <c r="B647" s="136"/>
      <c r="C647" s="128"/>
      <c r="D647" s="128"/>
      <c r="E647" s="128"/>
      <c r="F647" s="128"/>
      <c r="G647" s="128"/>
      <c r="H647" s="136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>
      <c r="A648" s="135"/>
      <c r="B648" s="136"/>
      <c r="C648" s="128"/>
      <c r="D648" s="128"/>
      <c r="E648" s="128"/>
      <c r="F648" s="128"/>
      <c r="G648" s="128"/>
      <c r="H648" s="136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>
      <c r="A649" s="135"/>
      <c r="B649" s="136"/>
      <c r="C649" s="128"/>
      <c r="D649" s="128"/>
      <c r="E649" s="128"/>
      <c r="F649" s="128"/>
      <c r="G649" s="128"/>
      <c r="H649" s="136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</row>
    <row r="650">
      <c r="A650" s="135"/>
      <c r="B650" s="136"/>
      <c r="C650" s="128"/>
      <c r="D650" s="128"/>
      <c r="E650" s="128"/>
      <c r="F650" s="128"/>
      <c r="G650" s="128"/>
      <c r="H650" s="136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>
      <c r="A651" s="135"/>
      <c r="B651" s="136"/>
      <c r="C651" s="128"/>
      <c r="D651" s="128"/>
      <c r="E651" s="128"/>
      <c r="F651" s="128"/>
      <c r="G651" s="128"/>
      <c r="H651" s="136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>
      <c r="A652" s="135"/>
      <c r="B652" s="136"/>
      <c r="C652" s="128"/>
      <c r="D652" s="128"/>
      <c r="E652" s="128"/>
      <c r="F652" s="128"/>
      <c r="G652" s="128"/>
      <c r="H652" s="136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</row>
    <row r="653">
      <c r="A653" s="135"/>
      <c r="B653" s="136"/>
      <c r="C653" s="128"/>
      <c r="D653" s="128"/>
      <c r="E653" s="128"/>
      <c r="F653" s="128"/>
      <c r="G653" s="128"/>
      <c r="H653" s="136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>
      <c r="A654" s="135"/>
      <c r="B654" s="136"/>
      <c r="C654" s="128"/>
      <c r="D654" s="128"/>
      <c r="E654" s="128"/>
      <c r="F654" s="128"/>
      <c r="G654" s="128"/>
      <c r="H654" s="136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>
      <c r="A655" s="135"/>
      <c r="B655" s="136"/>
      <c r="C655" s="128"/>
      <c r="D655" s="128"/>
      <c r="E655" s="128"/>
      <c r="F655" s="128"/>
      <c r="G655" s="128"/>
      <c r="H655" s="136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>
      <c r="A656" s="135"/>
      <c r="B656" s="136"/>
      <c r="C656" s="128"/>
      <c r="D656" s="128"/>
      <c r="E656" s="128"/>
      <c r="F656" s="128"/>
      <c r="G656" s="128"/>
      <c r="H656" s="136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>
      <c r="A657" s="135"/>
      <c r="B657" s="136"/>
      <c r="C657" s="128"/>
      <c r="D657" s="128"/>
      <c r="E657" s="128"/>
      <c r="F657" s="128"/>
      <c r="G657" s="128"/>
      <c r="H657" s="136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>
      <c r="A658" s="135"/>
      <c r="B658" s="136"/>
      <c r="C658" s="128"/>
      <c r="D658" s="128"/>
      <c r="E658" s="128"/>
      <c r="F658" s="128"/>
      <c r="G658" s="128"/>
      <c r="H658" s="136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</row>
    <row r="659">
      <c r="A659" s="135"/>
      <c r="B659" s="136"/>
      <c r="C659" s="128"/>
      <c r="D659" s="128"/>
      <c r="E659" s="128"/>
      <c r="F659" s="128"/>
      <c r="G659" s="128"/>
      <c r="H659" s="136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>
      <c r="A660" s="135"/>
      <c r="B660" s="136"/>
      <c r="C660" s="128"/>
      <c r="D660" s="128"/>
      <c r="E660" s="128"/>
      <c r="F660" s="128"/>
      <c r="G660" s="128"/>
      <c r="H660" s="136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>
      <c r="A661" s="135"/>
      <c r="B661" s="136"/>
      <c r="C661" s="128"/>
      <c r="D661" s="128"/>
      <c r="E661" s="128"/>
      <c r="F661" s="128"/>
      <c r="G661" s="128"/>
      <c r="H661" s="136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</row>
    <row r="662">
      <c r="A662" s="135"/>
      <c r="B662" s="136"/>
      <c r="C662" s="128"/>
      <c r="D662" s="128"/>
      <c r="E662" s="128"/>
      <c r="F662" s="128"/>
      <c r="G662" s="128"/>
      <c r="H662" s="136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>
      <c r="A663" s="135"/>
      <c r="B663" s="136"/>
      <c r="C663" s="128"/>
      <c r="D663" s="128"/>
      <c r="E663" s="128"/>
      <c r="F663" s="128"/>
      <c r="G663" s="128"/>
      <c r="H663" s="136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>
      <c r="A664" s="135"/>
      <c r="B664" s="136"/>
      <c r="C664" s="128"/>
      <c r="D664" s="128"/>
      <c r="E664" s="128"/>
      <c r="F664" s="128"/>
      <c r="G664" s="128"/>
      <c r="H664" s="136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>
      <c r="A665" s="135"/>
      <c r="B665" s="136"/>
      <c r="C665" s="128"/>
      <c r="D665" s="128"/>
      <c r="E665" s="128"/>
      <c r="F665" s="128"/>
      <c r="G665" s="128"/>
      <c r="H665" s="136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>
      <c r="A666" s="135"/>
      <c r="B666" s="136"/>
      <c r="C666" s="128"/>
      <c r="D666" s="128"/>
      <c r="E666" s="128"/>
      <c r="F666" s="128"/>
      <c r="G666" s="128"/>
      <c r="H666" s="136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>
      <c r="A667" s="135"/>
      <c r="B667" s="136"/>
      <c r="C667" s="128"/>
      <c r="D667" s="128"/>
      <c r="E667" s="128"/>
      <c r="F667" s="128"/>
      <c r="G667" s="128"/>
      <c r="H667" s="136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>
      <c r="A668" s="135"/>
      <c r="B668" s="136"/>
      <c r="C668" s="128"/>
      <c r="D668" s="128"/>
      <c r="E668" s="128"/>
      <c r="F668" s="128"/>
      <c r="G668" s="128"/>
      <c r="H668" s="136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>
      <c r="A669" s="135"/>
      <c r="B669" s="136"/>
      <c r="C669" s="128"/>
      <c r="D669" s="128"/>
      <c r="E669" s="128"/>
      <c r="F669" s="128"/>
      <c r="G669" s="128"/>
      <c r="H669" s="136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>
      <c r="A670" s="135"/>
      <c r="B670" s="136"/>
      <c r="C670" s="128"/>
      <c r="D670" s="128"/>
      <c r="E670" s="128"/>
      <c r="F670" s="128"/>
      <c r="G670" s="128"/>
      <c r="H670" s="136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>
      <c r="A671" s="135"/>
      <c r="B671" s="136"/>
      <c r="C671" s="128"/>
      <c r="D671" s="128"/>
      <c r="E671" s="128"/>
      <c r="F671" s="128"/>
      <c r="G671" s="128"/>
      <c r="H671" s="136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>
      <c r="A672" s="135"/>
      <c r="B672" s="136"/>
      <c r="C672" s="128"/>
      <c r="D672" s="128"/>
      <c r="E672" s="128"/>
      <c r="F672" s="128"/>
      <c r="G672" s="128"/>
      <c r="H672" s="136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>
      <c r="A673" s="135"/>
      <c r="B673" s="136"/>
      <c r="C673" s="128"/>
      <c r="D673" s="128"/>
      <c r="E673" s="128"/>
      <c r="F673" s="128"/>
      <c r="G673" s="128"/>
      <c r="H673" s="136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>
      <c r="A674" s="135"/>
      <c r="B674" s="136"/>
      <c r="C674" s="128"/>
      <c r="D674" s="128"/>
      <c r="E674" s="128"/>
      <c r="F674" s="128"/>
      <c r="G674" s="128"/>
      <c r="H674" s="136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>
      <c r="A675" s="135"/>
      <c r="B675" s="136"/>
      <c r="C675" s="128"/>
      <c r="D675" s="128"/>
      <c r="E675" s="128"/>
      <c r="F675" s="128"/>
      <c r="G675" s="128"/>
      <c r="H675" s="136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>
      <c r="A676" s="135"/>
      <c r="B676" s="136"/>
      <c r="C676" s="128"/>
      <c r="D676" s="128"/>
      <c r="E676" s="128"/>
      <c r="F676" s="128"/>
      <c r="G676" s="128"/>
      <c r="H676" s="136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>
      <c r="A677" s="135"/>
      <c r="B677" s="136"/>
      <c r="C677" s="128"/>
      <c r="D677" s="128"/>
      <c r="E677" s="128"/>
      <c r="F677" s="128"/>
      <c r="G677" s="128"/>
      <c r="H677" s="136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>
      <c r="A678" s="135"/>
      <c r="B678" s="136"/>
      <c r="C678" s="128"/>
      <c r="D678" s="128"/>
      <c r="E678" s="128"/>
      <c r="F678" s="128"/>
      <c r="G678" s="128"/>
      <c r="H678" s="136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>
      <c r="A679" s="135"/>
      <c r="B679" s="136"/>
      <c r="C679" s="128"/>
      <c r="D679" s="128"/>
      <c r="E679" s="128"/>
      <c r="F679" s="128"/>
      <c r="G679" s="128"/>
      <c r="H679" s="136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>
      <c r="A680" s="135"/>
      <c r="B680" s="136"/>
      <c r="C680" s="128"/>
      <c r="D680" s="128"/>
      <c r="E680" s="128"/>
      <c r="F680" s="128"/>
      <c r="G680" s="128"/>
      <c r="H680" s="136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</row>
    <row r="681">
      <c r="A681" s="135"/>
      <c r="B681" s="136"/>
      <c r="C681" s="128"/>
      <c r="D681" s="128"/>
      <c r="E681" s="128"/>
      <c r="F681" s="128"/>
      <c r="G681" s="128"/>
      <c r="H681" s="136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</row>
    <row r="682">
      <c r="A682" s="135"/>
      <c r="B682" s="136"/>
      <c r="C682" s="128"/>
      <c r="D682" s="128"/>
      <c r="E682" s="128"/>
      <c r="F682" s="128"/>
      <c r="G682" s="128"/>
      <c r="H682" s="136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</row>
    <row r="683">
      <c r="A683" s="135"/>
      <c r="B683" s="136"/>
      <c r="C683" s="128"/>
      <c r="D683" s="128"/>
      <c r="E683" s="128"/>
      <c r="F683" s="128"/>
      <c r="G683" s="128"/>
      <c r="H683" s="136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</row>
    <row r="684">
      <c r="A684" s="135"/>
      <c r="B684" s="136"/>
      <c r="C684" s="128"/>
      <c r="D684" s="128"/>
      <c r="E684" s="128"/>
      <c r="F684" s="128"/>
      <c r="G684" s="128"/>
      <c r="H684" s="136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>
      <c r="A685" s="135"/>
      <c r="B685" s="136"/>
      <c r="C685" s="128"/>
      <c r="D685" s="128"/>
      <c r="E685" s="128"/>
      <c r="F685" s="128"/>
      <c r="G685" s="128"/>
      <c r="H685" s="136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</row>
    <row r="686">
      <c r="A686" s="135"/>
      <c r="B686" s="136"/>
      <c r="C686" s="128"/>
      <c r="D686" s="128"/>
      <c r="E686" s="128"/>
      <c r="F686" s="128"/>
      <c r="G686" s="128"/>
      <c r="H686" s="136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</row>
    <row r="687">
      <c r="A687" s="135"/>
      <c r="B687" s="136"/>
      <c r="C687" s="128"/>
      <c r="D687" s="128"/>
      <c r="E687" s="128"/>
      <c r="F687" s="128"/>
      <c r="G687" s="128"/>
      <c r="H687" s="136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</row>
    <row r="688">
      <c r="A688" s="135"/>
      <c r="B688" s="136"/>
      <c r="C688" s="128"/>
      <c r="D688" s="128"/>
      <c r="E688" s="128"/>
      <c r="F688" s="128"/>
      <c r="G688" s="128"/>
      <c r="H688" s="136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</row>
    <row r="689">
      <c r="A689" s="135"/>
      <c r="B689" s="136"/>
      <c r="C689" s="128"/>
      <c r="D689" s="128"/>
      <c r="E689" s="128"/>
      <c r="F689" s="128"/>
      <c r="G689" s="128"/>
      <c r="H689" s="136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</row>
    <row r="690">
      <c r="A690" s="135"/>
      <c r="B690" s="136"/>
      <c r="C690" s="128"/>
      <c r="D690" s="128"/>
      <c r="E690" s="128"/>
      <c r="F690" s="128"/>
      <c r="G690" s="128"/>
      <c r="H690" s="136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</row>
    <row r="691">
      <c r="A691" s="135"/>
      <c r="B691" s="136"/>
      <c r="C691" s="128"/>
      <c r="D691" s="128"/>
      <c r="E691" s="128"/>
      <c r="F691" s="128"/>
      <c r="G691" s="128"/>
      <c r="H691" s="136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</row>
    <row r="692">
      <c r="A692" s="135"/>
      <c r="B692" s="136"/>
      <c r="C692" s="128"/>
      <c r="D692" s="128"/>
      <c r="E692" s="128"/>
      <c r="F692" s="128"/>
      <c r="G692" s="128"/>
      <c r="H692" s="136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</row>
    <row r="693">
      <c r="A693" s="135"/>
      <c r="B693" s="136"/>
      <c r="C693" s="128"/>
      <c r="D693" s="128"/>
      <c r="E693" s="128"/>
      <c r="F693" s="128"/>
      <c r="G693" s="128"/>
      <c r="H693" s="136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</row>
    <row r="694">
      <c r="A694" s="135"/>
      <c r="B694" s="136"/>
      <c r="C694" s="128"/>
      <c r="D694" s="128"/>
      <c r="E694" s="128"/>
      <c r="F694" s="128"/>
      <c r="G694" s="128"/>
      <c r="H694" s="136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</row>
    <row r="695">
      <c r="A695" s="135"/>
      <c r="B695" s="136"/>
      <c r="C695" s="128"/>
      <c r="D695" s="128"/>
      <c r="E695" s="128"/>
      <c r="F695" s="128"/>
      <c r="G695" s="128"/>
      <c r="H695" s="136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</row>
    <row r="696">
      <c r="A696" s="135"/>
      <c r="B696" s="136"/>
      <c r="C696" s="128"/>
      <c r="D696" s="128"/>
      <c r="E696" s="128"/>
      <c r="F696" s="128"/>
      <c r="G696" s="128"/>
      <c r="H696" s="136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</row>
    <row r="697">
      <c r="A697" s="135"/>
      <c r="B697" s="136"/>
      <c r="C697" s="128"/>
      <c r="D697" s="128"/>
      <c r="E697" s="128"/>
      <c r="F697" s="128"/>
      <c r="G697" s="128"/>
      <c r="H697" s="136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</row>
    <row r="698">
      <c r="A698" s="135"/>
      <c r="B698" s="136"/>
      <c r="C698" s="128"/>
      <c r="D698" s="128"/>
      <c r="E698" s="128"/>
      <c r="F698" s="128"/>
      <c r="G698" s="128"/>
      <c r="H698" s="136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</row>
    <row r="699">
      <c r="A699" s="135"/>
      <c r="B699" s="136"/>
      <c r="C699" s="128"/>
      <c r="D699" s="128"/>
      <c r="E699" s="128"/>
      <c r="F699" s="128"/>
      <c r="G699" s="128"/>
      <c r="H699" s="136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</row>
    <row r="700">
      <c r="A700" s="135"/>
      <c r="B700" s="136"/>
      <c r="C700" s="128"/>
      <c r="D700" s="128"/>
      <c r="E700" s="128"/>
      <c r="F700" s="128"/>
      <c r="G700" s="128"/>
      <c r="H700" s="136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</row>
    <row r="701">
      <c r="A701" s="135"/>
      <c r="B701" s="136"/>
      <c r="C701" s="128"/>
      <c r="D701" s="128"/>
      <c r="E701" s="128"/>
      <c r="F701" s="128"/>
      <c r="G701" s="128"/>
      <c r="H701" s="136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</row>
    <row r="702">
      <c r="A702" s="135"/>
      <c r="B702" s="136"/>
      <c r="C702" s="128"/>
      <c r="D702" s="128"/>
      <c r="E702" s="128"/>
      <c r="F702" s="128"/>
      <c r="G702" s="128"/>
      <c r="H702" s="136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</row>
    <row r="703">
      <c r="A703" s="135"/>
      <c r="B703" s="136"/>
      <c r="C703" s="128"/>
      <c r="D703" s="128"/>
      <c r="E703" s="128"/>
      <c r="F703" s="128"/>
      <c r="G703" s="128"/>
      <c r="H703" s="136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</row>
    <row r="704">
      <c r="A704" s="135"/>
      <c r="B704" s="136"/>
      <c r="C704" s="128"/>
      <c r="D704" s="128"/>
      <c r="E704" s="128"/>
      <c r="F704" s="128"/>
      <c r="G704" s="128"/>
      <c r="H704" s="136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</row>
    <row r="705">
      <c r="A705" s="135"/>
      <c r="B705" s="136"/>
      <c r="C705" s="128"/>
      <c r="D705" s="128"/>
      <c r="E705" s="128"/>
      <c r="F705" s="128"/>
      <c r="G705" s="128"/>
      <c r="H705" s="136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706">
      <c r="A706" s="135"/>
      <c r="B706" s="136"/>
      <c r="C706" s="128"/>
      <c r="D706" s="128"/>
      <c r="E706" s="128"/>
      <c r="F706" s="128"/>
      <c r="G706" s="128"/>
      <c r="H706" s="136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</row>
    <row r="707">
      <c r="A707" s="135"/>
      <c r="B707" s="136"/>
      <c r="C707" s="128"/>
      <c r="D707" s="128"/>
      <c r="E707" s="128"/>
      <c r="F707" s="128"/>
      <c r="G707" s="128"/>
      <c r="H707" s="136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</row>
    <row r="708">
      <c r="A708" s="135"/>
      <c r="B708" s="136"/>
      <c r="C708" s="128"/>
      <c r="D708" s="128"/>
      <c r="E708" s="128"/>
      <c r="F708" s="128"/>
      <c r="G708" s="128"/>
      <c r="H708" s="136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</row>
    <row r="709">
      <c r="A709" s="135"/>
      <c r="B709" s="136"/>
      <c r="C709" s="128"/>
      <c r="D709" s="128"/>
      <c r="E709" s="128"/>
      <c r="F709" s="128"/>
      <c r="G709" s="128"/>
      <c r="H709" s="136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</row>
    <row r="710">
      <c r="A710" s="135"/>
      <c r="B710" s="136"/>
      <c r="C710" s="128"/>
      <c r="D710" s="128"/>
      <c r="E710" s="128"/>
      <c r="F710" s="128"/>
      <c r="G710" s="128"/>
      <c r="H710" s="136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</row>
    <row r="711">
      <c r="A711" s="135"/>
      <c r="B711" s="136"/>
      <c r="C711" s="128"/>
      <c r="D711" s="128"/>
      <c r="E711" s="128"/>
      <c r="F711" s="128"/>
      <c r="G711" s="128"/>
      <c r="H711" s="136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</row>
    <row r="712">
      <c r="A712" s="135"/>
      <c r="B712" s="136"/>
      <c r="C712" s="128"/>
      <c r="D712" s="128"/>
      <c r="E712" s="128"/>
      <c r="F712" s="128"/>
      <c r="G712" s="128"/>
      <c r="H712" s="136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</row>
    <row r="713">
      <c r="A713" s="135"/>
      <c r="B713" s="136"/>
      <c r="C713" s="128"/>
      <c r="D713" s="128"/>
      <c r="E713" s="128"/>
      <c r="F713" s="128"/>
      <c r="G713" s="128"/>
      <c r="H713" s="136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</row>
    <row r="714">
      <c r="A714" s="135"/>
      <c r="B714" s="136"/>
      <c r="C714" s="128"/>
      <c r="D714" s="128"/>
      <c r="E714" s="128"/>
      <c r="F714" s="128"/>
      <c r="G714" s="128"/>
      <c r="H714" s="136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</row>
    <row r="715">
      <c r="A715" s="135"/>
      <c r="B715" s="136"/>
      <c r="C715" s="128"/>
      <c r="D715" s="128"/>
      <c r="E715" s="128"/>
      <c r="F715" s="128"/>
      <c r="G715" s="128"/>
      <c r="H715" s="136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</row>
    <row r="716">
      <c r="A716" s="135"/>
      <c r="B716" s="136"/>
      <c r="C716" s="128"/>
      <c r="D716" s="128"/>
      <c r="E716" s="128"/>
      <c r="F716" s="128"/>
      <c r="G716" s="128"/>
      <c r="H716" s="136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</row>
    <row r="717">
      <c r="A717" s="135"/>
      <c r="B717" s="136"/>
      <c r="C717" s="128"/>
      <c r="D717" s="128"/>
      <c r="E717" s="128"/>
      <c r="F717" s="128"/>
      <c r="G717" s="128"/>
      <c r="H717" s="136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</row>
    <row r="718">
      <c r="A718" s="135"/>
      <c r="B718" s="136"/>
      <c r="C718" s="128"/>
      <c r="D718" s="128"/>
      <c r="E718" s="128"/>
      <c r="F718" s="128"/>
      <c r="G718" s="128"/>
      <c r="H718" s="136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</row>
    <row r="719">
      <c r="A719" s="135"/>
      <c r="B719" s="136"/>
      <c r="C719" s="128"/>
      <c r="D719" s="128"/>
      <c r="E719" s="128"/>
      <c r="F719" s="128"/>
      <c r="G719" s="128"/>
      <c r="H719" s="136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</row>
    <row r="720">
      <c r="A720" s="135"/>
      <c r="B720" s="136"/>
      <c r="C720" s="128"/>
      <c r="D720" s="128"/>
      <c r="E720" s="128"/>
      <c r="F720" s="128"/>
      <c r="G720" s="128"/>
      <c r="H720" s="136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</row>
    <row r="721">
      <c r="A721" s="135"/>
      <c r="B721" s="136"/>
      <c r="C721" s="128"/>
      <c r="D721" s="128"/>
      <c r="E721" s="128"/>
      <c r="F721" s="128"/>
      <c r="G721" s="128"/>
      <c r="H721" s="136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</row>
    <row r="722">
      <c r="A722" s="135"/>
      <c r="B722" s="136"/>
      <c r="C722" s="128"/>
      <c r="D722" s="128"/>
      <c r="E722" s="128"/>
      <c r="F722" s="128"/>
      <c r="G722" s="128"/>
      <c r="H722" s="136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</row>
    <row r="723">
      <c r="A723" s="135"/>
      <c r="B723" s="136"/>
      <c r="C723" s="128"/>
      <c r="D723" s="128"/>
      <c r="E723" s="128"/>
      <c r="F723" s="128"/>
      <c r="G723" s="128"/>
      <c r="H723" s="136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</row>
    <row r="724">
      <c r="A724" s="135"/>
      <c r="B724" s="136"/>
      <c r="C724" s="128"/>
      <c r="D724" s="128"/>
      <c r="E724" s="128"/>
      <c r="F724" s="128"/>
      <c r="G724" s="128"/>
      <c r="H724" s="136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</row>
    <row r="725">
      <c r="A725" s="135"/>
      <c r="B725" s="136"/>
      <c r="C725" s="128"/>
      <c r="D725" s="128"/>
      <c r="E725" s="128"/>
      <c r="F725" s="128"/>
      <c r="G725" s="128"/>
      <c r="H725" s="136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</row>
    <row r="726">
      <c r="A726" s="135"/>
      <c r="B726" s="136"/>
      <c r="C726" s="128"/>
      <c r="D726" s="128"/>
      <c r="E726" s="128"/>
      <c r="F726" s="128"/>
      <c r="G726" s="128"/>
      <c r="H726" s="136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</row>
    <row r="727">
      <c r="A727" s="135"/>
      <c r="B727" s="136"/>
      <c r="C727" s="128"/>
      <c r="D727" s="128"/>
      <c r="E727" s="128"/>
      <c r="F727" s="128"/>
      <c r="G727" s="128"/>
      <c r="H727" s="136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</row>
    <row r="728">
      <c r="A728" s="135"/>
      <c r="B728" s="136"/>
      <c r="C728" s="128"/>
      <c r="D728" s="128"/>
      <c r="E728" s="128"/>
      <c r="F728" s="128"/>
      <c r="G728" s="128"/>
      <c r="H728" s="136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</row>
    <row r="729">
      <c r="A729" s="135"/>
      <c r="B729" s="136"/>
      <c r="C729" s="128"/>
      <c r="D729" s="128"/>
      <c r="E729" s="128"/>
      <c r="F729" s="128"/>
      <c r="G729" s="128"/>
      <c r="H729" s="136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</row>
    <row r="730">
      <c r="A730" s="135"/>
      <c r="B730" s="136"/>
      <c r="C730" s="128"/>
      <c r="D730" s="128"/>
      <c r="E730" s="128"/>
      <c r="F730" s="128"/>
      <c r="G730" s="128"/>
      <c r="H730" s="136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</row>
    <row r="731">
      <c r="A731" s="135"/>
      <c r="B731" s="136"/>
      <c r="C731" s="128"/>
      <c r="D731" s="128"/>
      <c r="E731" s="128"/>
      <c r="F731" s="128"/>
      <c r="G731" s="128"/>
      <c r="H731" s="136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</row>
    <row r="732">
      <c r="A732" s="135"/>
      <c r="B732" s="136"/>
      <c r="C732" s="128"/>
      <c r="D732" s="128"/>
      <c r="E732" s="128"/>
      <c r="F732" s="128"/>
      <c r="G732" s="128"/>
      <c r="H732" s="136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</row>
    <row r="733">
      <c r="A733" s="135"/>
      <c r="B733" s="136"/>
      <c r="C733" s="128"/>
      <c r="D733" s="128"/>
      <c r="E733" s="128"/>
      <c r="F733" s="128"/>
      <c r="G733" s="128"/>
      <c r="H733" s="136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</row>
    <row r="734">
      <c r="A734" s="135"/>
      <c r="B734" s="136"/>
      <c r="C734" s="128"/>
      <c r="D734" s="128"/>
      <c r="E734" s="128"/>
      <c r="F734" s="128"/>
      <c r="G734" s="128"/>
      <c r="H734" s="136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</row>
    <row r="735">
      <c r="A735" s="135"/>
      <c r="B735" s="136"/>
      <c r="C735" s="128"/>
      <c r="D735" s="128"/>
      <c r="E735" s="128"/>
      <c r="F735" s="128"/>
      <c r="G735" s="128"/>
      <c r="H735" s="136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</row>
    <row r="736">
      <c r="A736" s="135"/>
      <c r="B736" s="136"/>
      <c r="C736" s="128"/>
      <c r="D736" s="128"/>
      <c r="E736" s="128"/>
      <c r="F736" s="128"/>
      <c r="G736" s="128"/>
      <c r="H736" s="136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</row>
    <row r="737">
      <c r="A737" s="135"/>
      <c r="B737" s="136"/>
      <c r="C737" s="128"/>
      <c r="D737" s="128"/>
      <c r="E737" s="128"/>
      <c r="F737" s="128"/>
      <c r="G737" s="128"/>
      <c r="H737" s="136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</row>
    <row r="738">
      <c r="A738" s="135"/>
      <c r="B738" s="136"/>
      <c r="C738" s="128"/>
      <c r="D738" s="128"/>
      <c r="E738" s="128"/>
      <c r="F738" s="128"/>
      <c r="G738" s="128"/>
      <c r="H738" s="136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</row>
    <row r="739">
      <c r="A739" s="135"/>
      <c r="B739" s="136"/>
      <c r="C739" s="128"/>
      <c r="D739" s="128"/>
      <c r="E739" s="128"/>
      <c r="F739" s="128"/>
      <c r="G739" s="128"/>
      <c r="H739" s="136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</row>
    <row r="740">
      <c r="A740" s="135"/>
      <c r="B740" s="136"/>
      <c r="C740" s="128"/>
      <c r="D740" s="128"/>
      <c r="E740" s="128"/>
      <c r="F740" s="128"/>
      <c r="G740" s="128"/>
      <c r="H740" s="136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</row>
    <row r="741">
      <c r="A741" s="135"/>
      <c r="B741" s="136"/>
      <c r="C741" s="128"/>
      <c r="D741" s="128"/>
      <c r="E741" s="128"/>
      <c r="F741" s="128"/>
      <c r="G741" s="128"/>
      <c r="H741" s="136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</row>
    <row r="742">
      <c r="A742" s="135"/>
      <c r="B742" s="136"/>
      <c r="C742" s="128"/>
      <c r="D742" s="128"/>
      <c r="E742" s="128"/>
      <c r="F742" s="128"/>
      <c r="G742" s="128"/>
      <c r="H742" s="136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</row>
    <row r="743">
      <c r="A743" s="135"/>
      <c r="B743" s="136"/>
      <c r="C743" s="128"/>
      <c r="D743" s="128"/>
      <c r="E743" s="128"/>
      <c r="F743" s="128"/>
      <c r="G743" s="128"/>
      <c r="H743" s="136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</row>
    <row r="744">
      <c r="A744" s="135"/>
      <c r="B744" s="136"/>
      <c r="C744" s="128"/>
      <c r="D744" s="128"/>
      <c r="E744" s="128"/>
      <c r="F744" s="128"/>
      <c r="G744" s="128"/>
      <c r="H744" s="136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</row>
    <row r="745">
      <c r="A745" s="135"/>
      <c r="B745" s="136"/>
      <c r="C745" s="128"/>
      <c r="D745" s="128"/>
      <c r="E745" s="128"/>
      <c r="F745" s="128"/>
      <c r="G745" s="128"/>
      <c r="H745" s="136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</row>
    <row r="746">
      <c r="A746" s="135"/>
      <c r="B746" s="136"/>
      <c r="C746" s="128"/>
      <c r="D746" s="128"/>
      <c r="E746" s="128"/>
      <c r="F746" s="128"/>
      <c r="G746" s="128"/>
      <c r="H746" s="136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</row>
    <row r="747">
      <c r="A747" s="135"/>
      <c r="B747" s="136"/>
      <c r="C747" s="128"/>
      <c r="D747" s="128"/>
      <c r="E747" s="128"/>
      <c r="F747" s="128"/>
      <c r="G747" s="128"/>
      <c r="H747" s="136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</row>
    <row r="748">
      <c r="A748" s="135"/>
      <c r="B748" s="136"/>
      <c r="C748" s="128"/>
      <c r="D748" s="128"/>
      <c r="E748" s="128"/>
      <c r="F748" s="128"/>
      <c r="G748" s="128"/>
      <c r="H748" s="136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</row>
    <row r="749">
      <c r="A749" s="135"/>
      <c r="B749" s="136"/>
      <c r="C749" s="128"/>
      <c r="D749" s="128"/>
      <c r="E749" s="128"/>
      <c r="F749" s="128"/>
      <c r="G749" s="128"/>
      <c r="H749" s="136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</row>
    <row r="750">
      <c r="A750" s="135"/>
      <c r="B750" s="136"/>
      <c r="C750" s="128"/>
      <c r="D750" s="128"/>
      <c r="E750" s="128"/>
      <c r="F750" s="128"/>
      <c r="G750" s="128"/>
      <c r="H750" s="136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</row>
    <row r="751">
      <c r="A751" s="135"/>
      <c r="B751" s="136"/>
      <c r="C751" s="128"/>
      <c r="D751" s="128"/>
      <c r="E751" s="128"/>
      <c r="F751" s="128"/>
      <c r="G751" s="128"/>
      <c r="H751" s="136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</row>
    <row r="752">
      <c r="A752" s="135"/>
      <c r="B752" s="136"/>
      <c r="C752" s="128"/>
      <c r="D752" s="128"/>
      <c r="E752" s="128"/>
      <c r="F752" s="128"/>
      <c r="G752" s="128"/>
      <c r="H752" s="136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</row>
    <row r="753">
      <c r="A753" s="135"/>
      <c r="B753" s="136"/>
      <c r="C753" s="128"/>
      <c r="D753" s="128"/>
      <c r="E753" s="128"/>
      <c r="F753" s="128"/>
      <c r="G753" s="128"/>
      <c r="H753" s="136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</row>
    <row r="754">
      <c r="A754" s="135"/>
      <c r="B754" s="136"/>
      <c r="C754" s="128"/>
      <c r="D754" s="128"/>
      <c r="E754" s="128"/>
      <c r="F754" s="128"/>
      <c r="G754" s="128"/>
      <c r="H754" s="136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</row>
    <row r="755">
      <c r="A755" s="135"/>
      <c r="B755" s="136"/>
      <c r="C755" s="128"/>
      <c r="D755" s="128"/>
      <c r="E755" s="128"/>
      <c r="F755" s="128"/>
      <c r="G755" s="128"/>
      <c r="H755" s="136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</row>
    <row r="756">
      <c r="A756" s="135"/>
      <c r="B756" s="136"/>
      <c r="C756" s="128"/>
      <c r="D756" s="128"/>
      <c r="E756" s="128"/>
      <c r="F756" s="128"/>
      <c r="G756" s="128"/>
      <c r="H756" s="136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</row>
    <row r="757">
      <c r="A757" s="135"/>
      <c r="B757" s="136"/>
      <c r="C757" s="128"/>
      <c r="D757" s="128"/>
      <c r="E757" s="128"/>
      <c r="F757" s="128"/>
      <c r="G757" s="128"/>
      <c r="H757" s="136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</row>
    <row r="758">
      <c r="A758" s="135"/>
      <c r="B758" s="136"/>
      <c r="C758" s="128"/>
      <c r="D758" s="128"/>
      <c r="E758" s="128"/>
      <c r="F758" s="128"/>
      <c r="G758" s="128"/>
      <c r="H758" s="136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</row>
    <row r="759">
      <c r="A759" s="135"/>
      <c r="B759" s="136"/>
      <c r="C759" s="128"/>
      <c r="D759" s="128"/>
      <c r="E759" s="128"/>
      <c r="F759" s="128"/>
      <c r="G759" s="128"/>
      <c r="H759" s="136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</row>
    <row r="760">
      <c r="A760" s="135"/>
      <c r="B760" s="136"/>
      <c r="C760" s="128"/>
      <c r="D760" s="128"/>
      <c r="E760" s="128"/>
      <c r="F760" s="128"/>
      <c r="G760" s="128"/>
      <c r="H760" s="136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</row>
    <row r="761">
      <c r="A761" s="135"/>
      <c r="B761" s="136"/>
      <c r="C761" s="128"/>
      <c r="D761" s="128"/>
      <c r="E761" s="128"/>
      <c r="F761" s="128"/>
      <c r="G761" s="128"/>
      <c r="H761" s="136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</row>
    <row r="762">
      <c r="A762" s="135"/>
      <c r="B762" s="136"/>
      <c r="C762" s="128"/>
      <c r="D762" s="128"/>
      <c r="E762" s="128"/>
      <c r="F762" s="128"/>
      <c r="G762" s="128"/>
      <c r="H762" s="136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</row>
    <row r="763">
      <c r="A763" s="135"/>
      <c r="B763" s="136"/>
      <c r="C763" s="128"/>
      <c r="D763" s="128"/>
      <c r="E763" s="128"/>
      <c r="F763" s="128"/>
      <c r="G763" s="128"/>
      <c r="H763" s="136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</row>
    <row r="764">
      <c r="A764" s="135"/>
      <c r="B764" s="136"/>
      <c r="C764" s="128"/>
      <c r="D764" s="128"/>
      <c r="E764" s="128"/>
      <c r="F764" s="128"/>
      <c r="G764" s="128"/>
      <c r="H764" s="136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</row>
    <row r="765">
      <c r="A765" s="135"/>
      <c r="B765" s="136"/>
      <c r="C765" s="128"/>
      <c r="D765" s="128"/>
      <c r="E765" s="128"/>
      <c r="F765" s="128"/>
      <c r="G765" s="128"/>
      <c r="H765" s="136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</row>
    <row r="766">
      <c r="A766" s="135"/>
      <c r="B766" s="136"/>
      <c r="C766" s="128"/>
      <c r="D766" s="128"/>
      <c r="E766" s="128"/>
      <c r="F766" s="128"/>
      <c r="G766" s="128"/>
      <c r="H766" s="136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</row>
    <row r="767">
      <c r="A767" s="135"/>
      <c r="B767" s="136"/>
      <c r="C767" s="128"/>
      <c r="D767" s="128"/>
      <c r="E767" s="128"/>
      <c r="F767" s="128"/>
      <c r="G767" s="128"/>
      <c r="H767" s="136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</row>
    <row r="768">
      <c r="A768" s="135"/>
      <c r="B768" s="136"/>
      <c r="C768" s="128"/>
      <c r="D768" s="128"/>
      <c r="E768" s="128"/>
      <c r="F768" s="128"/>
      <c r="G768" s="128"/>
      <c r="H768" s="136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</row>
    <row r="769">
      <c r="A769" s="135"/>
      <c r="B769" s="136"/>
      <c r="C769" s="128"/>
      <c r="D769" s="128"/>
      <c r="E769" s="128"/>
      <c r="F769" s="128"/>
      <c r="G769" s="128"/>
      <c r="H769" s="136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</row>
    <row r="770">
      <c r="A770" s="135"/>
      <c r="B770" s="136"/>
      <c r="C770" s="128"/>
      <c r="D770" s="128"/>
      <c r="E770" s="128"/>
      <c r="F770" s="128"/>
      <c r="G770" s="128"/>
      <c r="H770" s="136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</row>
    <row r="771">
      <c r="A771" s="135"/>
      <c r="B771" s="136"/>
      <c r="C771" s="128"/>
      <c r="D771" s="128"/>
      <c r="E771" s="128"/>
      <c r="F771" s="128"/>
      <c r="G771" s="128"/>
      <c r="H771" s="136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</row>
    <row r="772">
      <c r="A772" s="135"/>
      <c r="B772" s="136"/>
      <c r="C772" s="128"/>
      <c r="D772" s="128"/>
      <c r="E772" s="128"/>
      <c r="F772" s="128"/>
      <c r="G772" s="128"/>
      <c r="H772" s="136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</row>
    <row r="773">
      <c r="A773" s="135"/>
      <c r="B773" s="136"/>
      <c r="C773" s="128"/>
      <c r="D773" s="128"/>
      <c r="E773" s="128"/>
      <c r="F773" s="128"/>
      <c r="G773" s="128"/>
      <c r="H773" s="136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</row>
    <row r="774">
      <c r="A774" s="135"/>
      <c r="B774" s="136"/>
      <c r="C774" s="128"/>
      <c r="D774" s="128"/>
      <c r="E774" s="128"/>
      <c r="F774" s="128"/>
      <c r="G774" s="128"/>
      <c r="H774" s="136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</row>
    <row r="775">
      <c r="A775" s="135"/>
      <c r="B775" s="136"/>
      <c r="C775" s="128"/>
      <c r="D775" s="128"/>
      <c r="E775" s="128"/>
      <c r="F775" s="128"/>
      <c r="G775" s="128"/>
      <c r="H775" s="136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</row>
    <row r="776">
      <c r="A776" s="135"/>
      <c r="B776" s="136"/>
      <c r="C776" s="128"/>
      <c r="D776" s="128"/>
      <c r="E776" s="128"/>
      <c r="F776" s="128"/>
      <c r="G776" s="128"/>
      <c r="H776" s="136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</row>
    <row r="777">
      <c r="A777" s="135"/>
      <c r="B777" s="136"/>
      <c r="C777" s="128"/>
      <c r="D777" s="128"/>
      <c r="E777" s="128"/>
      <c r="F777" s="128"/>
      <c r="G777" s="128"/>
      <c r="H777" s="136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</row>
    <row r="778">
      <c r="A778" s="135"/>
      <c r="B778" s="136"/>
      <c r="C778" s="128"/>
      <c r="D778" s="128"/>
      <c r="E778" s="128"/>
      <c r="F778" s="128"/>
      <c r="G778" s="128"/>
      <c r="H778" s="136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</row>
    <row r="779">
      <c r="A779" s="135"/>
      <c r="B779" s="136"/>
      <c r="C779" s="128"/>
      <c r="D779" s="128"/>
      <c r="E779" s="128"/>
      <c r="F779" s="128"/>
      <c r="G779" s="128"/>
      <c r="H779" s="136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</row>
    <row r="780">
      <c r="A780" s="135"/>
      <c r="B780" s="136"/>
      <c r="C780" s="128"/>
      <c r="D780" s="128"/>
      <c r="E780" s="128"/>
      <c r="F780" s="128"/>
      <c r="G780" s="128"/>
      <c r="H780" s="136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</row>
    <row r="781">
      <c r="A781" s="135"/>
      <c r="B781" s="136"/>
      <c r="C781" s="128"/>
      <c r="D781" s="128"/>
      <c r="E781" s="128"/>
      <c r="F781" s="128"/>
      <c r="G781" s="128"/>
      <c r="H781" s="136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</row>
    <row r="782">
      <c r="A782" s="135"/>
      <c r="B782" s="136"/>
      <c r="C782" s="128"/>
      <c r="D782" s="128"/>
      <c r="E782" s="128"/>
      <c r="F782" s="128"/>
      <c r="G782" s="128"/>
      <c r="H782" s="136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</row>
    <row r="783">
      <c r="A783" s="135"/>
      <c r="B783" s="136"/>
      <c r="C783" s="128"/>
      <c r="D783" s="128"/>
      <c r="E783" s="128"/>
      <c r="F783" s="128"/>
      <c r="G783" s="128"/>
      <c r="H783" s="136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</row>
    <row r="784">
      <c r="A784" s="135"/>
      <c r="B784" s="136"/>
      <c r="C784" s="128"/>
      <c r="D784" s="128"/>
      <c r="E784" s="128"/>
      <c r="F784" s="128"/>
      <c r="G784" s="128"/>
      <c r="H784" s="136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</row>
    <row r="785">
      <c r="A785" s="135"/>
      <c r="B785" s="136"/>
      <c r="C785" s="128"/>
      <c r="D785" s="128"/>
      <c r="E785" s="128"/>
      <c r="F785" s="128"/>
      <c r="G785" s="128"/>
      <c r="H785" s="136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</row>
    <row r="786">
      <c r="A786" s="135"/>
      <c r="B786" s="136"/>
      <c r="C786" s="128"/>
      <c r="D786" s="128"/>
      <c r="E786" s="128"/>
      <c r="F786" s="128"/>
      <c r="G786" s="128"/>
      <c r="H786" s="136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</row>
    <row r="787">
      <c r="A787" s="135"/>
      <c r="B787" s="136"/>
      <c r="C787" s="128"/>
      <c r="D787" s="128"/>
      <c r="E787" s="128"/>
      <c r="F787" s="128"/>
      <c r="G787" s="128"/>
      <c r="H787" s="136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</row>
    <row r="788">
      <c r="A788" s="135"/>
      <c r="B788" s="136"/>
      <c r="C788" s="128"/>
      <c r="D788" s="128"/>
      <c r="E788" s="128"/>
      <c r="F788" s="128"/>
      <c r="G788" s="128"/>
      <c r="H788" s="136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</row>
    <row r="789">
      <c r="A789" s="135"/>
      <c r="B789" s="136"/>
      <c r="C789" s="128"/>
      <c r="D789" s="128"/>
      <c r="E789" s="128"/>
      <c r="F789" s="128"/>
      <c r="G789" s="128"/>
      <c r="H789" s="136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</row>
    <row r="790">
      <c r="A790" s="135"/>
      <c r="B790" s="136"/>
      <c r="C790" s="128"/>
      <c r="D790" s="128"/>
      <c r="E790" s="128"/>
      <c r="F790" s="128"/>
      <c r="G790" s="128"/>
      <c r="H790" s="136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</row>
    <row r="791">
      <c r="A791" s="135"/>
      <c r="B791" s="136"/>
      <c r="C791" s="128"/>
      <c r="D791" s="128"/>
      <c r="E791" s="128"/>
      <c r="F791" s="128"/>
      <c r="G791" s="128"/>
      <c r="H791" s="136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</row>
    <row r="792">
      <c r="A792" s="135"/>
      <c r="B792" s="136"/>
      <c r="C792" s="128"/>
      <c r="D792" s="128"/>
      <c r="E792" s="128"/>
      <c r="F792" s="128"/>
      <c r="G792" s="128"/>
      <c r="H792" s="136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</row>
    <row r="793">
      <c r="A793" s="135"/>
      <c r="B793" s="136"/>
      <c r="C793" s="128"/>
      <c r="D793" s="128"/>
      <c r="E793" s="128"/>
      <c r="F793" s="128"/>
      <c r="G793" s="128"/>
      <c r="H793" s="136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</row>
    <row r="794">
      <c r="A794" s="135"/>
      <c r="B794" s="136"/>
      <c r="C794" s="128"/>
      <c r="D794" s="128"/>
      <c r="E794" s="128"/>
      <c r="F794" s="128"/>
      <c r="G794" s="128"/>
      <c r="H794" s="136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</row>
    <row r="795">
      <c r="A795" s="135"/>
      <c r="B795" s="136"/>
      <c r="C795" s="128"/>
      <c r="D795" s="128"/>
      <c r="E795" s="128"/>
      <c r="F795" s="128"/>
      <c r="G795" s="128"/>
      <c r="H795" s="136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</row>
    <row r="796">
      <c r="A796" s="135"/>
      <c r="B796" s="136"/>
      <c r="C796" s="128"/>
      <c r="D796" s="128"/>
      <c r="E796" s="128"/>
      <c r="F796" s="128"/>
      <c r="G796" s="128"/>
      <c r="H796" s="136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</row>
    <row r="797">
      <c r="A797" s="135"/>
      <c r="B797" s="136"/>
      <c r="C797" s="128"/>
      <c r="D797" s="128"/>
      <c r="E797" s="128"/>
      <c r="F797" s="128"/>
      <c r="G797" s="128"/>
      <c r="H797" s="136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</row>
    <row r="798">
      <c r="A798" s="135"/>
      <c r="B798" s="136"/>
      <c r="C798" s="128"/>
      <c r="D798" s="128"/>
      <c r="E798" s="128"/>
      <c r="F798" s="128"/>
      <c r="G798" s="128"/>
      <c r="H798" s="136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</row>
    <row r="799">
      <c r="A799" s="135"/>
      <c r="B799" s="136"/>
      <c r="C799" s="128"/>
      <c r="D799" s="128"/>
      <c r="E799" s="128"/>
      <c r="F799" s="128"/>
      <c r="G799" s="128"/>
      <c r="H799" s="136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</row>
    <row r="800">
      <c r="A800" s="135"/>
      <c r="B800" s="136"/>
      <c r="C800" s="128"/>
      <c r="D800" s="128"/>
      <c r="E800" s="128"/>
      <c r="F800" s="128"/>
      <c r="G800" s="128"/>
      <c r="H800" s="136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</row>
    <row r="801">
      <c r="A801" s="135"/>
      <c r="B801" s="136"/>
      <c r="C801" s="128"/>
      <c r="D801" s="128"/>
      <c r="E801" s="128"/>
      <c r="F801" s="128"/>
      <c r="G801" s="128"/>
      <c r="H801" s="136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</row>
    <row r="802">
      <c r="A802" s="135"/>
      <c r="B802" s="136"/>
      <c r="C802" s="128"/>
      <c r="D802" s="128"/>
      <c r="E802" s="128"/>
      <c r="F802" s="128"/>
      <c r="G802" s="128"/>
      <c r="H802" s="136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</row>
    <row r="803">
      <c r="A803" s="135"/>
      <c r="B803" s="136"/>
      <c r="C803" s="128"/>
      <c r="D803" s="128"/>
      <c r="E803" s="128"/>
      <c r="F803" s="128"/>
      <c r="G803" s="128"/>
      <c r="H803" s="136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</row>
    <row r="804">
      <c r="A804" s="135"/>
      <c r="B804" s="136"/>
      <c r="C804" s="128"/>
      <c r="D804" s="128"/>
      <c r="E804" s="128"/>
      <c r="F804" s="128"/>
      <c r="G804" s="128"/>
      <c r="H804" s="136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</row>
    <row r="805">
      <c r="A805" s="135"/>
      <c r="B805" s="136"/>
      <c r="C805" s="128"/>
      <c r="D805" s="128"/>
      <c r="E805" s="128"/>
      <c r="F805" s="128"/>
      <c r="G805" s="128"/>
      <c r="H805" s="136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>
      <c r="A806" s="135"/>
      <c r="B806" s="136"/>
      <c r="C806" s="128"/>
      <c r="D806" s="128"/>
      <c r="E806" s="128"/>
      <c r="F806" s="128"/>
      <c r="G806" s="128"/>
      <c r="H806" s="136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</row>
    <row r="807">
      <c r="A807" s="135"/>
      <c r="B807" s="136"/>
      <c r="C807" s="128"/>
      <c r="D807" s="128"/>
      <c r="E807" s="128"/>
      <c r="F807" s="128"/>
      <c r="G807" s="128"/>
      <c r="H807" s="136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</row>
    <row r="808">
      <c r="A808" s="135"/>
      <c r="B808" s="136"/>
      <c r="C808" s="128"/>
      <c r="D808" s="128"/>
      <c r="E808" s="128"/>
      <c r="F808" s="128"/>
      <c r="G808" s="128"/>
      <c r="H808" s="136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</row>
    <row r="809">
      <c r="A809" s="135"/>
      <c r="B809" s="136"/>
      <c r="C809" s="128"/>
      <c r="D809" s="128"/>
      <c r="E809" s="128"/>
      <c r="F809" s="128"/>
      <c r="G809" s="128"/>
      <c r="H809" s="136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</row>
    <row r="810">
      <c r="A810" s="135"/>
      <c r="B810" s="136"/>
      <c r="C810" s="128"/>
      <c r="D810" s="128"/>
      <c r="E810" s="128"/>
      <c r="F810" s="128"/>
      <c r="G810" s="128"/>
      <c r="H810" s="136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</row>
    <row r="811">
      <c r="A811" s="135"/>
      <c r="B811" s="136"/>
      <c r="C811" s="128"/>
      <c r="D811" s="128"/>
      <c r="E811" s="128"/>
      <c r="F811" s="128"/>
      <c r="G811" s="128"/>
      <c r="H811" s="136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</row>
    <row r="812">
      <c r="A812" s="135"/>
      <c r="B812" s="136"/>
      <c r="C812" s="128"/>
      <c r="D812" s="128"/>
      <c r="E812" s="128"/>
      <c r="F812" s="128"/>
      <c r="G812" s="128"/>
      <c r="H812" s="136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</row>
    <row r="813">
      <c r="A813" s="135"/>
      <c r="B813" s="136"/>
      <c r="C813" s="128"/>
      <c r="D813" s="128"/>
      <c r="E813" s="128"/>
      <c r="F813" s="128"/>
      <c r="G813" s="128"/>
      <c r="H813" s="136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</row>
    <row r="814">
      <c r="A814" s="135"/>
      <c r="B814" s="136"/>
      <c r="C814" s="128"/>
      <c r="D814" s="128"/>
      <c r="E814" s="128"/>
      <c r="F814" s="128"/>
      <c r="G814" s="128"/>
      <c r="H814" s="136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</row>
    <row r="815">
      <c r="A815" s="135"/>
      <c r="B815" s="136"/>
      <c r="C815" s="128"/>
      <c r="D815" s="128"/>
      <c r="E815" s="128"/>
      <c r="F815" s="128"/>
      <c r="G815" s="128"/>
      <c r="H815" s="136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</row>
    <row r="816">
      <c r="A816" s="135"/>
      <c r="B816" s="136"/>
      <c r="C816" s="128"/>
      <c r="D816" s="128"/>
      <c r="E816" s="128"/>
      <c r="F816" s="128"/>
      <c r="G816" s="128"/>
      <c r="H816" s="136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</row>
    <row r="817">
      <c r="A817" s="135"/>
      <c r="B817" s="136"/>
      <c r="C817" s="128"/>
      <c r="D817" s="128"/>
      <c r="E817" s="128"/>
      <c r="F817" s="128"/>
      <c r="G817" s="128"/>
      <c r="H817" s="136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</row>
    <row r="818">
      <c r="A818" s="135"/>
      <c r="B818" s="136"/>
      <c r="C818" s="128"/>
      <c r="D818" s="128"/>
      <c r="E818" s="128"/>
      <c r="F818" s="128"/>
      <c r="G818" s="128"/>
      <c r="H818" s="136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</row>
    <row r="819">
      <c r="A819" s="135"/>
      <c r="B819" s="136"/>
      <c r="C819" s="128"/>
      <c r="D819" s="128"/>
      <c r="E819" s="128"/>
      <c r="F819" s="128"/>
      <c r="G819" s="128"/>
      <c r="H819" s="136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</row>
    <row r="820">
      <c r="A820" s="135"/>
      <c r="B820" s="136"/>
      <c r="C820" s="128"/>
      <c r="D820" s="128"/>
      <c r="E820" s="128"/>
      <c r="F820" s="128"/>
      <c r="G820" s="128"/>
      <c r="H820" s="136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</row>
    <row r="821">
      <c r="A821" s="135"/>
      <c r="B821" s="136"/>
      <c r="C821" s="128"/>
      <c r="D821" s="128"/>
      <c r="E821" s="128"/>
      <c r="F821" s="128"/>
      <c r="G821" s="128"/>
      <c r="H821" s="136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</row>
    <row r="822">
      <c r="A822" s="135"/>
      <c r="B822" s="136"/>
      <c r="C822" s="128"/>
      <c r="D822" s="128"/>
      <c r="E822" s="128"/>
      <c r="F822" s="128"/>
      <c r="G822" s="128"/>
      <c r="H822" s="136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</row>
    <row r="823">
      <c r="A823" s="135"/>
      <c r="B823" s="136"/>
      <c r="C823" s="128"/>
      <c r="D823" s="128"/>
      <c r="E823" s="128"/>
      <c r="F823" s="128"/>
      <c r="G823" s="128"/>
      <c r="H823" s="136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</row>
    <row r="824">
      <c r="A824" s="135"/>
      <c r="B824" s="136"/>
      <c r="C824" s="128"/>
      <c r="D824" s="128"/>
      <c r="E824" s="128"/>
      <c r="F824" s="128"/>
      <c r="G824" s="128"/>
      <c r="H824" s="136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</row>
    <row r="825">
      <c r="A825" s="135"/>
      <c r="B825" s="136"/>
      <c r="C825" s="128"/>
      <c r="D825" s="128"/>
      <c r="E825" s="128"/>
      <c r="F825" s="128"/>
      <c r="G825" s="128"/>
      <c r="H825" s="136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</row>
    <row r="826">
      <c r="A826" s="135"/>
      <c r="B826" s="136"/>
      <c r="C826" s="128"/>
      <c r="D826" s="128"/>
      <c r="E826" s="128"/>
      <c r="F826" s="128"/>
      <c r="G826" s="128"/>
      <c r="H826" s="136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</row>
    <row r="827">
      <c r="A827" s="135"/>
      <c r="B827" s="136"/>
      <c r="C827" s="128"/>
      <c r="D827" s="128"/>
      <c r="E827" s="128"/>
      <c r="F827" s="128"/>
      <c r="G827" s="128"/>
      <c r="H827" s="136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</row>
    <row r="828">
      <c r="A828" s="135"/>
      <c r="B828" s="136"/>
      <c r="C828" s="128"/>
      <c r="D828" s="128"/>
      <c r="E828" s="128"/>
      <c r="F828" s="128"/>
      <c r="G828" s="128"/>
      <c r="H828" s="136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</row>
    <row r="829">
      <c r="A829" s="135"/>
      <c r="B829" s="136"/>
      <c r="C829" s="128"/>
      <c r="D829" s="128"/>
      <c r="E829" s="128"/>
      <c r="F829" s="128"/>
      <c r="G829" s="128"/>
      <c r="H829" s="136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</row>
    <row r="830">
      <c r="A830" s="135"/>
      <c r="B830" s="136"/>
      <c r="C830" s="128"/>
      <c r="D830" s="128"/>
      <c r="E830" s="128"/>
      <c r="F830" s="128"/>
      <c r="G830" s="128"/>
      <c r="H830" s="136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</row>
    <row r="831">
      <c r="A831" s="135"/>
      <c r="B831" s="136"/>
      <c r="C831" s="128"/>
      <c r="D831" s="128"/>
      <c r="E831" s="128"/>
      <c r="F831" s="128"/>
      <c r="G831" s="128"/>
      <c r="H831" s="136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</row>
    <row r="832">
      <c r="A832" s="135"/>
      <c r="B832" s="136"/>
      <c r="C832" s="128"/>
      <c r="D832" s="128"/>
      <c r="E832" s="128"/>
      <c r="F832" s="128"/>
      <c r="G832" s="128"/>
      <c r="H832" s="136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</row>
    <row r="833">
      <c r="A833" s="135"/>
      <c r="B833" s="136"/>
      <c r="C833" s="128"/>
      <c r="D833" s="128"/>
      <c r="E833" s="128"/>
      <c r="F833" s="128"/>
      <c r="G833" s="128"/>
      <c r="H833" s="136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</row>
    <row r="834">
      <c r="A834" s="135"/>
      <c r="B834" s="136"/>
      <c r="C834" s="128"/>
      <c r="D834" s="128"/>
      <c r="E834" s="128"/>
      <c r="F834" s="128"/>
      <c r="G834" s="128"/>
      <c r="H834" s="136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</row>
    <row r="835">
      <c r="A835" s="135"/>
      <c r="B835" s="136"/>
      <c r="C835" s="128"/>
      <c r="D835" s="128"/>
      <c r="E835" s="128"/>
      <c r="F835" s="128"/>
      <c r="G835" s="128"/>
      <c r="H835" s="136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</row>
    <row r="836">
      <c r="A836" s="135"/>
      <c r="B836" s="136"/>
      <c r="C836" s="128"/>
      <c r="D836" s="128"/>
      <c r="E836" s="128"/>
      <c r="F836" s="128"/>
      <c r="G836" s="128"/>
      <c r="H836" s="136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</row>
    <row r="837">
      <c r="A837" s="135"/>
      <c r="B837" s="136"/>
      <c r="C837" s="128"/>
      <c r="D837" s="128"/>
      <c r="E837" s="128"/>
      <c r="F837" s="128"/>
      <c r="G837" s="128"/>
      <c r="H837" s="136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</row>
    <row r="838">
      <c r="A838" s="135"/>
      <c r="B838" s="136"/>
      <c r="C838" s="128"/>
      <c r="D838" s="128"/>
      <c r="E838" s="128"/>
      <c r="F838" s="128"/>
      <c r="G838" s="128"/>
      <c r="H838" s="136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</row>
    <row r="839">
      <c r="A839" s="135"/>
      <c r="B839" s="136"/>
      <c r="C839" s="128"/>
      <c r="D839" s="128"/>
      <c r="E839" s="128"/>
      <c r="F839" s="128"/>
      <c r="G839" s="128"/>
      <c r="H839" s="136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</row>
    <row r="840">
      <c r="A840" s="135"/>
      <c r="B840" s="136"/>
      <c r="C840" s="128"/>
      <c r="D840" s="128"/>
      <c r="E840" s="128"/>
      <c r="F840" s="128"/>
      <c r="G840" s="128"/>
      <c r="H840" s="136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</row>
    <row r="841">
      <c r="A841" s="135"/>
      <c r="B841" s="136"/>
      <c r="C841" s="128"/>
      <c r="D841" s="128"/>
      <c r="E841" s="128"/>
      <c r="F841" s="128"/>
      <c r="G841" s="128"/>
      <c r="H841" s="136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</row>
    <row r="842">
      <c r="A842" s="135"/>
      <c r="B842" s="136"/>
      <c r="C842" s="128"/>
      <c r="D842" s="128"/>
      <c r="E842" s="128"/>
      <c r="F842" s="128"/>
      <c r="G842" s="128"/>
      <c r="H842" s="136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</row>
    <row r="843">
      <c r="A843" s="135"/>
      <c r="B843" s="136"/>
      <c r="C843" s="128"/>
      <c r="D843" s="128"/>
      <c r="E843" s="128"/>
      <c r="F843" s="128"/>
      <c r="G843" s="128"/>
      <c r="H843" s="136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</row>
    <row r="844">
      <c r="A844" s="135"/>
      <c r="B844" s="136"/>
      <c r="C844" s="128"/>
      <c r="D844" s="128"/>
      <c r="E844" s="128"/>
      <c r="F844" s="128"/>
      <c r="G844" s="128"/>
      <c r="H844" s="136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</row>
    <row r="845">
      <c r="A845" s="135"/>
      <c r="B845" s="136"/>
      <c r="C845" s="128"/>
      <c r="D845" s="128"/>
      <c r="E845" s="128"/>
      <c r="F845" s="128"/>
      <c r="G845" s="128"/>
      <c r="H845" s="136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</row>
    <row r="846">
      <c r="A846" s="135"/>
      <c r="B846" s="136"/>
      <c r="C846" s="128"/>
      <c r="D846" s="128"/>
      <c r="E846" s="128"/>
      <c r="F846" s="128"/>
      <c r="G846" s="128"/>
      <c r="H846" s="136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</row>
    <row r="847">
      <c r="A847" s="135"/>
      <c r="B847" s="136"/>
      <c r="C847" s="128"/>
      <c r="D847" s="128"/>
      <c r="E847" s="128"/>
      <c r="F847" s="128"/>
      <c r="G847" s="128"/>
      <c r="H847" s="136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</row>
    <row r="848">
      <c r="A848" s="135"/>
      <c r="B848" s="136"/>
      <c r="C848" s="128"/>
      <c r="D848" s="128"/>
      <c r="E848" s="128"/>
      <c r="F848" s="128"/>
      <c r="G848" s="128"/>
      <c r="H848" s="136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</row>
    <row r="849">
      <c r="A849" s="135"/>
      <c r="B849" s="136"/>
      <c r="C849" s="128"/>
      <c r="D849" s="128"/>
      <c r="E849" s="128"/>
      <c r="F849" s="128"/>
      <c r="G849" s="128"/>
      <c r="H849" s="136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</row>
    <row r="850">
      <c r="A850" s="135"/>
      <c r="B850" s="136"/>
      <c r="C850" s="128"/>
      <c r="D850" s="128"/>
      <c r="E850" s="128"/>
      <c r="F850" s="128"/>
      <c r="G850" s="128"/>
      <c r="H850" s="136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</row>
    <row r="851">
      <c r="A851" s="135"/>
      <c r="B851" s="136"/>
      <c r="C851" s="128"/>
      <c r="D851" s="128"/>
      <c r="E851" s="128"/>
      <c r="F851" s="128"/>
      <c r="G851" s="128"/>
      <c r="H851" s="136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</row>
    <row r="852">
      <c r="A852" s="135"/>
      <c r="B852" s="136"/>
      <c r="C852" s="128"/>
      <c r="D852" s="128"/>
      <c r="E852" s="128"/>
      <c r="F852" s="128"/>
      <c r="G852" s="128"/>
      <c r="H852" s="136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</row>
    <row r="853">
      <c r="A853" s="135"/>
      <c r="B853" s="136"/>
      <c r="C853" s="128"/>
      <c r="D853" s="128"/>
      <c r="E853" s="128"/>
      <c r="F853" s="128"/>
      <c r="G853" s="128"/>
      <c r="H853" s="136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</row>
    <row r="854">
      <c r="A854" s="135"/>
      <c r="B854" s="136"/>
      <c r="C854" s="128"/>
      <c r="D854" s="128"/>
      <c r="E854" s="128"/>
      <c r="F854" s="128"/>
      <c r="G854" s="128"/>
      <c r="H854" s="136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</row>
    <row r="855">
      <c r="A855" s="135"/>
      <c r="B855" s="136"/>
      <c r="C855" s="128"/>
      <c r="D855" s="128"/>
      <c r="E855" s="128"/>
      <c r="F855" s="128"/>
      <c r="G855" s="128"/>
      <c r="H855" s="136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</row>
    <row r="856">
      <c r="A856" s="135"/>
      <c r="B856" s="136"/>
      <c r="C856" s="128"/>
      <c r="D856" s="128"/>
      <c r="E856" s="128"/>
      <c r="F856" s="128"/>
      <c r="G856" s="128"/>
      <c r="H856" s="136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</row>
    <row r="857">
      <c r="A857" s="135"/>
      <c r="B857" s="136"/>
      <c r="C857" s="128"/>
      <c r="D857" s="128"/>
      <c r="E857" s="128"/>
      <c r="F857" s="128"/>
      <c r="G857" s="128"/>
      <c r="H857" s="136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</row>
    <row r="858">
      <c r="A858" s="135"/>
      <c r="B858" s="136"/>
      <c r="C858" s="128"/>
      <c r="D858" s="128"/>
      <c r="E858" s="128"/>
      <c r="F858" s="128"/>
      <c r="G858" s="128"/>
      <c r="H858" s="136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</row>
    <row r="859">
      <c r="A859" s="135"/>
      <c r="B859" s="136"/>
      <c r="C859" s="128"/>
      <c r="D859" s="128"/>
      <c r="E859" s="128"/>
      <c r="F859" s="128"/>
      <c r="G859" s="128"/>
      <c r="H859" s="136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</row>
    <row r="860">
      <c r="A860" s="135"/>
      <c r="B860" s="136"/>
      <c r="C860" s="128"/>
      <c r="D860" s="128"/>
      <c r="E860" s="128"/>
      <c r="F860" s="128"/>
      <c r="G860" s="128"/>
      <c r="H860" s="136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</row>
    <row r="861">
      <c r="A861" s="135"/>
      <c r="B861" s="136"/>
      <c r="C861" s="128"/>
      <c r="D861" s="128"/>
      <c r="E861" s="128"/>
      <c r="F861" s="128"/>
      <c r="G861" s="128"/>
      <c r="H861" s="136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</row>
    <row r="862">
      <c r="A862" s="135"/>
      <c r="B862" s="136"/>
      <c r="C862" s="128"/>
      <c r="D862" s="128"/>
      <c r="E862" s="128"/>
      <c r="F862" s="128"/>
      <c r="G862" s="128"/>
      <c r="H862" s="136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</row>
    <row r="863">
      <c r="A863" s="135"/>
      <c r="B863" s="136"/>
      <c r="C863" s="128"/>
      <c r="D863" s="128"/>
      <c r="E863" s="128"/>
      <c r="F863" s="128"/>
      <c r="G863" s="128"/>
      <c r="H863" s="136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</row>
    <row r="864">
      <c r="A864" s="135"/>
      <c r="B864" s="136"/>
      <c r="C864" s="128"/>
      <c r="D864" s="128"/>
      <c r="E864" s="128"/>
      <c r="F864" s="128"/>
      <c r="G864" s="128"/>
      <c r="H864" s="136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</row>
    <row r="865">
      <c r="A865" s="135"/>
      <c r="B865" s="136"/>
      <c r="C865" s="128"/>
      <c r="D865" s="128"/>
      <c r="E865" s="128"/>
      <c r="F865" s="128"/>
      <c r="G865" s="128"/>
      <c r="H865" s="136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</row>
    <row r="866">
      <c r="A866" s="135"/>
      <c r="B866" s="136"/>
      <c r="C866" s="128"/>
      <c r="D866" s="128"/>
      <c r="E866" s="128"/>
      <c r="F866" s="128"/>
      <c r="G866" s="128"/>
      <c r="H866" s="136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</row>
    <row r="867">
      <c r="A867" s="135"/>
      <c r="B867" s="136"/>
      <c r="C867" s="128"/>
      <c r="D867" s="128"/>
      <c r="E867" s="128"/>
      <c r="F867" s="128"/>
      <c r="G867" s="128"/>
      <c r="H867" s="136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</row>
    <row r="868">
      <c r="A868" s="135"/>
      <c r="B868" s="136"/>
      <c r="C868" s="128"/>
      <c r="D868" s="128"/>
      <c r="E868" s="128"/>
      <c r="F868" s="128"/>
      <c r="G868" s="128"/>
      <c r="H868" s="136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</row>
    <row r="869">
      <c r="A869" s="135"/>
      <c r="B869" s="136"/>
      <c r="C869" s="128"/>
      <c r="D869" s="128"/>
      <c r="E869" s="128"/>
      <c r="F869" s="128"/>
      <c r="G869" s="128"/>
      <c r="H869" s="136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</row>
    <row r="870">
      <c r="A870" s="135"/>
      <c r="B870" s="136"/>
      <c r="C870" s="128"/>
      <c r="D870" s="128"/>
      <c r="E870" s="128"/>
      <c r="F870" s="128"/>
      <c r="G870" s="128"/>
      <c r="H870" s="136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</row>
    <row r="871">
      <c r="A871" s="135"/>
      <c r="B871" s="136"/>
      <c r="C871" s="128"/>
      <c r="D871" s="128"/>
      <c r="E871" s="128"/>
      <c r="F871" s="128"/>
      <c r="G871" s="128"/>
      <c r="H871" s="136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</row>
    <row r="872">
      <c r="A872" s="135"/>
      <c r="B872" s="136"/>
      <c r="C872" s="128"/>
      <c r="D872" s="128"/>
      <c r="E872" s="128"/>
      <c r="F872" s="128"/>
      <c r="G872" s="128"/>
      <c r="H872" s="136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</row>
    <row r="873">
      <c r="A873" s="135"/>
      <c r="B873" s="136"/>
      <c r="C873" s="128"/>
      <c r="D873" s="128"/>
      <c r="E873" s="128"/>
      <c r="F873" s="128"/>
      <c r="G873" s="128"/>
      <c r="H873" s="136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</row>
    <row r="874">
      <c r="A874" s="135"/>
      <c r="B874" s="136"/>
      <c r="C874" s="128"/>
      <c r="D874" s="128"/>
      <c r="E874" s="128"/>
      <c r="F874" s="128"/>
      <c r="G874" s="128"/>
      <c r="H874" s="136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</row>
    <row r="875">
      <c r="A875" s="135"/>
      <c r="B875" s="136"/>
      <c r="C875" s="128"/>
      <c r="D875" s="128"/>
      <c r="E875" s="128"/>
      <c r="F875" s="128"/>
      <c r="G875" s="128"/>
      <c r="H875" s="136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</row>
    <row r="876">
      <c r="A876" s="135"/>
      <c r="B876" s="136"/>
      <c r="C876" s="128"/>
      <c r="D876" s="128"/>
      <c r="E876" s="128"/>
      <c r="F876" s="128"/>
      <c r="G876" s="128"/>
      <c r="H876" s="136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</row>
    <row r="877">
      <c r="A877" s="135"/>
      <c r="B877" s="136"/>
      <c r="C877" s="128"/>
      <c r="D877" s="128"/>
      <c r="E877" s="128"/>
      <c r="F877" s="128"/>
      <c r="G877" s="128"/>
      <c r="H877" s="136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</row>
    <row r="878">
      <c r="A878" s="135"/>
      <c r="B878" s="136"/>
      <c r="C878" s="128"/>
      <c r="D878" s="128"/>
      <c r="E878" s="128"/>
      <c r="F878" s="128"/>
      <c r="G878" s="128"/>
      <c r="H878" s="136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</row>
    <row r="879">
      <c r="A879" s="135"/>
      <c r="B879" s="136"/>
      <c r="C879" s="128"/>
      <c r="D879" s="128"/>
      <c r="E879" s="128"/>
      <c r="F879" s="128"/>
      <c r="G879" s="128"/>
      <c r="H879" s="136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</row>
    <row r="880">
      <c r="A880" s="135"/>
      <c r="B880" s="136"/>
      <c r="C880" s="128"/>
      <c r="D880" s="128"/>
      <c r="E880" s="128"/>
      <c r="F880" s="128"/>
      <c r="G880" s="128"/>
      <c r="H880" s="136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</row>
    <row r="881">
      <c r="A881" s="135"/>
      <c r="B881" s="136"/>
      <c r="C881" s="128"/>
      <c r="D881" s="128"/>
      <c r="E881" s="128"/>
      <c r="F881" s="128"/>
      <c r="G881" s="128"/>
      <c r="H881" s="136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</row>
    <row r="882">
      <c r="A882" s="135"/>
      <c r="B882" s="136"/>
      <c r="C882" s="128"/>
      <c r="D882" s="128"/>
      <c r="E882" s="128"/>
      <c r="F882" s="128"/>
      <c r="G882" s="128"/>
      <c r="H882" s="136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</row>
    <row r="883">
      <c r="A883" s="135"/>
      <c r="B883" s="136"/>
      <c r="C883" s="128"/>
      <c r="D883" s="128"/>
      <c r="E883" s="128"/>
      <c r="F883" s="128"/>
      <c r="G883" s="128"/>
      <c r="H883" s="136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</row>
    <row r="884">
      <c r="A884" s="135"/>
      <c r="B884" s="136"/>
      <c r="C884" s="128"/>
      <c r="D884" s="128"/>
      <c r="E884" s="128"/>
      <c r="F884" s="128"/>
      <c r="G884" s="128"/>
      <c r="H884" s="136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</row>
    <row r="885">
      <c r="A885" s="135"/>
      <c r="B885" s="136"/>
      <c r="C885" s="128"/>
      <c r="D885" s="128"/>
      <c r="E885" s="128"/>
      <c r="F885" s="128"/>
      <c r="G885" s="128"/>
      <c r="H885" s="136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</row>
    <row r="886">
      <c r="A886" s="135"/>
      <c r="B886" s="136"/>
      <c r="C886" s="128"/>
      <c r="D886" s="128"/>
      <c r="E886" s="128"/>
      <c r="F886" s="128"/>
      <c r="G886" s="128"/>
      <c r="H886" s="136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</row>
    <row r="887">
      <c r="A887" s="135"/>
      <c r="B887" s="136"/>
      <c r="C887" s="128"/>
      <c r="D887" s="128"/>
      <c r="E887" s="128"/>
      <c r="F887" s="128"/>
      <c r="G887" s="128"/>
      <c r="H887" s="136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</row>
    <row r="888">
      <c r="A888" s="135"/>
      <c r="B888" s="136"/>
      <c r="C888" s="128"/>
      <c r="D888" s="128"/>
      <c r="E888" s="128"/>
      <c r="F888" s="128"/>
      <c r="G888" s="128"/>
      <c r="H888" s="136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</row>
    <row r="889">
      <c r="A889" s="135"/>
      <c r="B889" s="136"/>
      <c r="C889" s="128"/>
      <c r="D889" s="128"/>
      <c r="E889" s="128"/>
      <c r="F889" s="128"/>
      <c r="G889" s="128"/>
      <c r="H889" s="136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</row>
    <row r="890">
      <c r="A890" s="135"/>
      <c r="B890" s="136"/>
      <c r="C890" s="128"/>
      <c r="D890" s="128"/>
      <c r="E890" s="128"/>
      <c r="F890" s="128"/>
      <c r="G890" s="128"/>
      <c r="H890" s="136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</row>
    <row r="891">
      <c r="A891" s="135"/>
      <c r="B891" s="136"/>
      <c r="C891" s="128"/>
      <c r="D891" s="128"/>
      <c r="E891" s="128"/>
      <c r="F891" s="128"/>
      <c r="G891" s="128"/>
      <c r="H891" s="136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</row>
    <row r="892">
      <c r="A892" s="135"/>
      <c r="B892" s="136"/>
      <c r="C892" s="128"/>
      <c r="D892" s="128"/>
      <c r="E892" s="128"/>
      <c r="F892" s="128"/>
      <c r="G892" s="128"/>
      <c r="H892" s="136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</row>
    <row r="893">
      <c r="A893" s="135"/>
      <c r="B893" s="136"/>
      <c r="C893" s="128"/>
      <c r="D893" s="128"/>
      <c r="E893" s="128"/>
      <c r="F893" s="128"/>
      <c r="G893" s="128"/>
      <c r="H893" s="136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</row>
    <row r="894">
      <c r="A894" s="135"/>
      <c r="B894" s="136"/>
      <c r="C894" s="128"/>
      <c r="D894" s="128"/>
      <c r="E894" s="128"/>
      <c r="F894" s="128"/>
      <c r="G894" s="128"/>
      <c r="H894" s="136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</row>
    <row r="895">
      <c r="A895" s="135"/>
      <c r="B895" s="136"/>
      <c r="C895" s="128"/>
      <c r="D895" s="128"/>
      <c r="E895" s="128"/>
      <c r="F895" s="128"/>
      <c r="G895" s="128"/>
      <c r="H895" s="136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</row>
    <row r="896">
      <c r="A896" s="135"/>
      <c r="B896" s="136"/>
      <c r="C896" s="128"/>
      <c r="D896" s="128"/>
      <c r="E896" s="128"/>
      <c r="F896" s="128"/>
      <c r="G896" s="128"/>
      <c r="H896" s="136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</row>
    <row r="897">
      <c r="A897" s="135"/>
      <c r="B897" s="136"/>
      <c r="C897" s="128"/>
      <c r="D897" s="128"/>
      <c r="E897" s="128"/>
      <c r="F897" s="128"/>
      <c r="G897" s="128"/>
      <c r="H897" s="136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</row>
    <row r="898">
      <c r="A898" s="135"/>
      <c r="B898" s="136"/>
      <c r="C898" s="128"/>
      <c r="D898" s="128"/>
      <c r="E898" s="128"/>
      <c r="F898" s="128"/>
      <c r="G898" s="128"/>
      <c r="H898" s="136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</row>
    <row r="899">
      <c r="A899" s="135"/>
      <c r="B899" s="136"/>
      <c r="C899" s="128"/>
      <c r="D899" s="128"/>
      <c r="E899" s="128"/>
      <c r="F899" s="128"/>
      <c r="G899" s="128"/>
      <c r="H899" s="136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</row>
    <row r="900">
      <c r="A900" s="135"/>
      <c r="B900" s="136"/>
      <c r="C900" s="128"/>
      <c r="D900" s="128"/>
      <c r="E900" s="128"/>
      <c r="F900" s="128"/>
      <c r="G900" s="128"/>
      <c r="H900" s="136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</row>
    <row r="901">
      <c r="A901" s="135"/>
      <c r="B901" s="136"/>
      <c r="C901" s="128"/>
      <c r="D901" s="128"/>
      <c r="E901" s="128"/>
      <c r="F901" s="128"/>
      <c r="G901" s="128"/>
      <c r="H901" s="136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</row>
    <row r="902">
      <c r="A902" s="135"/>
      <c r="B902" s="136"/>
      <c r="C902" s="128"/>
      <c r="D902" s="128"/>
      <c r="E902" s="128"/>
      <c r="F902" s="128"/>
      <c r="G902" s="128"/>
      <c r="H902" s="136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</row>
    <row r="903">
      <c r="A903" s="135"/>
      <c r="B903" s="136"/>
      <c r="C903" s="128"/>
      <c r="D903" s="128"/>
      <c r="E903" s="128"/>
      <c r="F903" s="128"/>
      <c r="G903" s="128"/>
      <c r="H903" s="136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</row>
    <row r="904">
      <c r="A904" s="135"/>
      <c r="B904" s="136"/>
      <c r="C904" s="128"/>
      <c r="D904" s="128"/>
      <c r="E904" s="128"/>
      <c r="F904" s="128"/>
      <c r="G904" s="128"/>
      <c r="H904" s="136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</row>
    <row r="905">
      <c r="A905" s="135"/>
      <c r="B905" s="136"/>
      <c r="C905" s="128"/>
      <c r="D905" s="128"/>
      <c r="E905" s="128"/>
      <c r="F905" s="128"/>
      <c r="G905" s="128"/>
      <c r="H905" s="136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</row>
    <row r="906">
      <c r="A906" s="135"/>
      <c r="B906" s="136"/>
      <c r="C906" s="128"/>
      <c r="D906" s="128"/>
      <c r="E906" s="128"/>
      <c r="F906" s="128"/>
      <c r="G906" s="128"/>
      <c r="H906" s="136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</row>
    <row r="907">
      <c r="A907" s="135"/>
      <c r="B907" s="136"/>
      <c r="C907" s="128"/>
      <c r="D907" s="128"/>
      <c r="E907" s="128"/>
      <c r="F907" s="128"/>
      <c r="G907" s="128"/>
      <c r="H907" s="136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</row>
    <row r="908">
      <c r="A908" s="135"/>
      <c r="B908" s="136"/>
      <c r="C908" s="128"/>
      <c r="D908" s="128"/>
      <c r="E908" s="128"/>
      <c r="F908" s="128"/>
      <c r="G908" s="128"/>
      <c r="H908" s="136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</row>
    <row r="909">
      <c r="A909" s="135"/>
      <c r="B909" s="136"/>
      <c r="C909" s="128"/>
      <c r="D909" s="128"/>
      <c r="E909" s="128"/>
      <c r="F909" s="128"/>
      <c r="G909" s="128"/>
      <c r="H909" s="136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</row>
    <row r="910">
      <c r="A910" s="135"/>
      <c r="B910" s="136"/>
      <c r="C910" s="128"/>
      <c r="D910" s="128"/>
      <c r="E910" s="128"/>
      <c r="F910" s="128"/>
      <c r="G910" s="128"/>
      <c r="H910" s="136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</row>
    <row r="911">
      <c r="A911" s="135"/>
      <c r="B911" s="136"/>
      <c r="C911" s="128"/>
      <c r="D911" s="128"/>
      <c r="E911" s="128"/>
      <c r="F911" s="128"/>
      <c r="G911" s="128"/>
      <c r="H911" s="136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</row>
    <row r="912">
      <c r="A912" s="135"/>
      <c r="B912" s="136"/>
      <c r="C912" s="128"/>
      <c r="D912" s="128"/>
      <c r="E912" s="128"/>
      <c r="F912" s="128"/>
      <c r="G912" s="128"/>
      <c r="H912" s="136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</row>
    <row r="913">
      <c r="A913" s="135"/>
      <c r="B913" s="136"/>
      <c r="C913" s="128"/>
      <c r="D913" s="128"/>
      <c r="E913" s="128"/>
      <c r="F913" s="128"/>
      <c r="G913" s="128"/>
      <c r="H913" s="136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</row>
    <row r="914">
      <c r="A914" s="135"/>
      <c r="B914" s="136"/>
      <c r="C914" s="128"/>
      <c r="D914" s="128"/>
      <c r="E914" s="128"/>
      <c r="F914" s="128"/>
      <c r="G914" s="128"/>
      <c r="H914" s="136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</row>
    <row r="915">
      <c r="A915" s="135"/>
      <c r="B915" s="136"/>
      <c r="C915" s="128"/>
      <c r="D915" s="128"/>
      <c r="E915" s="128"/>
      <c r="F915" s="128"/>
      <c r="G915" s="128"/>
      <c r="H915" s="136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</row>
    <row r="916">
      <c r="A916" s="135"/>
      <c r="B916" s="136"/>
      <c r="C916" s="128"/>
      <c r="D916" s="128"/>
      <c r="E916" s="128"/>
      <c r="F916" s="128"/>
      <c r="G916" s="128"/>
      <c r="H916" s="136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</row>
    <row r="917">
      <c r="A917" s="135"/>
      <c r="B917" s="136"/>
      <c r="C917" s="128"/>
      <c r="D917" s="128"/>
      <c r="E917" s="128"/>
      <c r="F917" s="128"/>
      <c r="G917" s="128"/>
      <c r="H917" s="136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</row>
    <row r="918">
      <c r="A918" s="135"/>
      <c r="B918" s="136"/>
      <c r="C918" s="128"/>
      <c r="D918" s="128"/>
      <c r="E918" s="128"/>
      <c r="F918" s="128"/>
      <c r="G918" s="128"/>
      <c r="H918" s="136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</row>
    <row r="919">
      <c r="A919" s="135"/>
      <c r="B919" s="136"/>
      <c r="C919" s="128"/>
      <c r="D919" s="128"/>
      <c r="E919" s="128"/>
      <c r="F919" s="128"/>
      <c r="G919" s="128"/>
      <c r="H919" s="136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</row>
    <row r="920">
      <c r="A920" s="135"/>
      <c r="B920" s="136"/>
      <c r="C920" s="128"/>
      <c r="D920" s="128"/>
      <c r="E920" s="128"/>
      <c r="F920" s="128"/>
      <c r="G920" s="128"/>
      <c r="H920" s="136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</row>
    <row r="921">
      <c r="A921" s="135"/>
      <c r="B921" s="136"/>
      <c r="C921" s="128"/>
      <c r="D921" s="128"/>
      <c r="E921" s="128"/>
      <c r="F921" s="128"/>
      <c r="G921" s="128"/>
      <c r="H921" s="136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</row>
    <row r="922">
      <c r="A922" s="135"/>
      <c r="B922" s="136"/>
      <c r="C922" s="128"/>
      <c r="D922" s="128"/>
      <c r="E922" s="128"/>
      <c r="F922" s="128"/>
      <c r="G922" s="128"/>
      <c r="H922" s="136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</row>
    <row r="923">
      <c r="A923" s="135"/>
      <c r="B923" s="136"/>
      <c r="C923" s="128"/>
      <c r="D923" s="128"/>
      <c r="E923" s="128"/>
      <c r="F923" s="128"/>
      <c r="G923" s="128"/>
      <c r="H923" s="136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</row>
    <row r="924">
      <c r="A924" s="135"/>
      <c r="B924" s="136"/>
      <c r="C924" s="128"/>
      <c r="D924" s="128"/>
      <c r="E924" s="128"/>
      <c r="F924" s="128"/>
      <c r="G924" s="128"/>
      <c r="H924" s="136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</row>
    <row r="925">
      <c r="A925" s="135"/>
      <c r="B925" s="136"/>
      <c r="C925" s="128"/>
      <c r="D925" s="128"/>
      <c r="E925" s="128"/>
      <c r="F925" s="128"/>
      <c r="G925" s="128"/>
      <c r="H925" s="136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</row>
    <row r="926">
      <c r="A926" s="135"/>
      <c r="B926" s="136"/>
      <c r="C926" s="128"/>
      <c r="D926" s="128"/>
      <c r="E926" s="128"/>
      <c r="F926" s="128"/>
      <c r="G926" s="128"/>
      <c r="H926" s="136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</row>
    <row r="927">
      <c r="A927" s="135"/>
      <c r="B927" s="136"/>
      <c r="C927" s="128"/>
      <c r="D927" s="128"/>
      <c r="E927" s="128"/>
      <c r="F927" s="128"/>
      <c r="G927" s="128"/>
      <c r="H927" s="136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</row>
    <row r="928">
      <c r="A928" s="135"/>
      <c r="B928" s="136"/>
      <c r="C928" s="128"/>
      <c r="D928" s="128"/>
      <c r="E928" s="128"/>
      <c r="F928" s="128"/>
      <c r="G928" s="128"/>
      <c r="H928" s="136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</row>
    <row r="929">
      <c r="A929" s="135"/>
      <c r="B929" s="136"/>
      <c r="C929" s="128"/>
      <c r="D929" s="128"/>
      <c r="E929" s="128"/>
      <c r="F929" s="128"/>
      <c r="G929" s="128"/>
      <c r="H929" s="136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</row>
    <row r="930">
      <c r="A930" s="135"/>
      <c r="B930" s="136"/>
      <c r="C930" s="128"/>
      <c r="D930" s="128"/>
      <c r="E930" s="128"/>
      <c r="F930" s="128"/>
      <c r="G930" s="128"/>
      <c r="H930" s="136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</row>
    <row r="931">
      <c r="A931" s="135"/>
      <c r="B931" s="136"/>
      <c r="C931" s="128"/>
      <c r="D931" s="128"/>
      <c r="E931" s="128"/>
      <c r="F931" s="128"/>
      <c r="G931" s="128"/>
      <c r="H931" s="136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</row>
    <row r="932">
      <c r="A932" s="135"/>
      <c r="B932" s="136"/>
      <c r="C932" s="128"/>
      <c r="D932" s="128"/>
      <c r="E932" s="128"/>
      <c r="F932" s="128"/>
      <c r="G932" s="128"/>
      <c r="H932" s="136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</row>
    <row r="933">
      <c r="A933" s="135"/>
      <c r="B933" s="136"/>
      <c r="C933" s="128"/>
      <c r="D933" s="128"/>
      <c r="E933" s="128"/>
      <c r="F933" s="128"/>
      <c r="G933" s="128"/>
      <c r="H933" s="136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</row>
    <row r="934">
      <c r="A934" s="135"/>
      <c r="B934" s="136"/>
      <c r="C934" s="128"/>
      <c r="D934" s="128"/>
      <c r="E934" s="128"/>
      <c r="F934" s="128"/>
      <c r="G934" s="128"/>
      <c r="H934" s="136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</row>
    <row r="935">
      <c r="A935" s="135"/>
      <c r="B935" s="136"/>
      <c r="C935" s="128"/>
      <c r="D935" s="128"/>
      <c r="E935" s="128"/>
      <c r="F935" s="128"/>
      <c r="G935" s="128"/>
      <c r="H935" s="136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</row>
    <row r="936">
      <c r="A936" s="135"/>
      <c r="B936" s="136"/>
      <c r="C936" s="128"/>
      <c r="D936" s="128"/>
      <c r="E936" s="128"/>
      <c r="F936" s="128"/>
      <c r="G936" s="128"/>
      <c r="H936" s="136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</row>
    <row r="937">
      <c r="A937" s="135"/>
      <c r="B937" s="136"/>
      <c r="C937" s="128"/>
      <c r="D937" s="128"/>
      <c r="E937" s="128"/>
      <c r="F937" s="128"/>
      <c r="G937" s="128"/>
      <c r="H937" s="136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</row>
    <row r="938">
      <c r="A938" s="135"/>
      <c r="B938" s="136"/>
      <c r="C938" s="128"/>
      <c r="D938" s="128"/>
      <c r="E938" s="128"/>
      <c r="F938" s="128"/>
      <c r="G938" s="128"/>
      <c r="H938" s="136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</row>
    <row r="939">
      <c r="A939" s="135"/>
      <c r="B939" s="136"/>
      <c r="C939" s="128"/>
      <c r="D939" s="128"/>
      <c r="E939" s="128"/>
      <c r="F939" s="128"/>
      <c r="G939" s="128"/>
      <c r="H939" s="136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</row>
    <row r="940">
      <c r="A940" s="135"/>
      <c r="B940" s="136"/>
      <c r="C940" s="128"/>
      <c r="D940" s="128"/>
      <c r="E940" s="128"/>
      <c r="F940" s="128"/>
      <c r="G940" s="128"/>
      <c r="H940" s="136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</row>
    <row r="941">
      <c r="A941" s="135"/>
      <c r="B941" s="136"/>
      <c r="C941" s="128"/>
      <c r="D941" s="128"/>
      <c r="E941" s="128"/>
      <c r="F941" s="128"/>
      <c r="G941" s="128"/>
      <c r="H941" s="136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</row>
    <row r="942">
      <c r="A942" s="135"/>
      <c r="B942" s="136"/>
      <c r="C942" s="128"/>
      <c r="D942" s="128"/>
      <c r="E942" s="128"/>
      <c r="F942" s="128"/>
      <c r="G942" s="128"/>
      <c r="H942" s="136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</row>
    <row r="943">
      <c r="A943" s="135"/>
      <c r="B943" s="136"/>
      <c r="C943" s="128"/>
      <c r="D943" s="128"/>
      <c r="E943" s="128"/>
      <c r="F943" s="128"/>
      <c r="G943" s="128"/>
      <c r="H943" s="136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</row>
    <row r="944">
      <c r="A944" s="135"/>
      <c r="B944" s="136"/>
      <c r="C944" s="128"/>
      <c r="D944" s="128"/>
      <c r="E944" s="128"/>
      <c r="F944" s="128"/>
      <c r="G944" s="128"/>
      <c r="H944" s="136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</row>
    <row r="945">
      <c r="A945" s="135"/>
      <c r="B945" s="136"/>
      <c r="C945" s="128"/>
      <c r="D945" s="128"/>
      <c r="E945" s="128"/>
      <c r="F945" s="128"/>
      <c r="G945" s="128"/>
      <c r="H945" s="136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</row>
    <row r="946">
      <c r="A946" s="135"/>
      <c r="B946" s="136"/>
      <c r="C946" s="128"/>
      <c r="D946" s="128"/>
      <c r="E946" s="128"/>
      <c r="F946" s="128"/>
      <c r="G946" s="128"/>
      <c r="H946" s="136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</row>
    <row r="947">
      <c r="A947" s="135"/>
      <c r="B947" s="136"/>
      <c r="C947" s="128"/>
      <c r="D947" s="128"/>
      <c r="E947" s="128"/>
      <c r="F947" s="128"/>
      <c r="G947" s="128"/>
      <c r="H947" s="136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</row>
    <row r="948">
      <c r="A948" s="135"/>
      <c r="B948" s="136"/>
      <c r="C948" s="128"/>
      <c r="D948" s="128"/>
      <c r="E948" s="128"/>
      <c r="F948" s="128"/>
      <c r="G948" s="128"/>
      <c r="H948" s="136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</row>
    <row r="949">
      <c r="A949" s="135"/>
      <c r="B949" s="136"/>
      <c r="C949" s="128"/>
      <c r="D949" s="128"/>
      <c r="E949" s="128"/>
      <c r="F949" s="128"/>
      <c r="G949" s="128"/>
      <c r="H949" s="136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</row>
    <row r="950">
      <c r="A950" s="135"/>
      <c r="B950" s="136"/>
      <c r="C950" s="128"/>
      <c r="D950" s="128"/>
      <c r="E950" s="128"/>
      <c r="F950" s="128"/>
      <c r="G950" s="128"/>
      <c r="H950" s="136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</row>
    <row r="951">
      <c r="A951" s="135"/>
      <c r="B951" s="136"/>
      <c r="C951" s="128"/>
      <c r="D951" s="128"/>
      <c r="E951" s="128"/>
      <c r="F951" s="128"/>
      <c r="G951" s="128"/>
      <c r="H951" s="136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</row>
    <row r="952">
      <c r="A952" s="135"/>
      <c r="B952" s="136"/>
      <c r="C952" s="128"/>
      <c r="D952" s="128"/>
      <c r="E952" s="128"/>
      <c r="F952" s="128"/>
      <c r="G952" s="128"/>
      <c r="H952" s="136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</row>
    <row r="953">
      <c r="A953" s="135"/>
      <c r="B953" s="136"/>
      <c r="C953" s="128"/>
      <c r="D953" s="128"/>
      <c r="E953" s="128"/>
      <c r="F953" s="128"/>
      <c r="G953" s="128"/>
      <c r="H953" s="136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</row>
    <row r="954">
      <c r="A954" s="135"/>
      <c r="B954" s="136"/>
      <c r="C954" s="128"/>
      <c r="D954" s="128"/>
      <c r="E954" s="128"/>
      <c r="F954" s="128"/>
      <c r="G954" s="128"/>
      <c r="H954" s="136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</row>
    <row r="955">
      <c r="A955" s="135"/>
      <c r="B955" s="136"/>
      <c r="C955" s="128"/>
      <c r="D955" s="128"/>
      <c r="E955" s="128"/>
      <c r="F955" s="128"/>
      <c r="G955" s="128"/>
      <c r="H955" s="136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</row>
    <row r="956">
      <c r="A956" s="135"/>
      <c r="B956" s="136"/>
      <c r="C956" s="128"/>
      <c r="D956" s="128"/>
      <c r="E956" s="128"/>
      <c r="F956" s="128"/>
      <c r="G956" s="128"/>
      <c r="H956" s="136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</row>
    <row r="957">
      <c r="A957" s="135"/>
      <c r="B957" s="136"/>
      <c r="C957" s="128"/>
      <c r="D957" s="128"/>
      <c r="E957" s="128"/>
      <c r="F957" s="128"/>
      <c r="G957" s="128"/>
      <c r="H957" s="136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</row>
    <row r="958">
      <c r="A958" s="135"/>
      <c r="B958" s="136"/>
      <c r="C958" s="128"/>
      <c r="D958" s="128"/>
      <c r="E958" s="128"/>
      <c r="F958" s="128"/>
      <c r="G958" s="128"/>
      <c r="H958" s="136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</row>
    <row r="959">
      <c r="A959" s="135"/>
      <c r="B959" s="136"/>
      <c r="C959" s="128"/>
      <c r="D959" s="128"/>
      <c r="E959" s="128"/>
      <c r="F959" s="128"/>
      <c r="G959" s="128"/>
      <c r="H959" s="136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</row>
    <row r="960">
      <c r="A960" s="135"/>
      <c r="B960" s="136"/>
      <c r="C960" s="128"/>
      <c r="D960" s="128"/>
      <c r="E960" s="128"/>
      <c r="F960" s="128"/>
      <c r="G960" s="128"/>
      <c r="H960" s="136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</row>
    <row r="961">
      <c r="A961" s="135"/>
      <c r="B961" s="136"/>
      <c r="C961" s="128"/>
      <c r="D961" s="128"/>
      <c r="E961" s="128"/>
      <c r="F961" s="128"/>
      <c r="G961" s="128"/>
      <c r="H961" s="136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</row>
    <row r="962">
      <c r="A962" s="135"/>
      <c r="B962" s="136"/>
      <c r="C962" s="128"/>
      <c r="D962" s="128"/>
      <c r="E962" s="128"/>
      <c r="F962" s="128"/>
      <c r="G962" s="128"/>
      <c r="H962" s="136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</row>
    <row r="963">
      <c r="A963" s="135"/>
      <c r="B963" s="136"/>
      <c r="C963" s="128"/>
      <c r="D963" s="128"/>
      <c r="E963" s="128"/>
      <c r="F963" s="128"/>
      <c r="G963" s="128"/>
      <c r="H963" s="136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</row>
    <row r="964">
      <c r="A964" s="135"/>
      <c r="B964" s="136"/>
      <c r="C964" s="128"/>
      <c r="D964" s="128"/>
      <c r="E964" s="128"/>
      <c r="F964" s="128"/>
      <c r="G964" s="128"/>
      <c r="H964" s="136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</row>
    <row r="965">
      <c r="A965" s="135"/>
      <c r="B965" s="136"/>
      <c r="C965" s="128"/>
      <c r="D965" s="128"/>
      <c r="E965" s="128"/>
      <c r="F965" s="128"/>
      <c r="G965" s="128"/>
      <c r="H965" s="136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</row>
    <row r="966">
      <c r="A966" s="135"/>
      <c r="B966" s="136"/>
      <c r="C966" s="128"/>
      <c r="D966" s="128"/>
      <c r="E966" s="128"/>
      <c r="F966" s="128"/>
      <c r="G966" s="128"/>
      <c r="H966" s="136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</row>
    <row r="967">
      <c r="A967" s="135"/>
      <c r="B967" s="136"/>
      <c r="C967" s="128"/>
      <c r="D967" s="128"/>
      <c r="E967" s="128"/>
      <c r="F967" s="128"/>
      <c r="G967" s="128"/>
      <c r="H967" s="136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</row>
    <row r="968">
      <c r="A968" s="135"/>
      <c r="B968" s="136"/>
      <c r="C968" s="128"/>
      <c r="D968" s="128"/>
      <c r="E968" s="128"/>
      <c r="F968" s="128"/>
      <c r="G968" s="128"/>
      <c r="H968" s="136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</row>
    <row r="969">
      <c r="A969" s="135"/>
      <c r="B969" s="136"/>
      <c r="C969" s="128"/>
      <c r="D969" s="128"/>
      <c r="E969" s="128"/>
      <c r="F969" s="128"/>
      <c r="G969" s="128"/>
      <c r="H969" s="136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</row>
    <row r="970">
      <c r="A970" s="135"/>
      <c r="B970" s="136"/>
      <c r="C970" s="128"/>
      <c r="D970" s="128"/>
      <c r="E970" s="128"/>
      <c r="F970" s="128"/>
      <c r="G970" s="128"/>
      <c r="H970" s="136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</row>
    <row r="971">
      <c r="A971" s="135"/>
      <c r="B971" s="136"/>
      <c r="C971" s="128"/>
      <c r="D971" s="128"/>
      <c r="E971" s="128"/>
      <c r="F971" s="128"/>
      <c r="G971" s="128"/>
      <c r="H971" s="136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</row>
    <row r="972">
      <c r="A972" s="135"/>
      <c r="B972" s="136"/>
      <c r="C972" s="128"/>
      <c r="D972" s="128"/>
      <c r="E972" s="128"/>
      <c r="F972" s="128"/>
      <c r="G972" s="128"/>
      <c r="H972" s="136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</row>
    <row r="973">
      <c r="A973" s="135"/>
      <c r="B973" s="136"/>
      <c r="C973" s="128"/>
      <c r="D973" s="128"/>
      <c r="E973" s="128"/>
      <c r="F973" s="128"/>
      <c r="G973" s="128"/>
      <c r="H973" s="136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</row>
    <row r="974">
      <c r="A974" s="135"/>
      <c r="B974" s="136"/>
      <c r="C974" s="128"/>
      <c r="D974" s="128"/>
      <c r="E974" s="128"/>
      <c r="F974" s="128"/>
      <c r="G974" s="128"/>
      <c r="H974" s="136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</row>
    <row r="975">
      <c r="A975" s="135"/>
      <c r="B975" s="136"/>
      <c r="C975" s="128"/>
      <c r="D975" s="128"/>
      <c r="E975" s="128"/>
      <c r="F975" s="128"/>
      <c r="G975" s="128"/>
      <c r="H975" s="136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</row>
    <row r="976">
      <c r="A976" s="135"/>
      <c r="B976" s="136"/>
      <c r="C976" s="128"/>
      <c r="D976" s="128"/>
      <c r="E976" s="128"/>
      <c r="F976" s="128"/>
      <c r="G976" s="128"/>
      <c r="H976" s="136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</row>
    <row r="977">
      <c r="A977" s="135"/>
      <c r="B977" s="136"/>
      <c r="C977" s="128"/>
      <c r="D977" s="128"/>
      <c r="E977" s="128"/>
      <c r="F977" s="128"/>
      <c r="G977" s="128"/>
      <c r="H977" s="136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</row>
    <row r="978">
      <c r="A978" s="135"/>
      <c r="B978" s="136"/>
      <c r="C978" s="128"/>
      <c r="D978" s="128"/>
      <c r="E978" s="128"/>
      <c r="F978" s="128"/>
      <c r="G978" s="128"/>
      <c r="H978" s="136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</row>
    <row r="979">
      <c r="A979" s="135"/>
      <c r="B979" s="136"/>
      <c r="C979" s="128"/>
      <c r="D979" s="128"/>
      <c r="E979" s="128"/>
      <c r="F979" s="128"/>
      <c r="G979" s="128"/>
      <c r="H979" s="136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</row>
    <row r="980">
      <c r="A980" s="135"/>
      <c r="B980" s="136"/>
      <c r="C980" s="128"/>
      <c r="D980" s="128"/>
      <c r="E980" s="128"/>
      <c r="F980" s="128"/>
      <c r="G980" s="128"/>
      <c r="H980" s="136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</row>
    <row r="981">
      <c r="A981" s="135"/>
      <c r="B981" s="136"/>
      <c r="C981" s="128"/>
      <c r="D981" s="128"/>
      <c r="E981" s="128"/>
      <c r="F981" s="128"/>
      <c r="G981" s="128"/>
      <c r="H981" s="136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</row>
    <row r="982">
      <c r="A982" s="135"/>
      <c r="B982" s="136"/>
      <c r="C982" s="128"/>
      <c r="D982" s="128"/>
      <c r="E982" s="128"/>
      <c r="F982" s="128"/>
      <c r="G982" s="128"/>
      <c r="H982" s="136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</row>
    <row r="983">
      <c r="A983" s="135"/>
      <c r="B983" s="136"/>
      <c r="C983" s="128"/>
      <c r="D983" s="128"/>
      <c r="E983" s="128"/>
      <c r="F983" s="128"/>
      <c r="G983" s="128"/>
      <c r="H983" s="136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</row>
    <row r="984">
      <c r="A984" s="135"/>
      <c r="B984" s="136"/>
      <c r="C984" s="128"/>
      <c r="D984" s="128"/>
      <c r="E984" s="128"/>
      <c r="F984" s="128"/>
      <c r="G984" s="128"/>
      <c r="H984" s="136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</row>
    <row r="985">
      <c r="A985" s="135"/>
      <c r="B985" s="136"/>
      <c r="C985" s="128"/>
      <c r="D985" s="128"/>
      <c r="E985" s="128"/>
      <c r="F985" s="128"/>
      <c r="G985" s="128"/>
      <c r="H985" s="136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</row>
    <row r="986">
      <c r="A986" s="135"/>
      <c r="B986" s="136"/>
      <c r="C986" s="128"/>
      <c r="D986" s="128"/>
      <c r="E986" s="128"/>
      <c r="F986" s="128"/>
      <c r="G986" s="128"/>
      <c r="H986" s="136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</row>
    <row r="987">
      <c r="A987" s="135"/>
      <c r="B987" s="136"/>
      <c r="C987" s="128"/>
      <c r="D987" s="128"/>
      <c r="E987" s="128"/>
      <c r="F987" s="128"/>
      <c r="G987" s="128"/>
      <c r="H987" s="136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</row>
    <row r="988">
      <c r="A988" s="135"/>
      <c r="B988" s="136"/>
      <c r="C988" s="128"/>
      <c r="D988" s="128"/>
      <c r="E988" s="128"/>
      <c r="F988" s="128"/>
      <c r="G988" s="128"/>
      <c r="H988" s="136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</row>
    <row r="989">
      <c r="A989" s="135"/>
      <c r="B989" s="136"/>
      <c r="C989" s="128"/>
      <c r="D989" s="128"/>
      <c r="E989" s="128"/>
      <c r="F989" s="128"/>
      <c r="G989" s="128"/>
      <c r="H989" s="136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</row>
    <row r="990">
      <c r="A990" s="135"/>
      <c r="B990" s="136"/>
      <c r="C990" s="128"/>
      <c r="D990" s="128"/>
      <c r="E990" s="128"/>
      <c r="F990" s="128"/>
      <c r="G990" s="128"/>
      <c r="H990" s="136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</row>
    <row r="991">
      <c r="A991" s="135"/>
      <c r="B991" s="136"/>
      <c r="C991" s="128"/>
      <c r="D991" s="128"/>
      <c r="E991" s="128"/>
      <c r="F991" s="128"/>
      <c r="G991" s="128"/>
      <c r="H991" s="136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</row>
    <row r="992">
      <c r="A992" s="135"/>
      <c r="B992" s="136"/>
      <c r="C992" s="128"/>
      <c r="D992" s="128"/>
      <c r="E992" s="128"/>
      <c r="F992" s="128"/>
      <c r="G992" s="128"/>
      <c r="H992" s="136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</row>
    <row r="993">
      <c r="A993" s="135"/>
      <c r="B993" s="136"/>
      <c r="C993" s="128"/>
      <c r="D993" s="128"/>
      <c r="E993" s="128"/>
      <c r="F993" s="128"/>
      <c r="G993" s="128"/>
      <c r="H993" s="136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</row>
    <row r="994">
      <c r="A994" s="135"/>
      <c r="B994" s="136"/>
      <c r="C994" s="128"/>
      <c r="D994" s="128"/>
      <c r="E994" s="128"/>
      <c r="F994" s="128"/>
      <c r="G994" s="128"/>
      <c r="H994" s="136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</row>
    <row r="995">
      <c r="A995" s="135"/>
      <c r="B995" s="136"/>
      <c r="C995" s="128"/>
      <c r="D995" s="128"/>
      <c r="E995" s="128"/>
      <c r="F995" s="128"/>
      <c r="G995" s="128"/>
      <c r="H995" s="136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</row>
    <row r="996">
      <c r="A996" s="135"/>
      <c r="B996" s="136"/>
      <c r="C996" s="128"/>
      <c r="D996" s="128"/>
      <c r="E996" s="128"/>
      <c r="F996" s="128"/>
      <c r="G996" s="128"/>
      <c r="H996" s="136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</row>
    <row r="997">
      <c r="A997" s="135"/>
      <c r="B997" s="136"/>
      <c r="C997" s="128"/>
      <c r="D997" s="128"/>
      <c r="E997" s="128"/>
      <c r="F997" s="128"/>
      <c r="G997" s="128"/>
      <c r="H997" s="136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</row>
    <row r="998">
      <c r="A998" s="135"/>
      <c r="B998" s="136"/>
      <c r="C998" s="128"/>
      <c r="D998" s="128"/>
      <c r="E998" s="128"/>
      <c r="F998" s="128"/>
      <c r="G998" s="128"/>
      <c r="H998" s="136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</row>
    <row r="999">
      <c r="A999" s="135"/>
      <c r="B999" s="136"/>
      <c r="C999" s="128"/>
      <c r="D999" s="128"/>
      <c r="E999" s="128"/>
      <c r="F999" s="128"/>
      <c r="G999" s="128"/>
      <c r="H999" s="136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</row>
    <row r="1000">
      <c r="A1000" s="135"/>
      <c r="B1000" s="136"/>
      <c r="C1000" s="128"/>
      <c r="D1000" s="128"/>
      <c r="E1000" s="128"/>
      <c r="F1000" s="128"/>
      <c r="G1000" s="128"/>
      <c r="H1000" s="136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</row>
    <row r="1001">
      <c r="A1001" s="135"/>
      <c r="B1001" s="136"/>
      <c r="C1001" s="128"/>
      <c r="D1001" s="128"/>
      <c r="E1001" s="128"/>
      <c r="F1001" s="128"/>
      <c r="G1001" s="128"/>
      <c r="H1001" s="136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  <c r="AA1001" s="128"/>
    </row>
    <row r="1002">
      <c r="A1002" s="135"/>
      <c r="B1002" s="136"/>
      <c r="C1002" s="128"/>
      <c r="D1002" s="128"/>
      <c r="E1002" s="128"/>
      <c r="F1002" s="128"/>
      <c r="G1002" s="128"/>
      <c r="H1002" s="136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  <c r="AA1002" s="128"/>
    </row>
    <row r="1003">
      <c r="A1003" s="135"/>
      <c r="B1003" s="136"/>
      <c r="C1003" s="128"/>
      <c r="D1003" s="128"/>
      <c r="E1003" s="128"/>
      <c r="F1003" s="128"/>
      <c r="G1003" s="128"/>
      <c r="H1003" s="136"/>
      <c r="I1003" s="128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  <c r="AA1003" s="128"/>
    </row>
    <row r="1004">
      <c r="A1004" s="135"/>
      <c r="B1004" s="136"/>
      <c r="C1004" s="128"/>
      <c r="D1004" s="128"/>
      <c r="E1004" s="128"/>
      <c r="F1004" s="128"/>
      <c r="G1004" s="128"/>
      <c r="H1004" s="136"/>
      <c r="I1004" s="128"/>
      <c r="J1004" s="128"/>
      <c r="K1004" s="128"/>
      <c r="L1004" s="128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/>
      <c r="AA1004" s="128"/>
    </row>
    <row r="1005">
      <c r="A1005" s="135"/>
      <c r="B1005" s="136"/>
      <c r="C1005" s="128"/>
      <c r="D1005" s="128"/>
      <c r="E1005" s="128"/>
      <c r="F1005" s="128"/>
      <c r="G1005" s="128"/>
      <c r="H1005" s="136"/>
      <c r="I1005" s="128"/>
      <c r="J1005" s="128"/>
      <c r="K1005" s="128"/>
      <c r="L1005" s="128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/>
      <c r="AA1005" s="128"/>
    </row>
    <row r="1006">
      <c r="A1006" s="135"/>
      <c r="B1006" s="136"/>
      <c r="C1006" s="128"/>
      <c r="D1006" s="128"/>
      <c r="E1006" s="128"/>
      <c r="F1006" s="128"/>
      <c r="G1006" s="128"/>
      <c r="H1006" s="136"/>
      <c r="I1006" s="128"/>
      <c r="J1006" s="128"/>
      <c r="K1006" s="128"/>
      <c r="L1006" s="128"/>
      <c r="M1006" s="128"/>
      <c r="N1006" s="128"/>
      <c r="O1006" s="128"/>
      <c r="P1006" s="128"/>
      <c r="Q1006" s="128"/>
      <c r="R1006" s="128"/>
      <c r="S1006" s="128"/>
      <c r="T1006" s="128"/>
      <c r="U1006" s="128"/>
      <c r="V1006" s="128"/>
      <c r="W1006" s="128"/>
      <c r="X1006" s="128"/>
      <c r="Y1006" s="128"/>
      <c r="Z1006" s="128"/>
      <c r="AA1006" s="128"/>
    </row>
    <row r="1007">
      <c r="A1007" s="135"/>
      <c r="B1007" s="136"/>
      <c r="C1007" s="128"/>
      <c r="D1007" s="128"/>
      <c r="E1007" s="128"/>
      <c r="F1007" s="128"/>
      <c r="G1007" s="128"/>
      <c r="H1007" s="136"/>
      <c r="I1007" s="128"/>
      <c r="J1007" s="128"/>
      <c r="K1007" s="128"/>
      <c r="L1007" s="128"/>
      <c r="M1007" s="128"/>
      <c r="N1007" s="128"/>
      <c r="O1007" s="128"/>
      <c r="P1007" s="128"/>
      <c r="Q1007" s="128"/>
      <c r="R1007" s="128"/>
      <c r="S1007" s="128"/>
      <c r="T1007" s="128"/>
      <c r="U1007" s="128"/>
      <c r="V1007" s="128"/>
      <c r="W1007" s="128"/>
      <c r="X1007" s="128"/>
      <c r="Y1007" s="128"/>
      <c r="Z1007" s="128"/>
      <c r="AA1007" s="128"/>
    </row>
    <row r="1008">
      <c r="A1008" s="135"/>
      <c r="B1008" s="136"/>
      <c r="C1008" s="128"/>
      <c r="D1008" s="128"/>
      <c r="E1008" s="128"/>
      <c r="F1008" s="128"/>
      <c r="G1008" s="128"/>
      <c r="H1008" s="136"/>
      <c r="I1008" s="128"/>
      <c r="J1008" s="128"/>
      <c r="K1008" s="128"/>
      <c r="L1008" s="128"/>
      <c r="M1008" s="128"/>
      <c r="N1008" s="128"/>
      <c r="O1008" s="128"/>
      <c r="P1008" s="128"/>
      <c r="Q1008" s="128"/>
      <c r="R1008" s="128"/>
      <c r="S1008" s="128"/>
      <c r="T1008" s="128"/>
      <c r="U1008" s="128"/>
      <c r="V1008" s="128"/>
      <c r="W1008" s="128"/>
      <c r="X1008" s="128"/>
      <c r="Y1008" s="128"/>
      <c r="Z1008" s="128"/>
      <c r="AA1008" s="128"/>
    </row>
    <row r="1009">
      <c r="A1009" s="135"/>
      <c r="B1009" s="136"/>
      <c r="C1009" s="128"/>
      <c r="D1009" s="128"/>
      <c r="E1009" s="128"/>
      <c r="F1009" s="128"/>
      <c r="G1009" s="128"/>
      <c r="H1009" s="136"/>
      <c r="I1009" s="128"/>
      <c r="J1009" s="128"/>
      <c r="K1009" s="128"/>
      <c r="L1009" s="128"/>
      <c r="M1009" s="128"/>
      <c r="N1009" s="128"/>
      <c r="O1009" s="128"/>
      <c r="P1009" s="128"/>
      <c r="Q1009" s="128"/>
      <c r="R1009" s="128"/>
      <c r="S1009" s="128"/>
      <c r="T1009" s="128"/>
      <c r="U1009" s="128"/>
      <c r="V1009" s="128"/>
      <c r="W1009" s="128"/>
      <c r="X1009" s="128"/>
      <c r="Y1009" s="128"/>
      <c r="Z1009" s="128"/>
      <c r="AA1009" s="128"/>
    </row>
    <row r="1010">
      <c r="A1010" s="135"/>
      <c r="B1010" s="136"/>
      <c r="C1010" s="128"/>
      <c r="D1010" s="128"/>
      <c r="E1010" s="128"/>
      <c r="F1010" s="128"/>
      <c r="G1010" s="128"/>
      <c r="H1010" s="136"/>
      <c r="I1010" s="128"/>
      <c r="J1010" s="128"/>
      <c r="K1010" s="128"/>
      <c r="L1010" s="128"/>
      <c r="M1010" s="128"/>
      <c r="N1010" s="128"/>
      <c r="O1010" s="128"/>
      <c r="P1010" s="128"/>
      <c r="Q1010" s="128"/>
      <c r="R1010" s="128"/>
      <c r="S1010" s="128"/>
      <c r="T1010" s="128"/>
      <c r="U1010" s="128"/>
      <c r="V1010" s="128"/>
      <c r="W1010" s="128"/>
      <c r="X1010" s="128"/>
      <c r="Y1010" s="128"/>
      <c r="Z1010" s="128"/>
      <c r="AA1010" s="128"/>
    </row>
    <row r="1011">
      <c r="A1011" s="135"/>
      <c r="B1011" s="136"/>
      <c r="C1011" s="128"/>
      <c r="D1011" s="128"/>
      <c r="E1011" s="128"/>
      <c r="F1011" s="128"/>
      <c r="G1011" s="128"/>
      <c r="H1011" s="136"/>
      <c r="I1011" s="128"/>
      <c r="J1011" s="128"/>
      <c r="K1011" s="128"/>
      <c r="L1011" s="128"/>
      <c r="M1011" s="128"/>
      <c r="N1011" s="128"/>
      <c r="O1011" s="128"/>
      <c r="P1011" s="128"/>
      <c r="Q1011" s="128"/>
      <c r="R1011" s="128"/>
      <c r="S1011" s="128"/>
      <c r="T1011" s="128"/>
      <c r="U1011" s="128"/>
      <c r="V1011" s="128"/>
      <c r="W1011" s="128"/>
      <c r="X1011" s="128"/>
      <c r="Y1011" s="128"/>
      <c r="Z1011" s="128"/>
      <c r="AA1011" s="1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2.63" defaultRowHeight="15.75"/>
  <cols>
    <col customWidth="1" min="1" max="1" width="5.13"/>
    <col customWidth="1" min="2" max="2" width="27.63"/>
    <col customWidth="1" min="3" max="5" width="5.75"/>
    <col customWidth="1" min="6" max="6" width="7.0"/>
    <col customWidth="1" min="7" max="9" width="15.13"/>
    <col customWidth="1" min="10" max="10" width="10.13"/>
    <col customWidth="1" min="11" max="11" width="9.5"/>
    <col customWidth="1" hidden="1" min="12" max="12" width="9.5"/>
    <col customWidth="1" min="13" max="13" width="9.5"/>
    <col customWidth="1" min="14" max="14" width="8.88"/>
    <col customWidth="1" hidden="1" min="15" max="16" width="8.88"/>
    <col customWidth="1" hidden="1" min="17" max="17" width="16.38"/>
    <col customWidth="1" hidden="1" min="18" max="18" width="18.88"/>
    <col customWidth="1" min="19" max="19" width="25.13"/>
  </cols>
  <sheetData>
    <row r="1">
      <c r="A1" s="50"/>
      <c r="B1" s="51" t="s">
        <v>2395</v>
      </c>
      <c r="C1" s="50"/>
      <c r="D1" s="50"/>
      <c r="E1" s="50"/>
      <c r="F1" s="50"/>
      <c r="G1" s="50"/>
      <c r="H1" s="52"/>
      <c r="I1" s="53"/>
      <c r="J1" s="54"/>
      <c r="K1" s="55"/>
      <c r="L1" s="55"/>
      <c r="M1" s="55"/>
      <c r="N1" s="55"/>
      <c r="O1" s="56" t="s">
        <v>2396</v>
      </c>
      <c r="P1" s="57"/>
      <c r="Q1" s="57"/>
      <c r="R1" s="58" t="s">
        <v>2519</v>
      </c>
      <c r="S1" s="59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</row>
    <row r="2">
      <c r="A2" s="60"/>
      <c r="B2" s="51" t="s">
        <v>2398</v>
      </c>
      <c r="C2" s="50"/>
      <c r="D2" s="50"/>
      <c r="E2" s="50"/>
      <c r="F2" s="50"/>
      <c r="G2" s="50"/>
      <c r="H2" s="52"/>
      <c r="I2" s="53"/>
      <c r="J2" s="54"/>
      <c r="K2" s="55"/>
      <c r="L2" s="55"/>
      <c r="M2" s="55"/>
      <c r="N2" s="55"/>
      <c r="P2" s="57"/>
      <c r="Q2" s="57"/>
      <c r="S2" s="59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</row>
    <row r="3">
      <c r="A3" s="60"/>
      <c r="B3" s="61" t="s">
        <v>2520</v>
      </c>
      <c r="C3" s="62"/>
      <c r="D3" s="62"/>
      <c r="E3" s="62"/>
      <c r="F3" s="62"/>
      <c r="G3" s="62"/>
      <c r="H3" s="63"/>
      <c r="I3" s="64"/>
      <c r="J3" s="62"/>
      <c r="K3" s="63"/>
      <c r="L3" s="55"/>
      <c r="M3" s="55"/>
      <c r="N3" s="55"/>
      <c r="P3" s="57"/>
      <c r="Q3" s="57"/>
      <c r="S3" s="59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</row>
    <row r="4">
      <c r="A4" s="60"/>
      <c r="B4" s="65"/>
      <c r="C4" s="62"/>
      <c r="D4" s="62"/>
      <c r="E4" s="62"/>
      <c r="F4" s="62"/>
      <c r="G4" s="62"/>
      <c r="H4" s="66" t="s">
        <v>2400</v>
      </c>
      <c r="I4" s="66" t="s">
        <v>2401</v>
      </c>
      <c r="J4" s="52"/>
      <c r="K4" s="66" t="s">
        <v>2402</v>
      </c>
      <c r="P4" s="52"/>
      <c r="Q4" s="52"/>
      <c r="S4" s="6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>
      <c r="A5" s="60"/>
      <c r="B5" s="65" t="s">
        <v>2521</v>
      </c>
      <c r="C5" s="62"/>
      <c r="D5" s="62"/>
      <c r="E5" s="62"/>
      <c r="F5" s="62"/>
      <c r="G5" s="62"/>
      <c r="J5" s="52"/>
      <c r="P5" s="52"/>
      <c r="Q5" s="52"/>
      <c r="S5" s="6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>
      <c r="A6" s="68"/>
      <c r="B6" s="69" t="s">
        <v>2404</v>
      </c>
      <c r="C6" s="70"/>
      <c r="D6" s="70"/>
      <c r="E6" s="70"/>
      <c r="F6" s="70"/>
      <c r="G6" s="70"/>
      <c r="H6" s="70"/>
      <c r="I6" s="71" t="s">
        <v>2405</v>
      </c>
      <c r="J6" s="72" t="s">
        <v>2406</v>
      </c>
      <c r="K6" s="72" t="s">
        <v>2407</v>
      </c>
      <c r="L6" s="72" t="s">
        <v>2408</v>
      </c>
      <c r="M6" s="73"/>
      <c r="N6" s="74"/>
      <c r="O6" s="75" t="s">
        <v>2409</v>
      </c>
      <c r="P6" s="75" t="s">
        <v>2410</v>
      </c>
      <c r="Q6" s="75" t="s">
        <v>2411</v>
      </c>
      <c r="R6" s="76" t="s">
        <v>2412</v>
      </c>
      <c r="S6" s="75" t="s">
        <v>2413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>
      <c r="A7" s="78"/>
      <c r="C7" s="70"/>
      <c r="D7" s="70"/>
      <c r="E7" s="70"/>
      <c r="F7" s="70"/>
      <c r="G7" s="70"/>
      <c r="H7" s="70"/>
      <c r="J7" s="79" t="s">
        <v>2414</v>
      </c>
      <c r="K7" s="80" t="s">
        <v>2415</v>
      </c>
      <c r="L7" s="78"/>
      <c r="M7" s="81" t="s">
        <v>2416</v>
      </c>
      <c r="N7" s="82" t="s">
        <v>2417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>
      <c r="A8" s="83"/>
      <c r="B8" s="84"/>
      <c r="C8" s="70" t="s">
        <v>2418</v>
      </c>
      <c r="D8" s="70" t="s">
        <v>2419</v>
      </c>
      <c r="E8" s="70" t="s">
        <v>2420</v>
      </c>
      <c r="F8" s="70" t="s">
        <v>2421</v>
      </c>
      <c r="G8" s="70" t="s">
        <v>2422</v>
      </c>
      <c r="H8" s="70" t="s">
        <v>2423</v>
      </c>
      <c r="I8" s="84"/>
      <c r="J8" s="85"/>
      <c r="K8" s="78"/>
      <c r="L8" s="78"/>
      <c r="M8" s="81" t="s">
        <v>2424</v>
      </c>
      <c r="N8" s="82" t="s">
        <v>2425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>
      <c r="A9" s="151">
        <v>27.0</v>
      </c>
      <c r="B9" s="152" t="s">
        <v>2426</v>
      </c>
      <c r="C9" s="153" t="s">
        <v>2427</v>
      </c>
      <c r="D9" s="153">
        <v>1.0</v>
      </c>
      <c r="E9" s="153" t="s">
        <v>2428</v>
      </c>
      <c r="F9" s="153" t="s">
        <v>2361</v>
      </c>
      <c r="G9" s="89" t="s">
        <v>2429</v>
      </c>
      <c r="H9" s="86"/>
      <c r="I9" s="90"/>
      <c r="J9" s="91"/>
      <c r="K9" s="92"/>
      <c r="L9" s="93"/>
      <c r="M9" s="93"/>
      <c r="N9" s="94"/>
      <c r="O9" s="94"/>
      <c r="P9" s="94"/>
      <c r="Q9" s="94"/>
      <c r="R9" s="95"/>
      <c r="S9" s="95"/>
      <c r="T9" s="96"/>
      <c r="U9" s="96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151">
        <v>48.0</v>
      </c>
      <c r="B10" s="152" t="s">
        <v>2430</v>
      </c>
      <c r="C10" s="153" t="s">
        <v>2427</v>
      </c>
      <c r="D10" s="153">
        <v>1.0</v>
      </c>
      <c r="E10" s="153" t="s">
        <v>2431</v>
      </c>
      <c r="F10" s="153" t="s">
        <v>2361</v>
      </c>
      <c r="G10" s="89" t="s">
        <v>2429</v>
      </c>
      <c r="H10" s="97"/>
      <c r="I10" s="90"/>
      <c r="J10" s="91"/>
      <c r="K10" s="92"/>
      <c r="L10" s="93"/>
      <c r="M10" s="93"/>
      <c r="N10" s="94"/>
      <c r="O10" s="94"/>
      <c r="P10" s="94"/>
      <c r="Q10" s="94"/>
      <c r="R10" s="95"/>
      <c r="S10" s="95"/>
      <c r="T10" s="96"/>
      <c r="U10" s="96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51">
        <v>2.0</v>
      </c>
      <c r="B11" s="152" t="s">
        <v>2432</v>
      </c>
      <c r="C11" s="153" t="s">
        <v>2433</v>
      </c>
      <c r="D11" s="153">
        <v>1.0</v>
      </c>
      <c r="E11" s="153" t="s">
        <v>2434</v>
      </c>
      <c r="F11" s="153" t="s">
        <v>2361</v>
      </c>
      <c r="G11" s="89"/>
      <c r="H11" s="97"/>
      <c r="I11" s="90"/>
      <c r="J11" s="91"/>
      <c r="K11" s="92"/>
      <c r="L11" s="93"/>
      <c r="M11" s="93"/>
      <c r="N11" s="94"/>
      <c r="O11" s="94"/>
      <c r="P11" s="94"/>
      <c r="Q11" s="94"/>
      <c r="R11" s="95"/>
      <c r="S11" s="95"/>
      <c r="T11" s="96"/>
      <c r="U11" s="96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151">
        <v>46.0</v>
      </c>
      <c r="B12" s="152" t="s">
        <v>2522</v>
      </c>
      <c r="C12" s="153" t="s">
        <v>2427</v>
      </c>
      <c r="D12" s="153">
        <v>3.0</v>
      </c>
      <c r="E12" s="153" t="s">
        <v>2428</v>
      </c>
      <c r="F12" s="153" t="s">
        <v>2348</v>
      </c>
      <c r="G12" s="89" t="s">
        <v>2523</v>
      </c>
      <c r="H12" s="97" t="s">
        <v>2524</v>
      </c>
      <c r="I12" s="90" t="s">
        <v>2525</v>
      </c>
      <c r="J12" s="91" t="s">
        <v>2526</v>
      </c>
      <c r="K12" s="92"/>
      <c r="L12" s="93"/>
      <c r="M12" s="93"/>
      <c r="N12" s="94"/>
      <c r="O12" s="94"/>
      <c r="P12" s="94"/>
      <c r="Q12" s="94"/>
      <c r="R12" s="95"/>
      <c r="S12" s="95" t="s">
        <v>2527</v>
      </c>
      <c r="T12" s="96"/>
      <c r="U12" s="96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151">
        <v>47.0</v>
      </c>
      <c r="B13" s="152" t="s">
        <v>2473</v>
      </c>
      <c r="C13" s="153" t="s">
        <v>2427</v>
      </c>
      <c r="D13" s="153">
        <v>1.0</v>
      </c>
      <c r="E13" s="153" t="s">
        <v>2431</v>
      </c>
      <c r="F13" s="153" t="s">
        <v>2387</v>
      </c>
      <c r="G13" s="99"/>
      <c r="H13" s="97"/>
      <c r="I13" s="90"/>
      <c r="J13" s="91"/>
      <c r="K13" s="92"/>
      <c r="L13" s="93"/>
      <c r="M13" s="93"/>
      <c r="N13" s="94"/>
      <c r="O13" s="94"/>
      <c r="P13" s="94"/>
      <c r="Q13" s="94"/>
      <c r="R13" s="95"/>
      <c r="S13" s="100"/>
      <c r="T13" s="96"/>
      <c r="U13" s="96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151">
        <v>51.0</v>
      </c>
      <c r="B14" s="152" t="s">
        <v>2435</v>
      </c>
      <c r="C14" s="153" t="s">
        <v>2433</v>
      </c>
      <c r="D14" s="153">
        <v>1.0</v>
      </c>
      <c r="E14" s="153" t="s">
        <v>2436</v>
      </c>
      <c r="F14" s="153" t="s">
        <v>2366</v>
      </c>
      <c r="G14" s="89" t="s">
        <v>2437</v>
      </c>
      <c r="H14" s="97"/>
      <c r="I14" s="90"/>
      <c r="J14" s="91"/>
      <c r="K14" s="92"/>
      <c r="L14" s="93"/>
      <c r="M14" s="93"/>
      <c r="N14" s="94"/>
      <c r="O14" s="94"/>
      <c r="P14" s="94"/>
      <c r="Q14" s="94"/>
      <c r="R14" s="95"/>
      <c r="S14" s="100"/>
      <c r="T14" s="96"/>
      <c r="U14" s="96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151">
        <v>52.0</v>
      </c>
      <c r="B15" s="152" t="s">
        <v>2438</v>
      </c>
      <c r="C15" s="153" t="s">
        <v>2433</v>
      </c>
      <c r="D15" s="153">
        <v>1.0</v>
      </c>
      <c r="E15" s="153" t="s">
        <v>2436</v>
      </c>
      <c r="F15" s="153" t="s">
        <v>2366</v>
      </c>
      <c r="G15" s="89" t="s">
        <v>2437</v>
      </c>
      <c r="H15" s="97"/>
      <c r="I15" s="90"/>
      <c r="J15" s="91"/>
      <c r="K15" s="92"/>
      <c r="L15" s="93"/>
      <c r="M15" s="93"/>
      <c r="N15" s="94"/>
      <c r="O15" s="94"/>
      <c r="P15" s="94"/>
      <c r="Q15" s="94"/>
      <c r="R15" s="101"/>
      <c r="S15" s="100"/>
      <c r="T15" s="96"/>
      <c r="U15" s="96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151">
        <v>56.0</v>
      </c>
      <c r="B16" s="152" t="s">
        <v>2440</v>
      </c>
      <c r="C16" s="153" t="s">
        <v>2427</v>
      </c>
      <c r="D16" s="153">
        <v>1.0</v>
      </c>
      <c r="E16" s="153" t="s">
        <v>2436</v>
      </c>
      <c r="F16" s="153" t="s">
        <v>2366</v>
      </c>
      <c r="G16" s="89" t="s">
        <v>2441</v>
      </c>
      <c r="H16" s="97"/>
      <c r="I16" s="90"/>
      <c r="J16" s="91"/>
      <c r="K16" s="92"/>
      <c r="L16" s="93"/>
      <c r="M16" s="93"/>
      <c r="N16" s="94"/>
      <c r="O16" s="94"/>
      <c r="P16" s="94"/>
      <c r="Q16" s="94"/>
      <c r="R16" s="95"/>
      <c r="S16" s="95"/>
      <c r="T16" s="96"/>
      <c r="U16" s="96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151">
        <v>66.0</v>
      </c>
      <c r="B17" s="152" t="s">
        <v>2442</v>
      </c>
      <c r="C17" s="153" t="s">
        <v>2427</v>
      </c>
      <c r="D17" s="153">
        <v>2.0</v>
      </c>
      <c r="E17" s="153" t="s">
        <v>2443</v>
      </c>
      <c r="F17" s="153" t="s">
        <v>2366</v>
      </c>
      <c r="G17" s="89" t="s">
        <v>2441</v>
      </c>
      <c r="H17" s="97"/>
      <c r="I17" s="90"/>
      <c r="J17" s="91"/>
      <c r="K17" s="92"/>
      <c r="L17" s="93"/>
      <c r="M17" s="93"/>
      <c r="N17" s="94"/>
      <c r="O17" s="94"/>
      <c r="P17" s="94"/>
      <c r="Q17" s="94"/>
      <c r="R17" s="95"/>
      <c r="S17" s="100"/>
      <c r="T17" s="96"/>
      <c r="U17" s="96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151">
        <v>61.0</v>
      </c>
      <c r="B18" s="152" t="s">
        <v>2447</v>
      </c>
      <c r="C18" s="153" t="s">
        <v>2427</v>
      </c>
      <c r="D18" s="153">
        <v>2.0</v>
      </c>
      <c r="E18" s="153" t="s">
        <v>2436</v>
      </c>
      <c r="F18" s="153" t="s">
        <v>2446</v>
      </c>
      <c r="G18" s="89" t="s">
        <v>2448</v>
      </c>
      <c r="H18" s="97"/>
      <c r="I18" s="90"/>
      <c r="J18" s="91"/>
      <c r="K18" s="92"/>
      <c r="L18" s="93"/>
      <c r="M18" s="93"/>
      <c r="N18" s="94"/>
      <c r="O18" s="94"/>
      <c r="P18" s="94"/>
      <c r="Q18" s="94"/>
      <c r="R18" s="95"/>
      <c r="S18" s="100"/>
      <c r="T18" s="96"/>
      <c r="U18" s="96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151">
        <v>18.0</v>
      </c>
      <c r="B19" s="152" t="s">
        <v>2445</v>
      </c>
      <c r="C19" s="154" t="s">
        <v>2433</v>
      </c>
      <c r="D19" s="153">
        <v>2.0</v>
      </c>
      <c r="E19" s="153" t="s">
        <v>2434</v>
      </c>
      <c r="F19" s="153" t="s">
        <v>2446</v>
      </c>
      <c r="G19" s="89"/>
      <c r="H19" s="97"/>
      <c r="I19" s="90"/>
      <c r="J19" s="91"/>
      <c r="K19" s="92"/>
      <c r="L19" s="93"/>
      <c r="M19" s="93"/>
      <c r="N19" s="94"/>
      <c r="O19" s="94"/>
      <c r="P19" s="94"/>
      <c r="Q19" s="94"/>
      <c r="R19" s="95"/>
      <c r="S19" s="100"/>
      <c r="T19" s="96"/>
      <c r="U19" s="96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151">
        <v>32.0</v>
      </c>
      <c r="B20" s="152" t="s">
        <v>2328</v>
      </c>
      <c r="C20" s="153" t="s">
        <v>2433</v>
      </c>
      <c r="D20" s="153">
        <v>3.0</v>
      </c>
      <c r="E20" s="153" t="s">
        <v>2434</v>
      </c>
      <c r="F20" s="153" t="s">
        <v>2446</v>
      </c>
      <c r="G20" s="89"/>
      <c r="H20" s="97"/>
      <c r="I20" s="90"/>
      <c r="J20" s="91"/>
      <c r="K20" s="92"/>
      <c r="L20" s="93"/>
      <c r="M20" s="93"/>
      <c r="N20" s="94"/>
      <c r="O20" s="94"/>
      <c r="P20" s="94"/>
      <c r="Q20" s="94"/>
      <c r="R20" s="95"/>
      <c r="S20" s="100"/>
      <c r="T20" s="96"/>
      <c r="U20" s="96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151">
        <v>32.0</v>
      </c>
      <c r="B21" s="152" t="s">
        <v>2451</v>
      </c>
      <c r="C21" s="153" t="s">
        <v>2427</v>
      </c>
      <c r="D21" s="153">
        <v>1.0</v>
      </c>
      <c r="E21" s="153" t="s">
        <v>2428</v>
      </c>
      <c r="F21" s="153" t="s">
        <v>2357</v>
      </c>
      <c r="G21" s="89" t="s">
        <v>2452</v>
      </c>
      <c r="H21" s="97"/>
      <c r="I21" s="90"/>
      <c r="J21" s="91"/>
      <c r="K21" s="92"/>
      <c r="L21" s="93"/>
      <c r="M21" s="93"/>
      <c r="N21" s="94"/>
      <c r="O21" s="94"/>
      <c r="P21" s="94"/>
      <c r="Q21" s="94"/>
      <c r="R21" s="95"/>
      <c r="S21" s="100"/>
      <c r="T21" s="96"/>
      <c r="U21" s="96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151">
        <v>64.0</v>
      </c>
      <c r="B22" s="152" t="s">
        <v>2453</v>
      </c>
      <c r="C22" s="153" t="s">
        <v>2427</v>
      </c>
      <c r="D22" s="153">
        <v>1.0</v>
      </c>
      <c r="E22" s="153" t="s">
        <v>2443</v>
      </c>
      <c r="F22" s="153" t="s">
        <v>2357</v>
      </c>
      <c r="G22" s="89" t="s">
        <v>2454</v>
      </c>
      <c r="H22" s="97"/>
      <c r="I22" s="90"/>
      <c r="J22" s="91"/>
      <c r="K22" s="92"/>
      <c r="L22" s="93"/>
      <c r="M22" s="93"/>
      <c r="N22" s="94"/>
      <c r="O22" s="94"/>
      <c r="P22" s="94"/>
      <c r="Q22" s="94"/>
      <c r="R22" s="95"/>
      <c r="S22" s="100"/>
      <c r="T22" s="96"/>
      <c r="U22" s="96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151">
        <v>65.0</v>
      </c>
      <c r="B23" s="152" t="s">
        <v>2455</v>
      </c>
      <c r="C23" s="153" t="s">
        <v>2427</v>
      </c>
      <c r="D23" s="153">
        <v>1.0</v>
      </c>
      <c r="E23" s="153" t="s">
        <v>2443</v>
      </c>
      <c r="F23" s="153" t="s">
        <v>2357</v>
      </c>
      <c r="G23" s="89" t="s">
        <v>2452</v>
      </c>
      <c r="H23" s="97"/>
      <c r="I23" s="90"/>
      <c r="J23" s="91"/>
      <c r="K23" s="92"/>
      <c r="L23" s="93"/>
      <c r="M23" s="93"/>
      <c r="N23" s="94"/>
      <c r="O23" s="94"/>
      <c r="P23" s="94"/>
      <c r="Q23" s="94"/>
      <c r="R23" s="95"/>
      <c r="S23" s="100"/>
      <c r="T23" s="96"/>
      <c r="U23" s="96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151">
        <v>9.0</v>
      </c>
      <c r="B24" s="152" t="s">
        <v>2457</v>
      </c>
      <c r="C24" s="153" t="s">
        <v>2433</v>
      </c>
      <c r="D24" s="153">
        <v>1.0</v>
      </c>
      <c r="E24" s="153" t="s">
        <v>2434</v>
      </c>
      <c r="F24" s="153" t="s">
        <v>2458</v>
      </c>
      <c r="G24" s="97" t="s">
        <v>2459</v>
      </c>
      <c r="H24" s="97"/>
      <c r="I24" s="90"/>
      <c r="J24" s="91"/>
      <c r="K24" s="92"/>
      <c r="L24" s="93"/>
      <c r="M24" s="93"/>
      <c r="N24" s="94"/>
      <c r="O24" s="94"/>
      <c r="P24" s="94"/>
      <c r="Q24" s="94"/>
      <c r="R24" s="95"/>
      <c r="S24" s="100"/>
      <c r="T24" s="96"/>
      <c r="U24" s="96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151">
        <v>13.0</v>
      </c>
      <c r="B25" s="152" t="s">
        <v>2460</v>
      </c>
      <c r="C25" s="153" t="s">
        <v>2433</v>
      </c>
      <c r="D25" s="153">
        <v>2.0</v>
      </c>
      <c r="E25" s="153" t="s">
        <v>2434</v>
      </c>
      <c r="F25" s="153" t="s">
        <v>2461</v>
      </c>
      <c r="G25" s="97"/>
      <c r="H25" s="97"/>
      <c r="I25" s="90"/>
      <c r="J25" s="91"/>
      <c r="K25" s="92"/>
      <c r="L25" s="93"/>
      <c r="M25" s="93"/>
      <c r="N25" s="94"/>
      <c r="O25" s="94"/>
      <c r="P25" s="94"/>
      <c r="Q25" s="94"/>
      <c r="R25" s="95"/>
      <c r="S25" s="100"/>
      <c r="T25" s="96"/>
      <c r="U25" s="96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151">
        <v>14.0</v>
      </c>
      <c r="B26" s="152" t="s">
        <v>2439</v>
      </c>
      <c r="C26" s="153" t="s">
        <v>2433</v>
      </c>
      <c r="D26" s="153">
        <v>2.0</v>
      </c>
      <c r="E26" s="153" t="s">
        <v>2434</v>
      </c>
      <c r="F26" s="153" t="s">
        <v>2366</v>
      </c>
      <c r="G26" s="97"/>
      <c r="H26" s="97"/>
      <c r="I26" s="90"/>
      <c r="J26" s="91"/>
      <c r="K26" s="92"/>
      <c r="L26" s="93"/>
      <c r="M26" s="93"/>
      <c r="N26" s="94"/>
      <c r="O26" s="94"/>
      <c r="P26" s="94"/>
      <c r="Q26" s="94"/>
      <c r="R26" s="95"/>
      <c r="S26" s="100"/>
      <c r="T26" s="96"/>
      <c r="U26" s="96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151">
        <v>23.0</v>
      </c>
      <c r="B27" s="152" t="s">
        <v>2462</v>
      </c>
      <c r="C27" s="153" t="s">
        <v>2427</v>
      </c>
      <c r="D27" s="153">
        <v>2.0</v>
      </c>
      <c r="E27" s="153" t="s">
        <v>2434</v>
      </c>
      <c r="F27" s="153" t="s">
        <v>2374</v>
      </c>
      <c r="G27" s="97"/>
      <c r="H27" s="97"/>
      <c r="I27" s="90"/>
      <c r="J27" s="91"/>
      <c r="K27" s="92"/>
      <c r="L27" s="93"/>
      <c r="M27" s="93"/>
      <c r="N27" s="94"/>
      <c r="O27" s="94"/>
      <c r="P27" s="94"/>
      <c r="Q27" s="94"/>
      <c r="R27" s="95"/>
      <c r="S27" s="100"/>
      <c r="T27" s="96"/>
      <c r="U27" s="96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151">
        <v>27.0</v>
      </c>
      <c r="B28" s="152" t="s">
        <v>2463</v>
      </c>
      <c r="C28" s="153" t="s">
        <v>2433</v>
      </c>
      <c r="D28" s="153">
        <v>3.0</v>
      </c>
      <c r="E28" s="153" t="s">
        <v>2434</v>
      </c>
      <c r="F28" s="153" t="s">
        <v>2374</v>
      </c>
      <c r="G28" s="97"/>
      <c r="H28" s="97"/>
      <c r="I28" s="90"/>
      <c r="J28" s="91"/>
      <c r="K28" s="92"/>
      <c r="L28" s="93"/>
      <c r="M28" s="93"/>
      <c r="N28" s="94"/>
      <c r="O28" s="94"/>
      <c r="P28" s="94"/>
      <c r="Q28" s="94"/>
      <c r="R28" s="95"/>
      <c r="S28" s="100"/>
      <c r="T28" s="96"/>
      <c r="U28" s="96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151">
        <v>42.0</v>
      </c>
      <c r="B29" s="152" t="s">
        <v>2464</v>
      </c>
      <c r="C29" s="153" t="s">
        <v>2427</v>
      </c>
      <c r="D29" s="153">
        <v>3.0</v>
      </c>
      <c r="E29" s="153" t="s">
        <v>2434</v>
      </c>
      <c r="F29" s="153" t="s">
        <v>2374</v>
      </c>
      <c r="G29" s="97"/>
      <c r="H29" s="97"/>
      <c r="I29" s="90"/>
      <c r="J29" s="91"/>
      <c r="K29" s="92"/>
      <c r="L29" s="93"/>
      <c r="M29" s="93"/>
      <c r="N29" s="94"/>
      <c r="O29" s="94"/>
      <c r="P29" s="94"/>
      <c r="Q29" s="94"/>
      <c r="R29" s="95"/>
      <c r="S29" s="100"/>
      <c r="T29" s="96"/>
      <c r="U29" s="96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151">
        <v>47.0</v>
      </c>
      <c r="B30" s="152" t="s">
        <v>2444</v>
      </c>
      <c r="C30" s="153" t="s">
        <v>2427</v>
      </c>
      <c r="D30" s="153">
        <v>3.0</v>
      </c>
      <c r="E30" s="153" t="s">
        <v>2434</v>
      </c>
      <c r="F30" s="153" t="s">
        <v>2366</v>
      </c>
      <c r="G30" s="97"/>
      <c r="H30" s="97"/>
      <c r="I30" s="90"/>
      <c r="J30" s="91"/>
      <c r="K30" s="92"/>
      <c r="L30" s="93"/>
      <c r="M30" s="93"/>
      <c r="N30" s="94"/>
      <c r="O30" s="94"/>
      <c r="P30" s="94"/>
      <c r="Q30" s="94"/>
      <c r="R30" s="95"/>
      <c r="S30" s="100"/>
      <c r="T30" s="96"/>
      <c r="U30" s="96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151">
        <v>53.0</v>
      </c>
      <c r="B31" s="152" t="s">
        <v>2262</v>
      </c>
      <c r="C31" s="153" t="s">
        <v>2427</v>
      </c>
      <c r="D31" s="153">
        <v>3.0</v>
      </c>
      <c r="E31" s="153" t="s">
        <v>2434</v>
      </c>
      <c r="F31" s="153" t="s">
        <v>2446</v>
      </c>
      <c r="G31" s="97"/>
      <c r="H31" s="97"/>
      <c r="I31" s="90"/>
      <c r="J31" s="91"/>
      <c r="K31" s="92"/>
      <c r="L31" s="93"/>
      <c r="M31" s="93"/>
      <c r="N31" s="94"/>
      <c r="O31" s="94"/>
      <c r="P31" s="94"/>
      <c r="Q31" s="94"/>
      <c r="R31" s="95"/>
      <c r="S31" s="100"/>
      <c r="T31" s="96"/>
      <c r="U31" s="96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155">
        <v>56.0</v>
      </c>
      <c r="B32" s="156" t="s">
        <v>2456</v>
      </c>
      <c r="C32" s="155" t="s">
        <v>2427</v>
      </c>
      <c r="D32" s="155">
        <v>3.0</v>
      </c>
      <c r="E32" s="155" t="s">
        <v>2434</v>
      </c>
      <c r="F32" s="155" t="s">
        <v>2357</v>
      </c>
      <c r="G32" s="97"/>
      <c r="H32" s="108"/>
      <c r="I32" s="90"/>
      <c r="J32" s="91"/>
      <c r="K32" s="92"/>
      <c r="L32" s="93"/>
      <c r="M32" s="93"/>
      <c r="N32" s="94"/>
      <c r="O32" s="94"/>
      <c r="P32" s="94"/>
      <c r="Q32" s="94"/>
      <c r="R32" s="95"/>
      <c r="S32" s="100"/>
      <c r="T32" s="96"/>
      <c r="U32" s="96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151">
        <v>58.0</v>
      </c>
      <c r="B33" s="152" t="s">
        <v>2465</v>
      </c>
      <c r="C33" s="153" t="s">
        <v>2433</v>
      </c>
      <c r="D33" s="153">
        <v>1.0</v>
      </c>
      <c r="E33" s="153" t="s">
        <v>2450</v>
      </c>
      <c r="F33" s="153" t="s">
        <v>2466</v>
      </c>
      <c r="G33" s="97" t="s">
        <v>2467</v>
      </c>
      <c r="H33" s="97"/>
      <c r="I33" s="90"/>
      <c r="J33" s="91"/>
      <c r="K33" s="92"/>
      <c r="L33" s="93"/>
      <c r="M33" s="93"/>
      <c r="N33" s="94"/>
      <c r="O33" s="94"/>
      <c r="P33" s="94"/>
      <c r="Q33" s="94"/>
      <c r="R33" s="95"/>
      <c r="S33" s="100"/>
      <c r="T33" s="96"/>
      <c r="U33" s="96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151">
        <v>60.0</v>
      </c>
      <c r="B34" s="152" t="s">
        <v>2468</v>
      </c>
      <c r="C34" s="153" t="s">
        <v>2433</v>
      </c>
      <c r="D34" s="153">
        <v>1.0</v>
      </c>
      <c r="E34" s="153" t="s">
        <v>2450</v>
      </c>
      <c r="F34" s="153" t="s">
        <v>2466</v>
      </c>
      <c r="G34" s="97"/>
      <c r="H34" s="97"/>
      <c r="I34" s="90"/>
      <c r="J34" s="91"/>
      <c r="K34" s="92"/>
      <c r="L34" s="93"/>
      <c r="M34" s="93"/>
      <c r="N34" s="94"/>
      <c r="O34" s="94"/>
      <c r="P34" s="94"/>
      <c r="Q34" s="94"/>
      <c r="R34" s="95"/>
      <c r="S34" s="100"/>
      <c r="T34" s="96"/>
      <c r="U34" s="96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157">
        <v>61.0</v>
      </c>
      <c r="B35" s="152" t="s">
        <v>2469</v>
      </c>
      <c r="C35" s="153" t="s">
        <v>2433</v>
      </c>
      <c r="D35" s="153">
        <v>1.0</v>
      </c>
      <c r="E35" s="153" t="s">
        <v>2450</v>
      </c>
      <c r="F35" s="153" t="s">
        <v>2348</v>
      </c>
      <c r="G35" s="97"/>
      <c r="H35" s="97"/>
      <c r="I35" s="90"/>
      <c r="J35" s="91"/>
      <c r="K35" s="92"/>
      <c r="L35" s="93"/>
      <c r="M35" s="93"/>
      <c r="N35" s="94"/>
      <c r="O35" s="94"/>
      <c r="P35" s="94"/>
      <c r="Q35" s="94"/>
      <c r="R35" s="95"/>
      <c r="S35" s="95"/>
      <c r="T35" s="96"/>
      <c r="U35" s="96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151">
        <v>62.0</v>
      </c>
      <c r="B36" s="152" t="s">
        <v>2470</v>
      </c>
      <c r="C36" s="153" t="s">
        <v>2433</v>
      </c>
      <c r="D36" s="153">
        <v>1.0</v>
      </c>
      <c r="E36" s="153" t="s">
        <v>2450</v>
      </c>
      <c r="F36" s="153" t="s">
        <v>2348</v>
      </c>
      <c r="G36" s="97"/>
      <c r="H36" s="97"/>
      <c r="I36" s="90"/>
      <c r="J36" s="91"/>
      <c r="K36" s="92"/>
      <c r="L36" s="93"/>
      <c r="M36" s="93"/>
      <c r="N36" s="94"/>
      <c r="O36" s="94"/>
      <c r="P36" s="94"/>
      <c r="Q36" s="94"/>
      <c r="R36" s="95"/>
      <c r="S36" s="100"/>
      <c r="T36" s="96"/>
      <c r="U36" s="96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157">
        <v>67.0</v>
      </c>
      <c r="B37" s="152" t="s">
        <v>2449</v>
      </c>
      <c r="C37" s="153" t="s">
        <v>2433</v>
      </c>
      <c r="D37" s="153">
        <v>1.0</v>
      </c>
      <c r="E37" s="153" t="s">
        <v>2450</v>
      </c>
      <c r="F37" s="153" t="s">
        <v>2357</v>
      </c>
      <c r="G37" s="97"/>
      <c r="H37" s="97"/>
      <c r="I37" s="90"/>
      <c r="J37" s="91"/>
      <c r="K37" s="92"/>
      <c r="L37" s="93"/>
      <c r="M37" s="93"/>
      <c r="N37" s="94"/>
      <c r="O37" s="94"/>
      <c r="P37" s="94"/>
      <c r="Q37" s="94"/>
      <c r="R37" s="95"/>
      <c r="S37" s="100"/>
      <c r="T37" s="96"/>
      <c r="U37" s="96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151">
        <v>68.0</v>
      </c>
      <c r="B38" s="152" t="s">
        <v>2471</v>
      </c>
      <c r="C38" s="153" t="s">
        <v>2433</v>
      </c>
      <c r="D38" s="153">
        <v>2.0</v>
      </c>
      <c r="E38" s="153" t="s">
        <v>2450</v>
      </c>
      <c r="F38" s="153" t="s">
        <v>2387</v>
      </c>
      <c r="G38" s="97"/>
      <c r="H38" s="97"/>
      <c r="I38" s="90"/>
      <c r="J38" s="91"/>
      <c r="K38" s="92"/>
      <c r="L38" s="93"/>
      <c r="M38" s="93"/>
      <c r="N38" s="94"/>
      <c r="O38" s="94"/>
      <c r="P38" s="94"/>
      <c r="Q38" s="94"/>
      <c r="R38" s="95"/>
      <c r="S38" s="100"/>
      <c r="T38" s="96"/>
      <c r="U38" s="96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157">
        <v>69.0</v>
      </c>
      <c r="B39" s="152" t="s">
        <v>2472</v>
      </c>
      <c r="C39" s="153" t="s">
        <v>2433</v>
      </c>
      <c r="D39" s="153">
        <v>2.0</v>
      </c>
      <c r="E39" s="153" t="s">
        <v>2450</v>
      </c>
      <c r="F39" s="153" t="s">
        <v>2387</v>
      </c>
      <c r="G39" s="97"/>
      <c r="H39" s="97"/>
      <c r="I39" s="90"/>
      <c r="J39" s="91"/>
      <c r="K39" s="92"/>
      <c r="L39" s="93"/>
      <c r="M39" s="93"/>
      <c r="N39" s="94"/>
      <c r="O39" s="94"/>
      <c r="P39" s="94"/>
      <c r="Q39" s="94"/>
      <c r="R39" s="95"/>
      <c r="S39" s="100"/>
      <c r="T39" s="96"/>
      <c r="U39" s="96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151">
        <v>70.0</v>
      </c>
      <c r="B40" s="152" t="s">
        <v>2476</v>
      </c>
      <c r="C40" s="153" t="s">
        <v>2433</v>
      </c>
      <c r="D40" s="153">
        <v>2.0</v>
      </c>
      <c r="E40" s="153" t="s">
        <v>2450</v>
      </c>
      <c r="F40" s="153" t="s">
        <v>2446</v>
      </c>
      <c r="G40" s="97"/>
      <c r="H40" s="97"/>
      <c r="I40" s="90"/>
      <c r="J40" s="91"/>
      <c r="K40" s="92"/>
      <c r="L40" s="93"/>
      <c r="M40" s="93"/>
      <c r="N40" s="94"/>
      <c r="O40" s="94"/>
      <c r="P40" s="94"/>
      <c r="Q40" s="94"/>
      <c r="R40" s="95"/>
      <c r="S40" s="100"/>
      <c r="T40" s="96"/>
      <c r="U40" s="96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157">
        <v>71.0</v>
      </c>
      <c r="B41" s="152" t="s">
        <v>2283</v>
      </c>
      <c r="C41" s="153" t="s">
        <v>2433</v>
      </c>
      <c r="D41" s="153">
        <v>2.0</v>
      </c>
      <c r="E41" s="153" t="s">
        <v>2450</v>
      </c>
      <c r="F41" s="153" t="s">
        <v>2446</v>
      </c>
      <c r="G41" s="97"/>
      <c r="H41" s="97"/>
      <c r="I41" s="90"/>
      <c r="J41" s="91"/>
      <c r="K41" s="92"/>
      <c r="L41" s="93"/>
      <c r="M41" s="93"/>
      <c r="N41" s="94"/>
      <c r="O41" s="94"/>
      <c r="P41" s="94"/>
      <c r="Q41" s="94"/>
      <c r="R41" s="95"/>
      <c r="S41" s="100"/>
      <c r="T41" s="96"/>
      <c r="U41" s="96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151">
        <v>72.0</v>
      </c>
      <c r="B42" s="152" t="s">
        <v>2477</v>
      </c>
      <c r="C42" s="153" t="s">
        <v>2433</v>
      </c>
      <c r="D42" s="153">
        <v>2.0</v>
      </c>
      <c r="E42" s="153" t="s">
        <v>2450</v>
      </c>
      <c r="F42" s="153" t="s">
        <v>2446</v>
      </c>
      <c r="G42" s="97"/>
      <c r="H42" s="97"/>
      <c r="I42" s="90"/>
      <c r="J42" s="91"/>
      <c r="K42" s="92"/>
      <c r="L42" s="93"/>
      <c r="M42" s="93"/>
      <c r="N42" s="94"/>
      <c r="O42" s="94"/>
      <c r="P42" s="94"/>
      <c r="Q42" s="94"/>
      <c r="R42" s="95"/>
      <c r="S42" s="100"/>
      <c r="T42" s="96"/>
      <c r="U42" s="96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157">
        <v>73.0</v>
      </c>
      <c r="B43" s="152" t="s">
        <v>2478</v>
      </c>
      <c r="C43" s="153" t="s">
        <v>2433</v>
      </c>
      <c r="D43" s="153">
        <v>2.0</v>
      </c>
      <c r="E43" s="153" t="s">
        <v>2450</v>
      </c>
      <c r="F43" s="153" t="s">
        <v>2348</v>
      </c>
      <c r="G43" s="89" t="s">
        <v>2479</v>
      </c>
      <c r="H43" s="97" t="s">
        <v>2480</v>
      </c>
      <c r="I43" s="90"/>
      <c r="J43" s="91"/>
      <c r="K43" s="92"/>
      <c r="L43" s="93"/>
      <c r="M43" s="93"/>
      <c r="N43" s="94"/>
      <c r="O43" s="94"/>
      <c r="P43" s="94"/>
      <c r="Q43" s="94"/>
      <c r="R43" s="95"/>
      <c r="S43" s="100"/>
      <c r="T43" s="96"/>
      <c r="U43" s="96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151">
        <v>74.0</v>
      </c>
      <c r="B44" s="152" t="s">
        <v>2481</v>
      </c>
      <c r="C44" s="153" t="s">
        <v>2433</v>
      </c>
      <c r="D44" s="153">
        <v>2.0</v>
      </c>
      <c r="E44" s="153" t="s">
        <v>2450</v>
      </c>
      <c r="F44" s="153" t="s">
        <v>2348</v>
      </c>
      <c r="G44" s="89" t="s">
        <v>2479</v>
      </c>
      <c r="H44" s="97" t="s">
        <v>2480</v>
      </c>
      <c r="I44" s="90" t="s">
        <v>2482</v>
      </c>
      <c r="J44" s="91" t="s">
        <v>2433</v>
      </c>
      <c r="K44" s="92"/>
      <c r="L44" s="93"/>
      <c r="M44" s="93"/>
      <c r="N44" s="94"/>
      <c r="O44" s="94"/>
      <c r="P44" s="94"/>
      <c r="Q44" s="94"/>
      <c r="R44" s="95"/>
      <c r="S44" s="100"/>
      <c r="T44" s="96"/>
      <c r="U44" s="96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157">
        <v>75.0</v>
      </c>
      <c r="B45" s="152" t="s">
        <v>2483</v>
      </c>
      <c r="C45" s="153" t="s">
        <v>2433</v>
      </c>
      <c r="D45" s="153">
        <v>2.0</v>
      </c>
      <c r="E45" s="153" t="s">
        <v>2450</v>
      </c>
      <c r="F45" s="153" t="s">
        <v>2357</v>
      </c>
      <c r="G45" s="97"/>
      <c r="H45" s="97"/>
      <c r="I45" s="90"/>
      <c r="J45" s="91"/>
      <c r="K45" s="92"/>
      <c r="L45" s="93"/>
      <c r="M45" s="93"/>
      <c r="N45" s="94"/>
      <c r="O45" s="94"/>
      <c r="P45" s="94"/>
      <c r="Q45" s="94"/>
      <c r="R45" s="95"/>
      <c r="S45" s="100"/>
      <c r="T45" s="96"/>
      <c r="U45" s="96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157">
        <v>77.0</v>
      </c>
      <c r="B46" s="152" t="s">
        <v>2474</v>
      </c>
      <c r="C46" s="153" t="s">
        <v>2427</v>
      </c>
      <c r="D46" s="153">
        <v>2.0</v>
      </c>
      <c r="E46" s="153" t="s">
        <v>2450</v>
      </c>
      <c r="F46" s="153" t="s">
        <v>2387</v>
      </c>
      <c r="G46" s="97"/>
      <c r="H46" s="97"/>
      <c r="I46" s="90"/>
      <c r="J46" s="91"/>
      <c r="K46" s="92"/>
      <c r="L46" s="93"/>
      <c r="M46" s="93"/>
      <c r="N46" s="94"/>
      <c r="O46" s="94"/>
      <c r="P46" s="94"/>
      <c r="Q46" s="94"/>
      <c r="R46" s="95"/>
      <c r="S46" s="100"/>
      <c r="T46" s="96"/>
      <c r="U46" s="96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151">
        <v>78.0</v>
      </c>
      <c r="B47" s="152" t="s">
        <v>2484</v>
      </c>
      <c r="C47" s="153" t="s">
        <v>2427</v>
      </c>
      <c r="D47" s="153">
        <v>2.0</v>
      </c>
      <c r="E47" s="153" t="s">
        <v>2450</v>
      </c>
      <c r="F47" s="153" t="s">
        <v>2366</v>
      </c>
      <c r="G47" s="97"/>
      <c r="H47" s="97"/>
      <c r="I47" s="90"/>
      <c r="J47" s="91"/>
      <c r="K47" s="92"/>
      <c r="L47" s="93"/>
      <c r="M47" s="93"/>
      <c r="N47" s="94"/>
      <c r="O47" s="94"/>
      <c r="P47" s="94"/>
      <c r="Q47" s="94"/>
      <c r="R47" s="95"/>
      <c r="S47" s="100"/>
      <c r="T47" s="96"/>
      <c r="U47" s="96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157">
        <v>79.0</v>
      </c>
      <c r="B48" s="152" t="s">
        <v>2268</v>
      </c>
      <c r="C48" s="153" t="s">
        <v>2427</v>
      </c>
      <c r="D48" s="153">
        <v>2.0</v>
      </c>
      <c r="E48" s="153" t="s">
        <v>2450</v>
      </c>
      <c r="F48" s="153" t="s">
        <v>2348</v>
      </c>
      <c r="G48" s="97" t="s">
        <v>2479</v>
      </c>
      <c r="H48" s="97" t="s">
        <v>2480</v>
      </c>
      <c r="I48" s="90"/>
      <c r="J48" s="91"/>
      <c r="K48" s="92"/>
      <c r="L48" s="93"/>
      <c r="M48" s="93"/>
      <c r="N48" s="94"/>
      <c r="O48" s="94"/>
      <c r="P48" s="94"/>
      <c r="Q48" s="94"/>
      <c r="R48" s="95"/>
      <c r="S48" s="100"/>
      <c r="T48" s="96"/>
      <c r="U48" s="96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151">
        <v>80.0</v>
      </c>
      <c r="B49" s="152" t="s">
        <v>2485</v>
      </c>
      <c r="C49" s="153" t="s">
        <v>2427</v>
      </c>
      <c r="D49" s="153">
        <v>2.0</v>
      </c>
      <c r="E49" s="153" t="s">
        <v>2450</v>
      </c>
      <c r="F49" s="153" t="s">
        <v>2348</v>
      </c>
      <c r="G49" s="89" t="s">
        <v>2479</v>
      </c>
      <c r="H49" s="97" t="s">
        <v>2480</v>
      </c>
      <c r="I49" s="90"/>
      <c r="J49" s="91"/>
      <c r="K49" s="92"/>
      <c r="L49" s="93"/>
      <c r="M49" s="93"/>
      <c r="N49" s="94"/>
      <c r="O49" s="94"/>
      <c r="P49" s="94"/>
      <c r="Q49" s="94"/>
      <c r="R49" s="95"/>
      <c r="S49" s="100"/>
      <c r="T49" s="96"/>
      <c r="U49" s="96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157">
        <v>85.0</v>
      </c>
      <c r="B50" s="152" t="s">
        <v>2486</v>
      </c>
      <c r="C50" s="153" t="s">
        <v>2433</v>
      </c>
      <c r="D50" s="153">
        <v>3.0</v>
      </c>
      <c r="E50" s="153" t="s">
        <v>2450</v>
      </c>
      <c r="F50" s="153" t="s">
        <v>2366</v>
      </c>
      <c r="G50" s="97"/>
      <c r="H50" s="97"/>
      <c r="I50" s="90"/>
      <c r="J50" s="91"/>
      <c r="K50" s="92"/>
      <c r="L50" s="93"/>
      <c r="M50" s="93"/>
      <c r="N50" s="94"/>
      <c r="O50" s="94"/>
      <c r="P50" s="94"/>
      <c r="Q50" s="94"/>
      <c r="R50" s="95"/>
      <c r="S50" s="100"/>
      <c r="T50" s="96"/>
      <c r="U50" s="96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151">
        <v>86.0</v>
      </c>
      <c r="B51" s="152" t="s">
        <v>2487</v>
      </c>
      <c r="C51" s="153" t="s">
        <v>2433</v>
      </c>
      <c r="D51" s="153">
        <v>3.0</v>
      </c>
      <c r="E51" s="153" t="s">
        <v>2450</v>
      </c>
      <c r="F51" s="153" t="s">
        <v>2446</v>
      </c>
      <c r="G51" s="97"/>
      <c r="H51" s="97"/>
      <c r="I51" s="90"/>
      <c r="J51" s="91"/>
      <c r="K51" s="92"/>
      <c r="L51" s="93"/>
      <c r="M51" s="93"/>
      <c r="N51" s="94"/>
      <c r="O51" s="94"/>
      <c r="P51" s="94"/>
      <c r="Q51" s="94"/>
      <c r="R51" s="95"/>
      <c r="S51" s="100"/>
      <c r="T51" s="96"/>
      <c r="U51" s="96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157">
        <v>87.0</v>
      </c>
      <c r="B52" s="152" t="s">
        <v>2488</v>
      </c>
      <c r="C52" s="153" t="s">
        <v>2433</v>
      </c>
      <c r="D52" s="153">
        <v>3.0</v>
      </c>
      <c r="E52" s="153" t="s">
        <v>2450</v>
      </c>
      <c r="F52" s="153" t="s">
        <v>2348</v>
      </c>
      <c r="G52" s="97"/>
      <c r="H52" s="97"/>
      <c r="I52" s="90"/>
      <c r="J52" s="91"/>
      <c r="K52" s="92"/>
      <c r="L52" s="93"/>
      <c r="M52" s="93"/>
      <c r="N52" s="94"/>
      <c r="O52" s="94"/>
      <c r="P52" s="94"/>
      <c r="Q52" s="94"/>
      <c r="R52" s="95"/>
      <c r="S52" s="100"/>
      <c r="T52" s="96"/>
      <c r="U52" s="96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157">
        <v>93.0</v>
      </c>
      <c r="B53" s="152" t="s">
        <v>2475</v>
      </c>
      <c r="C53" s="153" t="s">
        <v>2427</v>
      </c>
      <c r="D53" s="153">
        <v>3.0</v>
      </c>
      <c r="E53" s="153" t="s">
        <v>2450</v>
      </c>
      <c r="F53" s="153" t="s">
        <v>2387</v>
      </c>
      <c r="G53" s="97"/>
      <c r="H53" s="97"/>
      <c r="I53" s="90"/>
      <c r="J53" s="91"/>
      <c r="K53" s="92"/>
      <c r="L53" s="93"/>
      <c r="M53" s="93"/>
      <c r="N53" s="94"/>
      <c r="O53" s="94"/>
      <c r="P53" s="94"/>
      <c r="Q53" s="94"/>
      <c r="R53" s="95"/>
      <c r="S53" s="100"/>
      <c r="T53" s="96"/>
      <c r="U53" s="96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157">
        <v>95.0</v>
      </c>
      <c r="B54" s="152" t="s">
        <v>2489</v>
      </c>
      <c r="C54" s="153" t="s">
        <v>2427</v>
      </c>
      <c r="D54" s="153">
        <v>3.0</v>
      </c>
      <c r="E54" s="153" t="s">
        <v>2450</v>
      </c>
      <c r="F54" s="153" t="s">
        <v>2446</v>
      </c>
      <c r="G54" s="97"/>
      <c r="H54" s="97"/>
      <c r="I54" s="90"/>
      <c r="J54" s="91"/>
      <c r="K54" s="92"/>
      <c r="L54" s="93"/>
      <c r="M54" s="93"/>
      <c r="N54" s="94"/>
      <c r="O54" s="94"/>
      <c r="P54" s="94"/>
      <c r="Q54" s="94"/>
      <c r="R54" s="95"/>
      <c r="S54" s="100"/>
      <c r="T54" s="96"/>
      <c r="U54" s="96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151">
        <v>96.0</v>
      </c>
      <c r="B55" s="152" t="s">
        <v>2490</v>
      </c>
      <c r="C55" s="153" t="s">
        <v>2427</v>
      </c>
      <c r="D55" s="153">
        <v>3.0</v>
      </c>
      <c r="E55" s="153" t="s">
        <v>2450</v>
      </c>
      <c r="F55" s="153" t="s">
        <v>2348</v>
      </c>
      <c r="G55" s="89" t="s">
        <v>2479</v>
      </c>
      <c r="H55" s="97" t="s">
        <v>2480</v>
      </c>
      <c r="I55" s="90"/>
      <c r="J55" s="91"/>
      <c r="K55" s="92"/>
      <c r="L55" s="93"/>
      <c r="M55" s="93"/>
      <c r="N55" s="94"/>
      <c r="O55" s="94"/>
      <c r="P55" s="94"/>
      <c r="Q55" s="94"/>
      <c r="R55" s="95"/>
      <c r="S55" s="100"/>
      <c r="T55" s="96"/>
      <c r="U55" s="96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109"/>
      <c r="B56" s="110"/>
      <c r="C56" s="109"/>
      <c r="D56" s="109"/>
      <c r="E56" s="109"/>
      <c r="F56" s="109"/>
      <c r="G56" s="109"/>
      <c r="H56" s="109"/>
      <c r="I56" s="111"/>
      <c r="J56" s="112"/>
      <c r="K56" s="113"/>
      <c r="L56" s="113"/>
      <c r="M56" s="113"/>
      <c r="N56" s="112"/>
      <c r="O56" s="112"/>
      <c r="P56" s="112"/>
      <c r="Q56" s="112"/>
      <c r="R56" s="114"/>
      <c r="S56" s="115"/>
      <c r="T56" s="116"/>
      <c r="U56" s="116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117"/>
      <c r="B57" s="118"/>
      <c r="C57" s="117"/>
      <c r="D57" s="117"/>
      <c r="E57" s="117"/>
      <c r="F57" s="117"/>
      <c r="G57" s="117"/>
      <c r="H57" s="117"/>
      <c r="I57" s="119"/>
      <c r="J57" s="117"/>
      <c r="K57" s="120"/>
      <c r="L57" s="120"/>
      <c r="M57" s="120"/>
      <c r="N57" s="117"/>
      <c r="O57" s="117"/>
      <c r="P57" s="117"/>
      <c r="Q57" s="117"/>
      <c r="R57" s="121"/>
      <c r="S57" s="12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117"/>
      <c r="B58" s="120" t="str">
        <f>CONCATENATE(COUNTIF($C$9:$C$55, "M"), "/", COUNTA($A$9:A55), " MALE")</f>
        <v>25/47 MALE</v>
      </c>
      <c r="C58" s="121" t="str">
        <f>CONCATENATE(COUNTIF($D$9:$D55,"1"), "/", COUNTA($A$9:$A$55), " GRP 1")</f>
        <v>16/47 GRP 1</v>
      </c>
      <c r="D58" s="117"/>
      <c r="E58" s="121" t="str">
        <f>CONCATENATE(COUNTIF($E$9:$E$55,"A1"), "/", COUNTA($A$9:$A$55), " CAT A1")</f>
        <v>0/47 CAT A1</v>
      </c>
      <c r="F58" s="121"/>
      <c r="G58" s="117"/>
      <c r="H58" s="117"/>
      <c r="I58" s="122" t="str">
        <f>CONCATENATE(COUNTblank($I$9:$I$55), " NOT RESPONDED")</f>
        <v>45 NOT RESPONDED</v>
      </c>
      <c r="J58" s="117" t="str">
        <f>CONCATENATE(COUNTIF($J$9:$J$56,"S"), " S")</f>
        <v>1 S</v>
      </c>
      <c r="K58" s="117" t="str">
        <f>CONCATENATE(COUNTIF($K$9:$K$56,"Y"), " YES")</f>
        <v>0 YES</v>
      </c>
      <c r="L58" s="117"/>
      <c r="M58" s="120"/>
      <c r="N58" s="117" t="str">
        <f>CONCATENATE(COUNTIF($N$9:$N$56,"0"), " -0")</f>
        <v>0 -0</v>
      </c>
      <c r="O58" s="117" t="str">
        <f>CONCATENATE(COUNTIF($O$9:$O$56,"0"), " -0")</f>
        <v>0 -0</v>
      </c>
      <c r="P58" s="117" t="str">
        <f>CONCATENATE(COUNTIF($P$9:$P$56,"Y"), " YES")</f>
        <v>0 YES</v>
      </c>
      <c r="Q58" s="117" t="str">
        <f>CONCATENATE(COUNTIF($Q$9:$Q$56,"TRANSPORT FROM BJ"), " -BJ")</f>
        <v>0 -BJ</v>
      </c>
      <c r="R58" s="121" t="str">
        <f>CONCATENATE(COUNTIF($R$9:$R$56,"FOLLOW PARENTS - RELEASE ON 28th Jun 2025 at SIN (1-way only)"), " -1-WAY (PARENTS PICKUP AT SIN)")</f>
        <v>0 -1-WAY (PARENTS PICKUP AT SIN)</v>
      </c>
      <c r="S58" s="12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117"/>
      <c r="B59" s="118" t="str">
        <f>CONCATENATE(COUNTIF($C$9:$C$55,"F"), "/", COUNTA($A$9:$A$55), " FEMALE")</f>
        <v>22/47 FEMALE</v>
      </c>
      <c r="C59" s="121" t="str">
        <f>CONCATENATE(COUNTIF($D$9:$D$55,"2"), "/", COUNTA($A$9:$A$55), " GRP 2")</f>
        <v>18/47 GRP 2</v>
      </c>
      <c r="D59" s="117"/>
      <c r="E59" s="121" t="str">
        <f>CONCATENATE(COUNTIF($E$9:$E$55,"A2"), "/", COUNTA($A$9:$A$55), " CAT A2")</f>
        <v>0/47 CAT A2</v>
      </c>
      <c r="F59" s="121"/>
      <c r="G59" s="117"/>
      <c r="H59" s="117"/>
      <c r="I59" s="119"/>
      <c r="J59" s="117" t="str">
        <f>CONCATENATE(COUNTIF($J$9:$J$56,"M"), " M")</f>
        <v>1 M</v>
      </c>
      <c r="K59" s="117" t="str">
        <f>CONCATENATE(COUNTIF($K$9:$K$56,"N"), " NO")</f>
        <v>0 NO</v>
      </c>
      <c r="L59" s="117"/>
      <c r="M59" s="120"/>
      <c r="N59" s="117" t="str">
        <f>CONCATENATE(COUNTIF($N$9:$N$56,"1"), " -1")</f>
        <v>0 -1</v>
      </c>
      <c r="O59" s="117" t="str">
        <f>CONCATENATE(COUNTIF($O$9:$O$56,"1"), " -1")</f>
        <v>0 -1</v>
      </c>
      <c r="P59" s="117" t="str">
        <f>CONCATENATE(COUNTIF($P$9:$P$56,"N"), " NO")</f>
        <v>0 NO</v>
      </c>
      <c r="Q59" s="117" t="str">
        <f>CONCATENATE(COUNTIF($Q$9:$Q$56,"MEET AT KLIA"), " -KLIA")</f>
        <v>0 -KLIA</v>
      </c>
      <c r="R59" s="121" t="str">
        <f>CONCATENATE(COUNTIF($R$9:$R$56,"Follow Coach - release on 28th Jun at SIN (1-way only)"), "  -1-WAY (FOLLOW COACH AT SIN)")</f>
        <v>0  -1-WAY (FOLLOW COACH AT SIN)</v>
      </c>
      <c r="S59" s="12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117"/>
      <c r="B60" s="120"/>
      <c r="C60" s="121" t="str">
        <f>CONCATENATE(COUNTIF($D$9:$D$55,"3"), "/", COUNTA($A$9:$A$55), " GRP 3")</f>
        <v>13/47 GRP 3</v>
      </c>
      <c r="D60" s="117"/>
      <c r="E60" s="121" t="str">
        <f>CONCATENATE(COUNTIF($E$9:$E$55,"A3"), "/", COUNTA($A$9:$A$55), " CAT A3")</f>
        <v>0/47 CAT A3</v>
      </c>
      <c r="F60" s="121"/>
      <c r="G60" s="117"/>
      <c r="H60" s="117"/>
      <c r="I60" s="119"/>
      <c r="J60" s="117" t="str">
        <f>CONCATENATE(COUNTIF($J$9:$J$56,"L"), " L")</f>
        <v>0 L</v>
      </c>
      <c r="K60" s="117"/>
      <c r="L60" s="117"/>
      <c r="M60" s="120"/>
      <c r="N60" s="117" t="str">
        <f>CONCATENATE(COUNTIF($N$9:$N$56,"2"), " -2")</f>
        <v>0 -2</v>
      </c>
      <c r="O60" s="117" t="str">
        <f>CONCATENATE(COUNTIF($O$9:$O$56,"2"), " -2")</f>
        <v>0 -2</v>
      </c>
      <c r="P60" s="117"/>
      <c r="Q60" s="117" t="str">
        <f>CONCATENATE(COUNTIF($Q$9:$Q$56,"OTHER"), " -OTHER")</f>
        <v>0 -OTHER</v>
      </c>
      <c r="R60" s="121" t="str">
        <f>CONCATENATE(COUNTIF($R$9:$R$56,"Transit through KLIA"), "  -TRANSIT AT KLIA")</f>
        <v>0  -TRANSIT AT KLIA</v>
      </c>
      <c r="S60" s="12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117"/>
      <c r="B61" s="120" t="str">
        <f>CONCATENATE(COUNTIF($F$9:$F$55,"WPKL"), "-WPKL")</f>
        <v>6-WPKL</v>
      </c>
      <c r="C61" s="121"/>
      <c r="D61" s="117"/>
      <c r="E61" s="121" t="str">
        <f>CONCATENATE(COUNTIF($E$9:$E$55,"B1"), "/", COUNTA($A$9:$A$55), " CAT B1")</f>
        <v>3/47 CAT B1</v>
      </c>
      <c r="F61" s="121"/>
      <c r="G61" s="123"/>
      <c r="H61" s="123"/>
      <c r="I61" s="53"/>
      <c r="J61" s="117" t="str">
        <f>CONCATENATE(COUNTIF($J$9:$J$56,"XL"), " XL")</f>
        <v>0 XL</v>
      </c>
      <c r="K61" s="117"/>
      <c r="L61" s="117"/>
      <c r="M61" s="120"/>
      <c r="N61" s="117" t="str">
        <f>CONCATENATE(COUNTIF($N$9:$N$56,"3"), " -3")</f>
        <v>0 -3</v>
      </c>
      <c r="O61" s="117" t="str">
        <f>CONCATENATE(COUNTIF($O$9:$O$56,"3"), " -3")</f>
        <v>0 -3</v>
      </c>
      <c r="P61" s="117"/>
      <c r="Q61" s="117"/>
      <c r="R61" s="121" t="str">
        <f>CONCATENATE(COUNTIF($R$9:$R$56,"Parent pickup from BJ"), "  -PARENT PICKUP FROM BJ")</f>
        <v>0  -PARENT PICKUP FROM BJ</v>
      </c>
      <c r="S61" s="121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117"/>
      <c r="B62" s="120" t="str">
        <f>CONCATENATE(COUNTIF($F$9:$F$55,"SGR"), "-SGR")</f>
        <v>9-SGR</v>
      </c>
      <c r="C62" s="121"/>
      <c r="D62" s="117"/>
      <c r="E62" s="121" t="str">
        <f>CONCATENATE(COUNTIF($E$9:$E$55,"B1R"), "/", COUNTA($A$9:$A$55), " CAT B1 RESERVE")</f>
        <v>2/47 CAT B1 RESERVE</v>
      </c>
      <c r="F62" s="121"/>
      <c r="G62" s="123"/>
      <c r="H62" s="123"/>
      <c r="I62" s="53"/>
      <c r="J62" s="117" t="str">
        <f>CONCATENATE(COUNTIF($J$9:$J$56,"2XL"), " 2XL")</f>
        <v>0 2XL</v>
      </c>
      <c r="K62" s="120"/>
      <c r="L62" s="120"/>
      <c r="M62" s="120"/>
      <c r="N62" s="123" t="s">
        <v>2491</v>
      </c>
      <c r="O62" s="123" t="s">
        <v>2491</v>
      </c>
      <c r="P62" s="117"/>
      <c r="Q62" s="117"/>
      <c r="R62" s="121" t="str">
        <f>CONCATENATE(COUNTIF($R$9:$R$56,"Parent pickup from KLIA"), " -PARENT PICKUP FROM KLIA")</f>
        <v>0 -PARENT PICKUP FROM KLIA</v>
      </c>
      <c r="S62" s="121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117"/>
      <c r="B63" s="120" t="str">
        <f>CONCATENATE(COUNTIF($F$9:$F$55,"SWK"), "-SWK")</f>
        <v>9-SWK</v>
      </c>
      <c r="C63" s="117"/>
      <c r="D63" s="117"/>
      <c r="E63" s="121" t="str">
        <f>CONCATENATE(COUNTIF($E$9:$E$55,"B2"), "/", COUNTA($A$9:$A$55), " CAT B2")</f>
        <v>4/47 CAT B2</v>
      </c>
      <c r="F63" s="117"/>
      <c r="G63" s="123"/>
      <c r="H63" s="123"/>
      <c r="I63" s="119"/>
      <c r="J63" s="117"/>
      <c r="K63" s="120"/>
      <c r="L63" s="120"/>
      <c r="M63" s="120"/>
      <c r="N63" s="117">
        <f t="shared" ref="N63:O63" si="1">SUM(N9:N23)</f>
        <v>0</v>
      </c>
      <c r="O63" s="117">
        <f t="shared" si="1"/>
        <v>0</v>
      </c>
      <c r="P63" s="117"/>
      <c r="Q63" s="117"/>
      <c r="R63" s="121" t="str">
        <f>CONCATENATE(COUNTIF($R$9:$R$56,"OTHER"), "  -OTHER")</f>
        <v>0  -OTHER</v>
      </c>
      <c r="S63" s="121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117"/>
      <c r="B64" s="120" t="str">
        <f>CONCATENATE(COUNTIF($F$9:$F$55,"SBH"), "-SBH")</f>
        <v>2-SBH</v>
      </c>
      <c r="C64" s="117"/>
      <c r="D64" s="117"/>
      <c r="E64" s="124" t="str">
        <f>CONCATENATE(COUNTIF($E$9:$E$55,"B2R"), "/", COUNTA($A$9:$A$55), " CAT B2R")</f>
        <v>3/47 CAT B2R</v>
      </c>
      <c r="F64" s="117"/>
      <c r="G64" s="123"/>
      <c r="H64" s="123"/>
      <c r="I64" s="119"/>
      <c r="J64" s="117"/>
      <c r="K64" s="120"/>
      <c r="L64" s="120"/>
      <c r="M64" s="120"/>
      <c r="N64" s="117"/>
      <c r="O64" s="117"/>
      <c r="P64" s="117"/>
      <c r="Q64" s="117"/>
      <c r="R64" s="121"/>
      <c r="S64" s="121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117"/>
      <c r="B65" s="120" t="str">
        <f>CONCATENATE(COUNTIF($F$9:$F$55,"PRK"), "-PRK")</f>
        <v>3-PRK</v>
      </c>
      <c r="C65" s="117"/>
      <c r="D65" s="117"/>
      <c r="E65" s="124" t="str">
        <f>CONCATENATE(COUNTIF($E$9:$E$55,"C"), "/", COUNTA($A$9:$A$55), " CAT C")</f>
        <v>12/47 CAT C</v>
      </c>
      <c r="F65" s="117"/>
      <c r="G65" s="123"/>
      <c r="H65" s="123"/>
      <c r="I65" s="53"/>
      <c r="J65" s="117"/>
      <c r="K65" s="120"/>
      <c r="L65" s="120"/>
      <c r="M65" s="120"/>
      <c r="N65" s="117"/>
      <c r="O65" s="117"/>
      <c r="P65" s="117"/>
      <c r="Q65" s="117"/>
      <c r="R65" s="121"/>
      <c r="S65" s="121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117"/>
      <c r="B66" s="120" t="str">
        <f>CONCATENATE(COUNTIF($F$9:$F$55,"PEN"), "-PEN")</f>
        <v>8-PEN</v>
      </c>
      <c r="C66" s="117"/>
      <c r="D66" s="117"/>
      <c r="E66" s="124" t="str">
        <f>CONCATENATE(COUNTIF($E$9:$E$55,"CR"), "/", COUNTA($A$9:$A$55), " CAT C RESERVE")</f>
        <v>23/47 CAT C RESERVE</v>
      </c>
      <c r="F66" s="117"/>
      <c r="G66" s="123"/>
      <c r="H66" s="123"/>
      <c r="I66" s="119"/>
      <c r="J66" s="117"/>
      <c r="K66" s="120"/>
      <c r="L66" s="120"/>
      <c r="M66" s="120"/>
      <c r="N66" s="117"/>
      <c r="O66" s="117"/>
      <c r="P66" s="117"/>
      <c r="Q66" s="117"/>
      <c r="R66" s="121"/>
      <c r="S66" s="121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117"/>
      <c r="B67" s="120" t="str">
        <f>CONCATENATE(COUNTIF($F$9:$F$55,"NSE"), "-NSE")</f>
        <v>5-NSE</v>
      </c>
      <c r="C67" s="117"/>
      <c r="D67" s="117"/>
      <c r="E67" s="124"/>
      <c r="F67" s="117"/>
      <c r="G67" s="123"/>
      <c r="H67" s="123"/>
      <c r="I67" s="119"/>
      <c r="J67" s="117"/>
      <c r="K67" s="120"/>
      <c r="L67" s="120"/>
      <c r="M67" s="120"/>
      <c r="N67" s="117"/>
      <c r="O67" s="117"/>
      <c r="P67" s="117"/>
      <c r="Q67" s="117"/>
      <c r="R67" s="121"/>
      <c r="S67" s="12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117"/>
      <c r="B68" s="120" t="str">
        <f>CONCATENATE(COUNTIF($F$9:$F$55,"MLK"), "-MLK")</f>
        <v>0-MLK</v>
      </c>
      <c r="C68" s="117"/>
      <c r="D68" s="117"/>
      <c r="E68" s="124" t="s">
        <v>2492</v>
      </c>
      <c r="F68" s="117"/>
      <c r="G68" s="123"/>
      <c r="H68" s="123"/>
      <c r="I68" s="119"/>
      <c r="J68" s="117"/>
      <c r="K68" s="120"/>
      <c r="L68" s="120"/>
      <c r="M68" s="120"/>
      <c r="N68" s="117"/>
      <c r="O68" s="117"/>
      <c r="P68" s="117"/>
      <c r="Q68" s="117"/>
      <c r="R68" s="121"/>
      <c r="S68" s="121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117"/>
      <c r="B69" s="120" t="str">
        <f>CONCATENATE(COUNTIF($F$9:$F$55,"KDH"), "-KDH")</f>
        <v>1-KDH</v>
      </c>
      <c r="C69" s="117"/>
      <c r="D69" s="117"/>
      <c r="E69" s="124" t="s">
        <v>2493</v>
      </c>
      <c r="F69" s="117"/>
      <c r="G69" s="123"/>
      <c r="H69" s="123"/>
      <c r="I69" s="119"/>
      <c r="J69" s="117"/>
      <c r="K69" s="120"/>
      <c r="L69" s="120"/>
      <c r="M69" s="120"/>
      <c r="N69" s="117"/>
      <c r="O69" s="117"/>
      <c r="P69" s="117"/>
      <c r="Q69" s="117"/>
      <c r="R69" s="121"/>
      <c r="S69" s="121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117"/>
      <c r="B70" s="120" t="str">
        <f>CONCATENATE(COUNTIF($F$9:$F$55,"JHR"), "-JHR")</f>
        <v>3-JHR</v>
      </c>
      <c r="C70" s="117"/>
      <c r="D70" s="117"/>
      <c r="E70" s="124" t="s">
        <v>2494</v>
      </c>
      <c r="F70" s="117"/>
      <c r="G70" s="117"/>
      <c r="H70" s="117"/>
      <c r="I70" s="119"/>
      <c r="J70" s="117"/>
      <c r="K70" s="120"/>
      <c r="L70" s="120"/>
      <c r="M70" s="120"/>
      <c r="N70" s="117"/>
      <c r="O70" s="117"/>
      <c r="P70" s="117"/>
      <c r="Q70" s="117"/>
      <c r="R70" s="121"/>
      <c r="S70" s="121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117"/>
      <c r="B71" s="120"/>
      <c r="C71" s="117"/>
      <c r="D71" s="117"/>
      <c r="E71" s="124" t="s">
        <v>2495</v>
      </c>
      <c r="F71" s="117"/>
      <c r="G71" s="117"/>
      <c r="H71" s="117"/>
      <c r="I71" s="119"/>
      <c r="J71" s="117"/>
      <c r="K71" s="120"/>
      <c r="L71" s="120"/>
      <c r="M71" s="120"/>
      <c r="N71" s="117"/>
      <c r="O71" s="117"/>
      <c r="P71" s="117"/>
      <c r="Q71" s="117"/>
      <c r="R71" s="121"/>
      <c r="S71" s="121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117"/>
      <c r="B72" s="120"/>
      <c r="C72" s="117"/>
      <c r="D72" s="117"/>
      <c r="E72" s="117"/>
      <c r="F72" s="117"/>
      <c r="G72" s="117"/>
      <c r="H72" s="117"/>
      <c r="I72" s="119"/>
      <c r="J72" s="117"/>
      <c r="K72" s="120"/>
      <c r="L72" s="120"/>
      <c r="M72" s="120"/>
      <c r="N72" s="117"/>
      <c r="O72" s="117"/>
      <c r="P72" s="117"/>
      <c r="Q72" s="117"/>
      <c r="R72" s="121"/>
      <c r="S72" s="121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16"/>
      <c r="B73" s="13"/>
      <c r="C73" s="16"/>
      <c r="D73" s="16"/>
      <c r="E73" s="16"/>
      <c r="F73" s="16"/>
      <c r="G73" s="16"/>
      <c r="H73" s="16"/>
      <c r="I73" s="125"/>
      <c r="J73" s="16"/>
      <c r="K73" s="13"/>
      <c r="L73" s="13"/>
      <c r="M73" s="13"/>
      <c r="N73" s="16"/>
      <c r="O73" s="16"/>
      <c r="P73" s="16"/>
      <c r="Q73" s="16"/>
      <c r="R73" s="96"/>
      <c r="S73" s="96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16"/>
      <c r="B74" s="13"/>
      <c r="C74" s="16"/>
      <c r="D74" s="16"/>
      <c r="E74" s="16"/>
      <c r="F74" s="16"/>
      <c r="G74" s="16"/>
      <c r="H74" s="16"/>
      <c r="I74" s="125"/>
      <c r="J74" s="16"/>
      <c r="K74" s="13"/>
      <c r="L74" s="13"/>
      <c r="M74" s="13"/>
      <c r="N74" s="16"/>
      <c r="O74" s="16"/>
      <c r="P74" s="16"/>
      <c r="Q74" s="16"/>
      <c r="R74" s="96"/>
      <c r="S74" s="96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16"/>
      <c r="B75" s="13"/>
      <c r="C75" s="16"/>
      <c r="D75" s="16"/>
      <c r="E75" s="16"/>
      <c r="F75" s="16"/>
      <c r="G75" s="16"/>
      <c r="H75" s="16"/>
      <c r="I75" s="125"/>
      <c r="J75" s="16"/>
      <c r="K75" s="13"/>
      <c r="L75" s="13"/>
      <c r="M75" s="13"/>
      <c r="N75" s="16"/>
      <c r="O75" s="16"/>
      <c r="P75" s="16"/>
      <c r="Q75" s="16"/>
      <c r="R75" s="96"/>
      <c r="S75" s="96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16"/>
      <c r="B76" s="13"/>
      <c r="C76" s="16"/>
      <c r="D76" s="16"/>
      <c r="E76" s="16"/>
      <c r="F76" s="16"/>
      <c r="G76" s="16"/>
      <c r="H76" s="16"/>
      <c r="I76" s="125"/>
      <c r="J76" s="16"/>
      <c r="K76" s="13"/>
      <c r="L76" s="13"/>
      <c r="M76" s="13"/>
      <c r="N76" s="16"/>
      <c r="O76" s="16"/>
      <c r="P76" s="16"/>
      <c r="Q76" s="16"/>
      <c r="R76" s="96"/>
      <c r="S76" s="96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16"/>
      <c r="B77" s="13"/>
      <c r="C77" s="16"/>
      <c r="D77" s="16"/>
      <c r="E77" s="16"/>
      <c r="F77" s="16"/>
      <c r="G77" s="16"/>
      <c r="H77" s="16"/>
      <c r="I77" s="125"/>
      <c r="J77" s="16"/>
      <c r="K77" s="13"/>
      <c r="L77" s="13"/>
      <c r="M77" s="13"/>
      <c r="N77" s="16"/>
      <c r="O77" s="16"/>
      <c r="P77" s="16"/>
      <c r="Q77" s="16"/>
      <c r="R77" s="96"/>
      <c r="S77" s="96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16"/>
      <c r="B78" s="13"/>
      <c r="C78" s="16"/>
      <c r="D78" s="16"/>
      <c r="E78" s="16"/>
      <c r="F78" s="16"/>
      <c r="G78" s="16"/>
      <c r="H78" s="16"/>
      <c r="I78" s="125"/>
      <c r="J78" s="16"/>
      <c r="K78" s="13"/>
      <c r="L78" s="13"/>
      <c r="M78" s="13"/>
      <c r="N78" s="16"/>
      <c r="O78" s="16"/>
      <c r="P78" s="16"/>
      <c r="Q78" s="16"/>
      <c r="R78" s="96"/>
      <c r="S78" s="96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16"/>
      <c r="B79" s="13"/>
      <c r="C79" s="16"/>
      <c r="D79" s="16"/>
      <c r="E79" s="16"/>
      <c r="F79" s="16"/>
      <c r="G79" s="16"/>
      <c r="H79" s="16"/>
      <c r="I79" s="125"/>
      <c r="J79" s="16"/>
      <c r="K79" s="13"/>
      <c r="L79" s="13"/>
      <c r="M79" s="13"/>
      <c r="N79" s="16"/>
      <c r="O79" s="16"/>
      <c r="P79" s="16"/>
      <c r="Q79" s="16"/>
      <c r="R79" s="96"/>
      <c r="S79" s="96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16"/>
      <c r="B80" s="13"/>
      <c r="C80" s="16"/>
      <c r="D80" s="16"/>
      <c r="E80" s="16"/>
      <c r="F80" s="16"/>
      <c r="G80" s="16"/>
      <c r="H80" s="16"/>
      <c r="I80" s="125"/>
      <c r="J80" s="16"/>
      <c r="K80" s="13"/>
      <c r="L80" s="13"/>
      <c r="M80" s="13"/>
      <c r="N80" s="16"/>
      <c r="O80" s="16"/>
      <c r="P80" s="16"/>
      <c r="Q80" s="16"/>
      <c r="R80" s="96"/>
      <c r="S80" s="96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16"/>
      <c r="B81" s="13"/>
      <c r="C81" s="16"/>
      <c r="D81" s="16"/>
      <c r="E81" s="16"/>
      <c r="F81" s="16"/>
      <c r="G81" s="16"/>
      <c r="H81" s="16"/>
      <c r="I81" s="125"/>
      <c r="J81" s="16"/>
      <c r="K81" s="13"/>
      <c r="L81" s="13"/>
      <c r="M81" s="13"/>
      <c r="N81" s="16"/>
      <c r="O81" s="16"/>
      <c r="P81" s="16"/>
      <c r="Q81" s="16"/>
      <c r="R81" s="96"/>
      <c r="S81" s="96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16"/>
      <c r="B82" s="13"/>
      <c r="C82" s="16"/>
      <c r="D82" s="16"/>
      <c r="E82" s="16"/>
      <c r="F82" s="16"/>
      <c r="G82" s="16"/>
      <c r="H82" s="16"/>
      <c r="I82" s="125"/>
      <c r="J82" s="16"/>
      <c r="K82" s="13"/>
      <c r="L82" s="13"/>
      <c r="M82" s="13"/>
      <c r="N82" s="16"/>
      <c r="O82" s="16"/>
      <c r="P82" s="16"/>
      <c r="Q82" s="16"/>
      <c r="R82" s="96"/>
      <c r="S82" s="96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16"/>
      <c r="B83" s="13"/>
      <c r="C83" s="16"/>
      <c r="D83" s="16"/>
      <c r="E83" s="16"/>
      <c r="F83" s="16"/>
      <c r="G83" s="16"/>
      <c r="H83" s="16"/>
      <c r="I83" s="125"/>
      <c r="J83" s="16"/>
      <c r="K83" s="13"/>
      <c r="L83" s="13"/>
      <c r="M83" s="13"/>
      <c r="N83" s="16"/>
      <c r="O83" s="16"/>
      <c r="P83" s="16"/>
      <c r="Q83" s="16"/>
      <c r="R83" s="96"/>
      <c r="S83" s="96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16"/>
      <c r="B84" s="13"/>
      <c r="C84" s="16"/>
      <c r="D84" s="16"/>
      <c r="E84" s="16"/>
      <c r="F84" s="16"/>
      <c r="G84" s="16"/>
      <c r="H84" s="16"/>
      <c r="I84" s="125"/>
      <c r="J84" s="16"/>
      <c r="K84" s="13"/>
      <c r="L84" s="13"/>
      <c r="M84" s="13"/>
      <c r="N84" s="16"/>
      <c r="O84" s="16"/>
      <c r="P84" s="16"/>
      <c r="Q84" s="16"/>
      <c r="R84" s="96"/>
      <c r="S84" s="96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16"/>
      <c r="B85" s="13"/>
      <c r="C85" s="16"/>
      <c r="D85" s="16"/>
      <c r="E85" s="16"/>
      <c r="F85" s="16"/>
      <c r="G85" s="16"/>
      <c r="H85" s="16"/>
      <c r="I85" s="125"/>
      <c r="J85" s="16"/>
      <c r="K85" s="13"/>
      <c r="L85" s="13"/>
      <c r="M85" s="13"/>
      <c r="N85" s="16"/>
      <c r="O85" s="16"/>
      <c r="P85" s="16"/>
      <c r="Q85" s="16"/>
      <c r="R85" s="96"/>
      <c r="S85" s="96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16"/>
      <c r="B86" s="13"/>
      <c r="C86" s="16"/>
      <c r="D86" s="16"/>
      <c r="E86" s="16"/>
      <c r="F86" s="16"/>
      <c r="G86" s="16"/>
      <c r="H86" s="16"/>
      <c r="I86" s="125"/>
      <c r="J86" s="16"/>
      <c r="K86" s="13"/>
      <c r="L86" s="13"/>
      <c r="M86" s="13"/>
      <c r="N86" s="16"/>
      <c r="O86" s="16"/>
      <c r="P86" s="16"/>
      <c r="Q86" s="16"/>
      <c r="R86" s="96"/>
      <c r="S86" s="96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6"/>
      <c r="B87" s="13"/>
      <c r="C87" s="16"/>
      <c r="D87" s="16"/>
      <c r="E87" s="16"/>
      <c r="F87" s="16"/>
      <c r="G87" s="16"/>
      <c r="H87" s="16"/>
      <c r="I87" s="125"/>
      <c r="J87" s="16"/>
      <c r="K87" s="13"/>
      <c r="L87" s="13"/>
      <c r="M87" s="13"/>
      <c r="N87" s="16"/>
      <c r="O87" s="16"/>
      <c r="P87" s="16"/>
      <c r="Q87" s="16"/>
      <c r="R87" s="96"/>
      <c r="S87" s="96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6"/>
      <c r="B88" s="13"/>
      <c r="C88" s="16"/>
      <c r="D88" s="16"/>
      <c r="E88" s="16"/>
      <c r="F88" s="16"/>
      <c r="G88" s="16"/>
      <c r="H88" s="16"/>
      <c r="I88" s="125"/>
      <c r="J88" s="16"/>
      <c r="K88" s="13"/>
      <c r="L88" s="13"/>
      <c r="M88" s="13"/>
      <c r="N88" s="16"/>
      <c r="O88" s="16"/>
      <c r="P88" s="16"/>
      <c r="Q88" s="16"/>
      <c r="R88" s="96"/>
      <c r="S88" s="96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16"/>
      <c r="B89" s="13"/>
      <c r="C89" s="16"/>
      <c r="D89" s="16"/>
      <c r="E89" s="16"/>
      <c r="F89" s="16"/>
      <c r="G89" s="16"/>
      <c r="H89" s="16"/>
      <c r="I89" s="125"/>
      <c r="J89" s="16"/>
      <c r="K89" s="13"/>
      <c r="L89" s="13"/>
      <c r="M89" s="13"/>
      <c r="N89" s="16"/>
      <c r="O89" s="16"/>
      <c r="P89" s="16"/>
      <c r="Q89" s="16"/>
      <c r="R89" s="96"/>
      <c r="S89" s="96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16"/>
      <c r="B90" s="13"/>
      <c r="C90" s="16"/>
      <c r="D90" s="16"/>
      <c r="E90" s="16"/>
      <c r="F90" s="16"/>
      <c r="G90" s="16"/>
      <c r="H90" s="16"/>
      <c r="I90" s="125"/>
      <c r="J90" s="16"/>
      <c r="K90" s="13"/>
      <c r="L90" s="13"/>
      <c r="M90" s="13"/>
      <c r="N90" s="16"/>
      <c r="O90" s="16"/>
      <c r="P90" s="16"/>
      <c r="Q90" s="16"/>
      <c r="R90" s="96"/>
      <c r="S90" s="96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16"/>
      <c r="B91" s="13"/>
      <c r="C91" s="16"/>
      <c r="D91" s="16"/>
      <c r="E91" s="16"/>
      <c r="F91" s="16"/>
      <c r="G91" s="16"/>
      <c r="H91" s="16"/>
      <c r="I91" s="125"/>
      <c r="J91" s="16"/>
      <c r="K91" s="13"/>
      <c r="L91" s="13"/>
      <c r="M91" s="13"/>
      <c r="N91" s="16"/>
      <c r="O91" s="16"/>
      <c r="P91" s="16"/>
      <c r="Q91" s="16"/>
      <c r="R91" s="96"/>
      <c r="S91" s="96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16"/>
      <c r="B92" s="13"/>
      <c r="C92" s="16"/>
      <c r="D92" s="16"/>
      <c r="E92" s="16"/>
      <c r="F92" s="16"/>
      <c r="G92" s="16"/>
      <c r="H92" s="16"/>
      <c r="I92" s="125"/>
      <c r="J92" s="16"/>
      <c r="K92" s="13"/>
      <c r="L92" s="13"/>
      <c r="M92" s="13"/>
      <c r="N92" s="16"/>
      <c r="O92" s="16"/>
      <c r="P92" s="16"/>
      <c r="Q92" s="16"/>
      <c r="R92" s="96"/>
      <c r="S92" s="96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16"/>
      <c r="B93" s="13"/>
      <c r="C93" s="16"/>
      <c r="D93" s="16"/>
      <c r="E93" s="16"/>
      <c r="F93" s="16"/>
      <c r="G93" s="16"/>
      <c r="H93" s="16"/>
      <c r="I93" s="125"/>
      <c r="J93" s="16"/>
      <c r="K93" s="13"/>
      <c r="L93" s="13"/>
      <c r="M93" s="13"/>
      <c r="N93" s="16"/>
      <c r="O93" s="16"/>
      <c r="P93" s="16"/>
      <c r="Q93" s="16"/>
      <c r="R93" s="96"/>
      <c r="S93" s="96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16"/>
      <c r="B94" s="13"/>
      <c r="C94" s="16"/>
      <c r="D94" s="16"/>
      <c r="E94" s="16"/>
      <c r="F94" s="16"/>
      <c r="G94" s="16"/>
      <c r="H94" s="16"/>
      <c r="I94" s="125"/>
      <c r="J94" s="16"/>
      <c r="K94" s="13"/>
      <c r="L94" s="13"/>
      <c r="M94" s="13"/>
      <c r="N94" s="16"/>
      <c r="O94" s="16"/>
      <c r="P94" s="16"/>
      <c r="Q94" s="16"/>
      <c r="R94" s="96"/>
      <c r="S94" s="96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16"/>
      <c r="B95" s="13"/>
      <c r="C95" s="16"/>
      <c r="D95" s="16"/>
      <c r="E95" s="16"/>
      <c r="F95" s="16"/>
      <c r="G95" s="16"/>
      <c r="H95" s="16"/>
      <c r="I95" s="125"/>
      <c r="J95" s="16"/>
      <c r="K95" s="13"/>
      <c r="L95" s="13"/>
      <c r="M95" s="13"/>
      <c r="N95" s="16"/>
      <c r="O95" s="16"/>
      <c r="P95" s="16"/>
      <c r="Q95" s="16"/>
      <c r="R95" s="96"/>
      <c r="S95" s="96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16"/>
      <c r="B96" s="13"/>
      <c r="C96" s="16"/>
      <c r="D96" s="16"/>
      <c r="E96" s="16"/>
      <c r="F96" s="16"/>
      <c r="G96" s="16"/>
      <c r="H96" s="16"/>
      <c r="I96" s="125"/>
      <c r="J96" s="16"/>
      <c r="K96" s="13"/>
      <c r="L96" s="13"/>
      <c r="M96" s="13"/>
      <c r="N96" s="16"/>
      <c r="O96" s="16"/>
      <c r="P96" s="16"/>
      <c r="Q96" s="16"/>
      <c r="R96" s="96"/>
      <c r="S96" s="96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6"/>
      <c r="B97" s="13"/>
      <c r="C97" s="16"/>
      <c r="D97" s="16"/>
      <c r="E97" s="16"/>
      <c r="F97" s="16"/>
      <c r="G97" s="16"/>
      <c r="H97" s="16"/>
      <c r="I97" s="125"/>
      <c r="J97" s="16"/>
      <c r="K97" s="13"/>
      <c r="L97" s="13"/>
      <c r="M97" s="13"/>
      <c r="N97" s="16"/>
      <c r="O97" s="16"/>
      <c r="P97" s="16"/>
      <c r="Q97" s="16"/>
      <c r="R97" s="96"/>
      <c r="S97" s="96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16"/>
      <c r="B98" s="13"/>
      <c r="C98" s="16"/>
      <c r="D98" s="16"/>
      <c r="E98" s="16"/>
      <c r="F98" s="16"/>
      <c r="G98" s="16"/>
      <c r="H98" s="16"/>
      <c r="I98" s="125"/>
      <c r="J98" s="16"/>
      <c r="K98" s="13"/>
      <c r="L98" s="13"/>
      <c r="M98" s="13"/>
      <c r="N98" s="16"/>
      <c r="O98" s="16"/>
      <c r="P98" s="16"/>
      <c r="Q98" s="16"/>
      <c r="R98" s="96"/>
      <c r="S98" s="96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16"/>
      <c r="B99" s="13"/>
      <c r="C99" s="16"/>
      <c r="D99" s="16"/>
      <c r="E99" s="16"/>
      <c r="F99" s="16"/>
      <c r="G99" s="16"/>
      <c r="H99" s="16"/>
      <c r="I99" s="125"/>
      <c r="J99" s="16"/>
      <c r="K99" s="13"/>
      <c r="L99" s="13"/>
      <c r="M99" s="13"/>
      <c r="N99" s="16"/>
      <c r="O99" s="16"/>
      <c r="P99" s="16"/>
      <c r="Q99" s="16"/>
      <c r="R99" s="96"/>
      <c r="S99" s="96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16"/>
      <c r="B100" s="13"/>
      <c r="C100" s="16"/>
      <c r="D100" s="16"/>
      <c r="E100" s="16"/>
      <c r="F100" s="16"/>
      <c r="G100" s="16"/>
      <c r="H100" s="16"/>
      <c r="I100" s="125"/>
      <c r="J100" s="16"/>
      <c r="K100" s="13"/>
      <c r="L100" s="13"/>
      <c r="M100" s="13"/>
      <c r="N100" s="16"/>
      <c r="O100" s="16"/>
      <c r="P100" s="16"/>
      <c r="Q100" s="16"/>
      <c r="R100" s="96"/>
      <c r="S100" s="96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16"/>
      <c r="B101" s="13"/>
      <c r="C101" s="16"/>
      <c r="D101" s="16"/>
      <c r="E101" s="16"/>
      <c r="F101" s="16"/>
      <c r="G101" s="16"/>
      <c r="H101" s="16"/>
      <c r="I101" s="125"/>
      <c r="J101" s="16"/>
      <c r="K101" s="13"/>
      <c r="L101" s="13"/>
      <c r="M101" s="13"/>
      <c r="N101" s="16"/>
      <c r="O101" s="16"/>
      <c r="P101" s="16"/>
      <c r="Q101" s="16"/>
      <c r="R101" s="96"/>
      <c r="S101" s="96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16"/>
      <c r="B102" s="13"/>
      <c r="C102" s="16"/>
      <c r="D102" s="16"/>
      <c r="E102" s="16"/>
      <c r="F102" s="16"/>
      <c r="G102" s="16"/>
      <c r="H102" s="16"/>
      <c r="I102" s="125"/>
      <c r="J102" s="16"/>
      <c r="K102" s="13"/>
      <c r="L102" s="13"/>
      <c r="M102" s="13"/>
      <c r="N102" s="16"/>
      <c r="O102" s="16"/>
      <c r="P102" s="16"/>
      <c r="Q102" s="16"/>
      <c r="R102" s="96"/>
      <c r="S102" s="96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16"/>
      <c r="B103" s="13"/>
      <c r="C103" s="16"/>
      <c r="D103" s="16"/>
      <c r="E103" s="16"/>
      <c r="F103" s="16"/>
      <c r="G103" s="16"/>
      <c r="H103" s="16"/>
      <c r="I103" s="125"/>
      <c r="J103" s="16"/>
      <c r="K103" s="13"/>
      <c r="L103" s="13"/>
      <c r="M103" s="13"/>
      <c r="N103" s="16"/>
      <c r="O103" s="16"/>
      <c r="P103" s="16"/>
      <c r="Q103" s="16"/>
      <c r="R103" s="96"/>
      <c r="S103" s="96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16"/>
      <c r="B104" s="13"/>
      <c r="C104" s="16"/>
      <c r="D104" s="16"/>
      <c r="E104" s="16"/>
      <c r="F104" s="16"/>
      <c r="G104" s="16"/>
      <c r="H104" s="16"/>
      <c r="I104" s="125"/>
      <c r="J104" s="16"/>
      <c r="K104" s="13"/>
      <c r="L104" s="13"/>
      <c r="M104" s="13"/>
      <c r="N104" s="16"/>
      <c r="O104" s="16"/>
      <c r="P104" s="16"/>
      <c r="Q104" s="16"/>
      <c r="R104" s="96"/>
      <c r="S104" s="96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6"/>
      <c r="B105" s="13"/>
      <c r="C105" s="16"/>
      <c r="D105" s="16"/>
      <c r="E105" s="16"/>
      <c r="F105" s="16"/>
      <c r="G105" s="16"/>
      <c r="H105" s="16"/>
      <c r="I105" s="125"/>
      <c r="J105" s="16"/>
      <c r="K105" s="13"/>
      <c r="L105" s="13"/>
      <c r="M105" s="13"/>
      <c r="N105" s="16"/>
      <c r="O105" s="16"/>
      <c r="P105" s="16"/>
      <c r="Q105" s="16"/>
      <c r="R105" s="96"/>
      <c r="S105" s="96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6"/>
      <c r="B106" s="13"/>
      <c r="C106" s="16"/>
      <c r="D106" s="16"/>
      <c r="E106" s="16"/>
      <c r="F106" s="16"/>
      <c r="G106" s="16"/>
      <c r="H106" s="16"/>
      <c r="I106" s="125"/>
      <c r="J106" s="16"/>
      <c r="K106" s="13"/>
      <c r="L106" s="13"/>
      <c r="M106" s="13"/>
      <c r="N106" s="16"/>
      <c r="O106" s="16"/>
      <c r="P106" s="16"/>
      <c r="Q106" s="16"/>
      <c r="R106" s="96"/>
      <c r="S106" s="96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16"/>
      <c r="B107" s="13"/>
      <c r="C107" s="16"/>
      <c r="D107" s="16"/>
      <c r="E107" s="16"/>
      <c r="F107" s="16"/>
      <c r="G107" s="16"/>
      <c r="H107" s="16"/>
      <c r="I107" s="125"/>
      <c r="J107" s="16"/>
      <c r="K107" s="13"/>
      <c r="L107" s="13"/>
      <c r="M107" s="13"/>
      <c r="N107" s="16"/>
      <c r="O107" s="16"/>
      <c r="P107" s="16"/>
      <c r="Q107" s="16"/>
      <c r="R107" s="96"/>
      <c r="S107" s="96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16"/>
      <c r="B108" s="13"/>
      <c r="C108" s="16"/>
      <c r="D108" s="16"/>
      <c r="E108" s="16"/>
      <c r="F108" s="16"/>
      <c r="G108" s="16"/>
      <c r="H108" s="16"/>
      <c r="I108" s="125"/>
      <c r="J108" s="16"/>
      <c r="K108" s="13"/>
      <c r="L108" s="13"/>
      <c r="M108" s="13"/>
      <c r="N108" s="16"/>
      <c r="O108" s="16"/>
      <c r="P108" s="16"/>
      <c r="Q108" s="16"/>
      <c r="R108" s="96"/>
      <c r="S108" s="96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16"/>
      <c r="B109" s="13"/>
      <c r="C109" s="16"/>
      <c r="D109" s="16"/>
      <c r="E109" s="16"/>
      <c r="F109" s="16"/>
      <c r="G109" s="16"/>
      <c r="H109" s="16"/>
      <c r="I109" s="125"/>
      <c r="J109" s="16"/>
      <c r="K109" s="13"/>
      <c r="L109" s="13"/>
      <c r="M109" s="13"/>
      <c r="N109" s="16"/>
      <c r="O109" s="16"/>
      <c r="P109" s="16"/>
      <c r="Q109" s="16"/>
      <c r="R109" s="96"/>
      <c r="S109" s="96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16"/>
      <c r="B110" s="13"/>
      <c r="C110" s="16"/>
      <c r="D110" s="16"/>
      <c r="E110" s="16"/>
      <c r="F110" s="16"/>
      <c r="G110" s="16"/>
      <c r="H110" s="16"/>
      <c r="I110" s="125"/>
      <c r="J110" s="16"/>
      <c r="K110" s="13"/>
      <c r="L110" s="13"/>
      <c r="M110" s="13"/>
      <c r="N110" s="16"/>
      <c r="O110" s="16"/>
      <c r="P110" s="16"/>
      <c r="Q110" s="16"/>
      <c r="R110" s="96"/>
      <c r="S110" s="96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16"/>
      <c r="B111" s="13"/>
      <c r="C111" s="16"/>
      <c r="D111" s="16"/>
      <c r="E111" s="16"/>
      <c r="F111" s="16"/>
      <c r="G111" s="16"/>
      <c r="H111" s="16"/>
      <c r="I111" s="125"/>
      <c r="J111" s="16"/>
      <c r="K111" s="13"/>
      <c r="L111" s="13"/>
      <c r="M111" s="13"/>
      <c r="N111" s="16"/>
      <c r="O111" s="16"/>
      <c r="P111" s="16"/>
      <c r="Q111" s="16"/>
      <c r="R111" s="96"/>
      <c r="S111" s="96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16"/>
      <c r="B112" s="13"/>
      <c r="C112" s="16"/>
      <c r="D112" s="16"/>
      <c r="E112" s="16"/>
      <c r="F112" s="16"/>
      <c r="G112" s="16"/>
      <c r="H112" s="16"/>
      <c r="I112" s="125"/>
      <c r="J112" s="16"/>
      <c r="K112" s="13"/>
      <c r="L112" s="13"/>
      <c r="M112" s="13"/>
      <c r="N112" s="16"/>
      <c r="O112" s="16"/>
      <c r="P112" s="16"/>
      <c r="Q112" s="16"/>
      <c r="R112" s="96"/>
      <c r="S112" s="96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16"/>
      <c r="B113" s="13"/>
      <c r="C113" s="16"/>
      <c r="D113" s="16"/>
      <c r="E113" s="16"/>
      <c r="F113" s="16"/>
      <c r="G113" s="16"/>
      <c r="H113" s="16"/>
      <c r="I113" s="125"/>
      <c r="J113" s="16"/>
      <c r="K113" s="13"/>
      <c r="L113" s="13"/>
      <c r="M113" s="13"/>
      <c r="N113" s="16"/>
      <c r="O113" s="16"/>
      <c r="P113" s="16"/>
      <c r="Q113" s="16"/>
      <c r="R113" s="96"/>
      <c r="S113" s="96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16"/>
      <c r="B114" s="13"/>
      <c r="C114" s="16"/>
      <c r="D114" s="16"/>
      <c r="E114" s="16"/>
      <c r="F114" s="16"/>
      <c r="G114" s="16"/>
      <c r="H114" s="16"/>
      <c r="I114" s="125"/>
      <c r="J114" s="16"/>
      <c r="K114" s="13"/>
      <c r="L114" s="13"/>
      <c r="M114" s="13"/>
      <c r="N114" s="16"/>
      <c r="O114" s="16"/>
      <c r="P114" s="16"/>
      <c r="Q114" s="16"/>
      <c r="R114" s="96"/>
      <c r="S114" s="96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16"/>
      <c r="B115" s="13"/>
      <c r="C115" s="16"/>
      <c r="D115" s="16"/>
      <c r="E115" s="16"/>
      <c r="F115" s="16"/>
      <c r="G115" s="16"/>
      <c r="H115" s="16"/>
      <c r="I115" s="125"/>
      <c r="J115" s="16"/>
      <c r="K115" s="13"/>
      <c r="L115" s="13"/>
      <c r="M115" s="13"/>
      <c r="N115" s="16"/>
      <c r="O115" s="16"/>
      <c r="P115" s="16"/>
      <c r="Q115" s="16"/>
      <c r="R115" s="96"/>
      <c r="S115" s="96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6"/>
      <c r="B116" s="13"/>
      <c r="C116" s="16"/>
      <c r="D116" s="16"/>
      <c r="E116" s="16"/>
      <c r="F116" s="16"/>
      <c r="G116" s="16"/>
      <c r="H116" s="16"/>
      <c r="I116" s="125"/>
      <c r="J116" s="16"/>
      <c r="K116" s="13"/>
      <c r="L116" s="13"/>
      <c r="M116" s="13"/>
      <c r="N116" s="16"/>
      <c r="O116" s="16"/>
      <c r="P116" s="16"/>
      <c r="Q116" s="16"/>
      <c r="R116" s="96"/>
      <c r="S116" s="96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16"/>
      <c r="B117" s="13"/>
      <c r="C117" s="16"/>
      <c r="D117" s="16"/>
      <c r="E117" s="16"/>
      <c r="F117" s="16"/>
      <c r="G117" s="16"/>
      <c r="H117" s="16"/>
      <c r="I117" s="125"/>
      <c r="J117" s="16"/>
      <c r="K117" s="13"/>
      <c r="L117" s="13"/>
      <c r="M117" s="13"/>
      <c r="N117" s="16"/>
      <c r="O117" s="16"/>
      <c r="P117" s="16"/>
      <c r="Q117" s="16"/>
      <c r="R117" s="96"/>
      <c r="S117" s="96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16"/>
      <c r="B118" s="13"/>
      <c r="C118" s="16"/>
      <c r="D118" s="16"/>
      <c r="E118" s="16"/>
      <c r="F118" s="16"/>
      <c r="G118" s="16"/>
      <c r="H118" s="16"/>
      <c r="I118" s="125"/>
      <c r="J118" s="16"/>
      <c r="K118" s="13"/>
      <c r="L118" s="13"/>
      <c r="M118" s="13"/>
      <c r="N118" s="16"/>
      <c r="O118" s="16"/>
      <c r="P118" s="16"/>
      <c r="Q118" s="16"/>
      <c r="R118" s="96"/>
      <c r="S118" s="96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16"/>
      <c r="B119" s="13"/>
      <c r="C119" s="16"/>
      <c r="D119" s="16"/>
      <c r="E119" s="16"/>
      <c r="F119" s="16"/>
      <c r="G119" s="16"/>
      <c r="H119" s="16"/>
      <c r="I119" s="125"/>
      <c r="J119" s="16"/>
      <c r="K119" s="13"/>
      <c r="L119" s="13"/>
      <c r="M119" s="13"/>
      <c r="N119" s="16"/>
      <c r="O119" s="16"/>
      <c r="P119" s="16"/>
      <c r="Q119" s="16"/>
      <c r="R119" s="96"/>
      <c r="S119" s="96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16"/>
      <c r="B120" s="13"/>
      <c r="C120" s="16"/>
      <c r="D120" s="16"/>
      <c r="E120" s="16"/>
      <c r="F120" s="16"/>
      <c r="G120" s="16"/>
      <c r="H120" s="16"/>
      <c r="I120" s="125"/>
      <c r="J120" s="16"/>
      <c r="K120" s="13"/>
      <c r="L120" s="13"/>
      <c r="M120" s="13"/>
      <c r="N120" s="16"/>
      <c r="O120" s="16"/>
      <c r="P120" s="16"/>
      <c r="Q120" s="16"/>
      <c r="R120" s="96"/>
      <c r="S120" s="96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6"/>
      <c r="B121" s="13"/>
      <c r="C121" s="16"/>
      <c r="D121" s="16"/>
      <c r="E121" s="16"/>
      <c r="F121" s="16"/>
      <c r="G121" s="16"/>
      <c r="H121" s="16"/>
      <c r="I121" s="125"/>
      <c r="J121" s="16"/>
      <c r="K121" s="13"/>
      <c r="L121" s="13"/>
      <c r="M121" s="13"/>
      <c r="N121" s="16"/>
      <c r="O121" s="16"/>
      <c r="P121" s="16"/>
      <c r="Q121" s="16"/>
      <c r="R121" s="96"/>
      <c r="S121" s="96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16"/>
      <c r="B122" s="13"/>
      <c r="C122" s="16"/>
      <c r="D122" s="16"/>
      <c r="E122" s="16"/>
      <c r="F122" s="16"/>
      <c r="G122" s="16"/>
      <c r="H122" s="16"/>
      <c r="I122" s="125"/>
      <c r="J122" s="16"/>
      <c r="K122" s="13"/>
      <c r="L122" s="13"/>
      <c r="M122" s="13"/>
      <c r="N122" s="16"/>
      <c r="O122" s="16"/>
      <c r="P122" s="16"/>
      <c r="Q122" s="16"/>
      <c r="R122" s="96"/>
      <c r="S122" s="96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16"/>
      <c r="B123" s="13"/>
      <c r="C123" s="16"/>
      <c r="D123" s="16"/>
      <c r="E123" s="16"/>
      <c r="F123" s="16"/>
      <c r="G123" s="16"/>
      <c r="H123" s="16"/>
      <c r="I123" s="125"/>
      <c r="J123" s="16"/>
      <c r="K123" s="13"/>
      <c r="L123" s="13"/>
      <c r="M123" s="13"/>
      <c r="N123" s="16"/>
      <c r="O123" s="16"/>
      <c r="P123" s="16"/>
      <c r="Q123" s="16"/>
      <c r="R123" s="96"/>
      <c r="S123" s="96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16"/>
      <c r="B124" s="13"/>
      <c r="C124" s="16"/>
      <c r="D124" s="16"/>
      <c r="E124" s="16"/>
      <c r="F124" s="16"/>
      <c r="G124" s="16"/>
      <c r="H124" s="16"/>
      <c r="I124" s="125"/>
      <c r="J124" s="16"/>
      <c r="K124" s="13"/>
      <c r="L124" s="13"/>
      <c r="M124" s="13"/>
      <c r="N124" s="16"/>
      <c r="O124" s="16"/>
      <c r="P124" s="16"/>
      <c r="Q124" s="16"/>
      <c r="R124" s="96"/>
      <c r="S124" s="96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6"/>
      <c r="B125" s="13"/>
      <c r="C125" s="16"/>
      <c r="D125" s="16"/>
      <c r="E125" s="16"/>
      <c r="F125" s="16"/>
      <c r="G125" s="16"/>
      <c r="H125" s="16"/>
      <c r="I125" s="125"/>
      <c r="J125" s="16"/>
      <c r="K125" s="13"/>
      <c r="L125" s="13"/>
      <c r="M125" s="13"/>
      <c r="N125" s="16"/>
      <c r="O125" s="16"/>
      <c r="P125" s="16"/>
      <c r="Q125" s="16"/>
      <c r="R125" s="96"/>
      <c r="S125" s="96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6"/>
      <c r="B126" s="13"/>
      <c r="C126" s="16"/>
      <c r="D126" s="16"/>
      <c r="E126" s="16"/>
      <c r="F126" s="16"/>
      <c r="G126" s="16"/>
      <c r="H126" s="16"/>
      <c r="I126" s="125"/>
      <c r="J126" s="16"/>
      <c r="K126" s="13"/>
      <c r="L126" s="13"/>
      <c r="M126" s="13"/>
      <c r="N126" s="16"/>
      <c r="O126" s="16"/>
      <c r="P126" s="16"/>
      <c r="Q126" s="16"/>
      <c r="R126" s="96"/>
      <c r="S126" s="96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6"/>
      <c r="B127" s="13"/>
      <c r="C127" s="16"/>
      <c r="D127" s="16"/>
      <c r="E127" s="16"/>
      <c r="F127" s="16"/>
      <c r="G127" s="16"/>
      <c r="H127" s="16"/>
      <c r="I127" s="125"/>
      <c r="J127" s="16"/>
      <c r="K127" s="13"/>
      <c r="L127" s="13"/>
      <c r="M127" s="13"/>
      <c r="N127" s="16"/>
      <c r="O127" s="16"/>
      <c r="P127" s="16"/>
      <c r="Q127" s="16"/>
      <c r="R127" s="96"/>
      <c r="S127" s="96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6"/>
      <c r="B128" s="13"/>
      <c r="C128" s="16"/>
      <c r="D128" s="16"/>
      <c r="E128" s="16"/>
      <c r="F128" s="16"/>
      <c r="G128" s="16"/>
      <c r="H128" s="16"/>
      <c r="I128" s="125"/>
      <c r="J128" s="16"/>
      <c r="K128" s="13"/>
      <c r="L128" s="13"/>
      <c r="M128" s="13"/>
      <c r="N128" s="16"/>
      <c r="O128" s="16"/>
      <c r="P128" s="16"/>
      <c r="Q128" s="16"/>
      <c r="R128" s="96"/>
      <c r="S128" s="96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6"/>
      <c r="B129" s="13"/>
      <c r="C129" s="16"/>
      <c r="D129" s="16"/>
      <c r="E129" s="16"/>
      <c r="F129" s="16"/>
      <c r="G129" s="16"/>
      <c r="H129" s="16"/>
      <c r="I129" s="125"/>
      <c r="J129" s="16"/>
      <c r="K129" s="13"/>
      <c r="L129" s="13"/>
      <c r="M129" s="13"/>
      <c r="N129" s="16"/>
      <c r="O129" s="16"/>
      <c r="P129" s="16"/>
      <c r="Q129" s="16"/>
      <c r="R129" s="96"/>
      <c r="S129" s="96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6"/>
      <c r="B130" s="13"/>
      <c r="C130" s="16"/>
      <c r="D130" s="16"/>
      <c r="E130" s="16"/>
      <c r="F130" s="16"/>
      <c r="G130" s="16"/>
      <c r="H130" s="16"/>
      <c r="I130" s="125"/>
      <c r="J130" s="16"/>
      <c r="K130" s="13"/>
      <c r="L130" s="13"/>
      <c r="M130" s="13"/>
      <c r="N130" s="16"/>
      <c r="O130" s="16"/>
      <c r="P130" s="16"/>
      <c r="Q130" s="16"/>
      <c r="R130" s="96"/>
      <c r="S130" s="96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6"/>
      <c r="B131" s="13"/>
      <c r="C131" s="16"/>
      <c r="D131" s="16"/>
      <c r="E131" s="16"/>
      <c r="F131" s="16"/>
      <c r="G131" s="16"/>
      <c r="H131" s="16"/>
      <c r="I131" s="125"/>
      <c r="J131" s="16"/>
      <c r="K131" s="13"/>
      <c r="L131" s="13"/>
      <c r="M131" s="13"/>
      <c r="N131" s="16"/>
      <c r="O131" s="16"/>
      <c r="P131" s="16"/>
      <c r="Q131" s="16"/>
      <c r="R131" s="96"/>
      <c r="S131" s="96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6"/>
      <c r="B132" s="13"/>
      <c r="C132" s="16"/>
      <c r="D132" s="16"/>
      <c r="E132" s="16"/>
      <c r="F132" s="16"/>
      <c r="G132" s="16"/>
      <c r="H132" s="16"/>
      <c r="I132" s="125"/>
      <c r="J132" s="16"/>
      <c r="K132" s="13"/>
      <c r="L132" s="13"/>
      <c r="M132" s="13"/>
      <c r="N132" s="16"/>
      <c r="O132" s="16"/>
      <c r="P132" s="16"/>
      <c r="Q132" s="16"/>
      <c r="R132" s="96"/>
      <c r="S132" s="96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6"/>
      <c r="B133" s="13"/>
      <c r="C133" s="16"/>
      <c r="D133" s="16"/>
      <c r="E133" s="16"/>
      <c r="F133" s="16"/>
      <c r="G133" s="16"/>
      <c r="H133" s="16"/>
      <c r="I133" s="125"/>
      <c r="J133" s="16"/>
      <c r="K133" s="13"/>
      <c r="L133" s="13"/>
      <c r="M133" s="13"/>
      <c r="N133" s="16"/>
      <c r="O133" s="16"/>
      <c r="P133" s="16"/>
      <c r="Q133" s="16"/>
      <c r="R133" s="96"/>
      <c r="S133" s="96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6"/>
      <c r="B134" s="13"/>
      <c r="C134" s="16"/>
      <c r="D134" s="16"/>
      <c r="E134" s="16"/>
      <c r="F134" s="16"/>
      <c r="G134" s="16"/>
      <c r="H134" s="16"/>
      <c r="I134" s="125"/>
      <c r="J134" s="16"/>
      <c r="K134" s="13"/>
      <c r="L134" s="13"/>
      <c r="M134" s="13"/>
      <c r="N134" s="16"/>
      <c r="O134" s="16"/>
      <c r="P134" s="16"/>
      <c r="Q134" s="16"/>
      <c r="R134" s="96"/>
      <c r="S134" s="96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6"/>
      <c r="B135" s="13"/>
      <c r="C135" s="16"/>
      <c r="D135" s="16"/>
      <c r="E135" s="16"/>
      <c r="F135" s="16"/>
      <c r="G135" s="16"/>
      <c r="H135" s="16"/>
      <c r="I135" s="125"/>
      <c r="J135" s="16"/>
      <c r="K135" s="13"/>
      <c r="L135" s="13"/>
      <c r="M135" s="13"/>
      <c r="N135" s="16"/>
      <c r="O135" s="16"/>
      <c r="P135" s="16"/>
      <c r="Q135" s="16"/>
      <c r="R135" s="96"/>
      <c r="S135" s="96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6"/>
      <c r="B136" s="13"/>
      <c r="C136" s="16"/>
      <c r="D136" s="16"/>
      <c r="E136" s="16"/>
      <c r="F136" s="16"/>
      <c r="G136" s="16"/>
      <c r="H136" s="16"/>
      <c r="I136" s="125"/>
      <c r="J136" s="16"/>
      <c r="K136" s="13"/>
      <c r="L136" s="13"/>
      <c r="M136" s="13"/>
      <c r="N136" s="16"/>
      <c r="O136" s="16"/>
      <c r="P136" s="16"/>
      <c r="Q136" s="16"/>
      <c r="R136" s="96"/>
      <c r="S136" s="96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6"/>
      <c r="B137" s="13"/>
      <c r="C137" s="16"/>
      <c r="D137" s="16"/>
      <c r="E137" s="16"/>
      <c r="F137" s="16"/>
      <c r="G137" s="16"/>
      <c r="H137" s="16"/>
      <c r="I137" s="125"/>
      <c r="J137" s="16"/>
      <c r="K137" s="13"/>
      <c r="L137" s="13"/>
      <c r="M137" s="13"/>
      <c r="N137" s="16"/>
      <c r="O137" s="16"/>
      <c r="P137" s="16"/>
      <c r="Q137" s="16"/>
      <c r="R137" s="96"/>
      <c r="S137" s="96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16"/>
      <c r="B138" s="13"/>
      <c r="C138" s="16"/>
      <c r="D138" s="16"/>
      <c r="E138" s="16"/>
      <c r="F138" s="16"/>
      <c r="G138" s="16"/>
      <c r="H138" s="16"/>
      <c r="I138" s="125"/>
      <c r="J138" s="16"/>
      <c r="K138" s="13"/>
      <c r="L138" s="13"/>
      <c r="M138" s="13"/>
      <c r="N138" s="16"/>
      <c r="O138" s="16"/>
      <c r="P138" s="16"/>
      <c r="Q138" s="16"/>
      <c r="R138" s="96"/>
      <c r="S138" s="96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6"/>
      <c r="B139" s="13"/>
      <c r="C139" s="16"/>
      <c r="D139" s="16"/>
      <c r="E139" s="16"/>
      <c r="F139" s="16"/>
      <c r="G139" s="16"/>
      <c r="H139" s="16"/>
      <c r="I139" s="125"/>
      <c r="J139" s="16"/>
      <c r="K139" s="13"/>
      <c r="L139" s="13"/>
      <c r="M139" s="13"/>
      <c r="N139" s="16"/>
      <c r="O139" s="16"/>
      <c r="P139" s="16"/>
      <c r="Q139" s="16"/>
      <c r="R139" s="96"/>
      <c r="S139" s="96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6"/>
      <c r="B140" s="13"/>
      <c r="C140" s="16"/>
      <c r="D140" s="16"/>
      <c r="E140" s="16"/>
      <c r="F140" s="16"/>
      <c r="G140" s="16"/>
      <c r="H140" s="16"/>
      <c r="I140" s="125"/>
      <c r="J140" s="16"/>
      <c r="K140" s="13"/>
      <c r="L140" s="13"/>
      <c r="M140" s="13"/>
      <c r="N140" s="16"/>
      <c r="O140" s="16"/>
      <c r="P140" s="16"/>
      <c r="Q140" s="16"/>
      <c r="R140" s="96"/>
      <c r="S140" s="96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6"/>
      <c r="B141" s="13"/>
      <c r="C141" s="16"/>
      <c r="D141" s="16"/>
      <c r="E141" s="16"/>
      <c r="F141" s="16"/>
      <c r="G141" s="16"/>
      <c r="H141" s="16"/>
      <c r="I141" s="125"/>
      <c r="J141" s="16"/>
      <c r="K141" s="13"/>
      <c r="L141" s="13"/>
      <c r="M141" s="13"/>
      <c r="N141" s="16"/>
      <c r="O141" s="16"/>
      <c r="P141" s="16"/>
      <c r="Q141" s="16"/>
      <c r="R141" s="96"/>
      <c r="S141" s="96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6"/>
      <c r="B142" s="13"/>
      <c r="C142" s="16"/>
      <c r="D142" s="16"/>
      <c r="E142" s="16"/>
      <c r="F142" s="16"/>
      <c r="G142" s="16"/>
      <c r="H142" s="16"/>
      <c r="I142" s="125"/>
      <c r="J142" s="16"/>
      <c r="K142" s="13"/>
      <c r="L142" s="13"/>
      <c r="M142" s="13"/>
      <c r="N142" s="16"/>
      <c r="O142" s="16"/>
      <c r="P142" s="16"/>
      <c r="Q142" s="16"/>
      <c r="R142" s="96"/>
      <c r="S142" s="96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6"/>
      <c r="B143" s="13"/>
      <c r="C143" s="16"/>
      <c r="D143" s="16"/>
      <c r="E143" s="16"/>
      <c r="F143" s="16"/>
      <c r="G143" s="16"/>
      <c r="H143" s="16"/>
      <c r="I143" s="125"/>
      <c r="J143" s="16"/>
      <c r="K143" s="13"/>
      <c r="L143" s="13"/>
      <c r="M143" s="13"/>
      <c r="N143" s="16"/>
      <c r="O143" s="16"/>
      <c r="P143" s="16"/>
      <c r="Q143" s="16"/>
      <c r="R143" s="96"/>
      <c r="S143" s="96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6"/>
      <c r="B144" s="13"/>
      <c r="C144" s="16"/>
      <c r="D144" s="16"/>
      <c r="E144" s="16"/>
      <c r="F144" s="16"/>
      <c r="G144" s="16"/>
      <c r="H144" s="16"/>
      <c r="I144" s="125"/>
      <c r="J144" s="16"/>
      <c r="K144" s="13"/>
      <c r="L144" s="13"/>
      <c r="M144" s="13"/>
      <c r="N144" s="16"/>
      <c r="O144" s="16"/>
      <c r="P144" s="16"/>
      <c r="Q144" s="16"/>
      <c r="R144" s="96"/>
      <c r="S144" s="96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6"/>
      <c r="B145" s="13"/>
      <c r="C145" s="16"/>
      <c r="D145" s="16"/>
      <c r="E145" s="16"/>
      <c r="F145" s="16"/>
      <c r="G145" s="16"/>
      <c r="H145" s="16"/>
      <c r="I145" s="125"/>
      <c r="J145" s="16"/>
      <c r="K145" s="13"/>
      <c r="L145" s="13"/>
      <c r="M145" s="13"/>
      <c r="N145" s="16"/>
      <c r="O145" s="16"/>
      <c r="P145" s="16"/>
      <c r="Q145" s="16"/>
      <c r="R145" s="96"/>
      <c r="S145" s="96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6"/>
      <c r="B146" s="13"/>
      <c r="C146" s="16"/>
      <c r="D146" s="16"/>
      <c r="E146" s="16"/>
      <c r="F146" s="16"/>
      <c r="G146" s="16"/>
      <c r="H146" s="16"/>
      <c r="I146" s="125"/>
      <c r="J146" s="16"/>
      <c r="K146" s="13"/>
      <c r="L146" s="13"/>
      <c r="M146" s="13"/>
      <c r="N146" s="16"/>
      <c r="O146" s="16"/>
      <c r="P146" s="16"/>
      <c r="Q146" s="16"/>
      <c r="R146" s="96"/>
      <c r="S146" s="96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6"/>
      <c r="B147" s="13"/>
      <c r="C147" s="16"/>
      <c r="D147" s="16"/>
      <c r="E147" s="16"/>
      <c r="F147" s="16"/>
      <c r="G147" s="16"/>
      <c r="H147" s="16"/>
      <c r="I147" s="125"/>
      <c r="J147" s="16"/>
      <c r="K147" s="13"/>
      <c r="L147" s="13"/>
      <c r="M147" s="13"/>
      <c r="N147" s="16"/>
      <c r="O147" s="16"/>
      <c r="P147" s="16"/>
      <c r="Q147" s="16"/>
      <c r="R147" s="96"/>
      <c r="S147" s="96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6"/>
      <c r="B148" s="13"/>
      <c r="C148" s="16"/>
      <c r="D148" s="16"/>
      <c r="E148" s="16"/>
      <c r="F148" s="16"/>
      <c r="G148" s="16"/>
      <c r="H148" s="16"/>
      <c r="I148" s="125"/>
      <c r="J148" s="16"/>
      <c r="K148" s="13"/>
      <c r="L148" s="13"/>
      <c r="M148" s="13"/>
      <c r="N148" s="16"/>
      <c r="O148" s="16"/>
      <c r="P148" s="16"/>
      <c r="Q148" s="16"/>
      <c r="R148" s="96"/>
      <c r="S148" s="96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6"/>
      <c r="B149" s="13"/>
      <c r="C149" s="16"/>
      <c r="D149" s="16"/>
      <c r="E149" s="16"/>
      <c r="F149" s="16"/>
      <c r="G149" s="16"/>
      <c r="H149" s="16"/>
      <c r="I149" s="125"/>
      <c r="J149" s="16"/>
      <c r="K149" s="13"/>
      <c r="L149" s="13"/>
      <c r="M149" s="13"/>
      <c r="N149" s="16"/>
      <c r="O149" s="16"/>
      <c r="P149" s="16"/>
      <c r="Q149" s="16"/>
      <c r="R149" s="96"/>
      <c r="S149" s="96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6"/>
      <c r="B150" s="13"/>
      <c r="C150" s="16"/>
      <c r="D150" s="16"/>
      <c r="E150" s="16"/>
      <c r="F150" s="16"/>
      <c r="G150" s="16"/>
      <c r="H150" s="16"/>
      <c r="I150" s="125"/>
      <c r="J150" s="16"/>
      <c r="K150" s="13"/>
      <c r="L150" s="13"/>
      <c r="M150" s="13"/>
      <c r="N150" s="16"/>
      <c r="O150" s="16"/>
      <c r="P150" s="16"/>
      <c r="Q150" s="16"/>
      <c r="R150" s="96"/>
      <c r="S150" s="96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6"/>
      <c r="B151" s="13"/>
      <c r="C151" s="16"/>
      <c r="D151" s="16"/>
      <c r="E151" s="16"/>
      <c r="F151" s="16"/>
      <c r="G151" s="16"/>
      <c r="H151" s="16"/>
      <c r="I151" s="125"/>
      <c r="J151" s="16"/>
      <c r="K151" s="13"/>
      <c r="L151" s="13"/>
      <c r="M151" s="13"/>
      <c r="N151" s="16"/>
      <c r="O151" s="16"/>
      <c r="P151" s="16"/>
      <c r="Q151" s="16"/>
      <c r="R151" s="96"/>
      <c r="S151" s="96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6"/>
      <c r="B152" s="13"/>
      <c r="C152" s="16"/>
      <c r="D152" s="16"/>
      <c r="E152" s="16"/>
      <c r="F152" s="16"/>
      <c r="G152" s="16"/>
      <c r="H152" s="16"/>
      <c r="I152" s="125"/>
      <c r="J152" s="16"/>
      <c r="K152" s="13"/>
      <c r="L152" s="13"/>
      <c r="M152" s="13"/>
      <c r="N152" s="16"/>
      <c r="O152" s="16"/>
      <c r="P152" s="16"/>
      <c r="Q152" s="16"/>
      <c r="R152" s="96"/>
      <c r="S152" s="96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6"/>
      <c r="B153" s="13"/>
      <c r="C153" s="16"/>
      <c r="D153" s="16"/>
      <c r="E153" s="16"/>
      <c r="F153" s="16"/>
      <c r="G153" s="16"/>
      <c r="H153" s="16"/>
      <c r="I153" s="125"/>
      <c r="J153" s="16"/>
      <c r="K153" s="13"/>
      <c r="L153" s="13"/>
      <c r="M153" s="13"/>
      <c r="N153" s="16"/>
      <c r="O153" s="16"/>
      <c r="P153" s="16"/>
      <c r="Q153" s="16"/>
      <c r="R153" s="96"/>
      <c r="S153" s="96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6"/>
      <c r="B154" s="13"/>
      <c r="C154" s="16"/>
      <c r="D154" s="16"/>
      <c r="E154" s="16"/>
      <c r="F154" s="16"/>
      <c r="G154" s="16"/>
      <c r="H154" s="16"/>
      <c r="I154" s="125"/>
      <c r="J154" s="16"/>
      <c r="K154" s="13"/>
      <c r="L154" s="13"/>
      <c r="M154" s="13"/>
      <c r="N154" s="16"/>
      <c r="O154" s="16"/>
      <c r="P154" s="16"/>
      <c r="Q154" s="16"/>
      <c r="R154" s="96"/>
      <c r="S154" s="96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6"/>
      <c r="B155" s="13"/>
      <c r="C155" s="16"/>
      <c r="D155" s="16"/>
      <c r="E155" s="16"/>
      <c r="F155" s="16"/>
      <c r="G155" s="16"/>
      <c r="H155" s="16"/>
      <c r="I155" s="125"/>
      <c r="J155" s="16"/>
      <c r="K155" s="13"/>
      <c r="L155" s="13"/>
      <c r="M155" s="13"/>
      <c r="N155" s="16"/>
      <c r="O155" s="16"/>
      <c r="P155" s="16"/>
      <c r="Q155" s="16"/>
      <c r="R155" s="96"/>
      <c r="S155" s="96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6"/>
      <c r="B156" s="13"/>
      <c r="C156" s="16"/>
      <c r="D156" s="16"/>
      <c r="E156" s="16"/>
      <c r="F156" s="16"/>
      <c r="G156" s="16"/>
      <c r="H156" s="16"/>
      <c r="I156" s="125"/>
      <c r="J156" s="16"/>
      <c r="K156" s="13"/>
      <c r="L156" s="13"/>
      <c r="M156" s="13"/>
      <c r="N156" s="16"/>
      <c r="O156" s="16"/>
      <c r="P156" s="16"/>
      <c r="Q156" s="16"/>
      <c r="R156" s="96"/>
      <c r="S156" s="96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16"/>
      <c r="B157" s="13"/>
      <c r="C157" s="16"/>
      <c r="D157" s="16"/>
      <c r="E157" s="16"/>
      <c r="F157" s="16"/>
      <c r="G157" s="16"/>
      <c r="H157" s="16"/>
      <c r="I157" s="125"/>
      <c r="J157" s="16"/>
      <c r="K157" s="13"/>
      <c r="L157" s="13"/>
      <c r="M157" s="13"/>
      <c r="N157" s="16"/>
      <c r="O157" s="16"/>
      <c r="P157" s="16"/>
      <c r="Q157" s="16"/>
      <c r="R157" s="96"/>
      <c r="S157" s="96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16"/>
      <c r="B158" s="13"/>
      <c r="C158" s="16"/>
      <c r="D158" s="16"/>
      <c r="E158" s="16"/>
      <c r="F158" s="16"/>
      <c r="G158" s="16"/>
      <c r="H158" s="16"/>
      <c r="I158" s="125"/>
      <c r="J158" s="16"/>
      <c r="K158" s="13"/>
      <c r="L158" s="13"/>
      <c r="M158" s="13"/>
      <c r="N158" s="16"/>
      <c r="O158" s="16"/>
      <c r="P158" s="16"/>
      <c r="Q158" s="16"/>
      <c r="R158" s="96"/>
      <c r="S158" s="96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16"/>
      <c r="B159" s="13"/>
      <c r="C159" s="16"/>
      <c r="D159" s="16"/>
      <c r="E159" s="16"/>
      <c r="F159" s="16"/>
      <c r="G159" s="16"/>
      <c r="H159" s="16"/>
      <c r="I159" s="125"/>
      <c r="J159" s="16"/>
      <c r="K159" s="13"/>
      <c r="L159" s="13"/>
      <c r="M159" s="13"/>
      <c r="N159" s="16"/>
      <c r="O159" s="16"/>
      <c r="P159" s="16"/>
      <c r="Q159" s="16"/>
      <c r="R159" s="96"/>
      <c r="S159" s="96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16"/>
      <c r="B160" s="13"/>
      <c r="C160" s="16"/>
      <c r="D160" s="16"/>
      <c r="E160" s="16"/>
      <c r="F160" s="16"/>
      <c r="G160" s="16"/>
      <c r="H160" s="16"/>
      <c r="I160" s="125"/>
      <c r="J160" s="16"/>
      <c r="K160" s="13"/>
      <c r="L160" s="13"/>
      <c r="M160" s="13"/>
      <c r="N160" s="16"/>
      <c r="O160" s="16"/>
      <c r="P160" s="16"/>
      <c r="Q160" s="16"/>
      <c r="R160" s="96"/>
      <c r="S160" s="96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16"/>
      <c r="B161" s="13"/>
      <c r="C161" s="16"/>
      <c r="D161" s="16"/>
      <c r="E161" s="16"/>
      <c r="F161" s="16"/>
      <c r="G161" s="16"/>
      <c r="H161" s="16"/>
      <c r="I161" s="125"/>
      <c r="J161" s="16"/>
      <c r="K161" s="13"/>
      <c r="L161" s="13"/>
      <c r="M161" s="13"/>
      <c r="N161" s="16"/>
      <c r="O161" s="16"/>
      <c r="P161" s="16"/>
      <c r="Q161" s="16"/>
      <c r="R161" s="96"/>
      <c r="S161" s="96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16"/>
      <c r="B162" s="13"/>
      <c r="C162" s="16"/>
      <c r="D162" s="16"/>
      <c r="E162" s="16"/>
      <c r="F162" s="16"/>
      <c r="G162" s="16"/>
      <c r="H162" s="16"/>
      <c r="I162" s="125"/>
      <c r="J162" s="16"/>
      <c r="K162" s="13"/>
      <c r="L162" s="13"/>
      <c r="M162" s="13"/>
      <c r="N162" s="16"/>
      <c r="O162" s="16"/>
      <c r="P162" s="16"/>
      <c r="Q162" s="16"/>
      <c r="R162" s="96"/>
      <c r="S162" s="96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6"/>
      <c r="B163" s="13"/>
      <c r="C163" s="16"/>
      <c r="D163" s="16"/>
      <c r="E163" s="16"/>
      <c r="F163" s="16"/>
      <c r="G163" s="16"/>
      <c r="H163" s="16"/>
      <c r="I163" s="125"/>
      <c r="J163" s="16"/>
      <c r="K163" s="13"/>
      <c r="L163" s="13"/>
      <c r="M163" s="13"/>
      <c r="N163" s="16"/>
      <c r="O163" s="16"/>
      <c r="P163" s="16"/>
      <c r="Q163" s="16"/>
      <c r="R163" s="96"/>
      <c r="S163" s="96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6"/>
      <c r="B164" s="13"/>
      <c r="C164" s="16"/>
      <c r="D164" s="16"/>
      <c r="E164" s="16"/>
      <c r="F164" s="16"/>
      <c r="G164" s="16"/>
      <c r="H164" s="16"/>
      <c r="I164" s="125"/>
      <c r="J164" s="16"/>
      <c r="K164" s="13"/>
      <c r="L164" s="13"/>
      <c r="M164" s="13"/>
      <c r="N164" s="16"/>
      <c r="O164" s="16"/>
      <c r="P164" s="16"/>
      <c r="Q164" s="16"/>
      <c r="R164" s="96"/>
      <c r="S164" s="96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16"/>
      <c r="B165" s="13"/>
      <c r="C165" s="16"/>
      <c r="D165" s="16"/>
      <c r="E165" s="16"/>
      <c r="F165" s="16"/>
      <c r="G165" s="16"/>
      <c r="H165" s="16"/>
      <c r="I165" s="125"/>
      <c r="J165" s="16"/>
      <c r="K165" s="13"/>
      <c r="L165" s="13"/>
      <c r="M165" s="13"/>
      <c r="N165" s="16"/>
      <c r="O165" s="16"/>
      <c r="P165" s="16"/>
      <c r="Q165" s="16"/>
      <c r="R165" s="96"/>
      <c r="S165" s="96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16"/>
      <c r="B166" s="13"/>
      <c r="C166" s="16"/>
      <c r="D166" s="16"/>
      <c r="E166" s="16"/>
      <c r="F166" s="16"/>
      <c r="G166" s="16"/>
      <c r="H166" s="16"/>
      <c r="I166" s="125"/>
      <c r="J166" s="16"/>
      <c r="K166" s="13"/>
      <c r="L166" s="13"/>
      <c r="M166" s="13"/>
      <c r="N166" s="16"/>
      <c r="O166" s="16"/>
      <c r="P166" s="16"/>
      <c r="Q166" s="16"/>
      <c r="R166" s="96"/>
      <c r="S166" s="96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16"/>
      <c r="B167" s="13"/>
      <c r="C167" s="16"/>
      <c r="D167" s="16"/>
      <c r="E167" s="16"/>
      <c r="F167" s="16"/>
      <c r="G167" s="16"/>
      <c r="H167" s="16"/>
      <c r="I167" s="125"/>
      <c r="J167" s="16"/>
      <c r="K167" s="13"/>
      <c r="L167" s="13"/>
      <c r="M167" s="13"/>
      <c r="N167" s="16"/>
      <c r="O167" s="16"/>
      <c r="P167" s="16"/>
      <c r="Q167" s="16"/>
      <c r="R167" s="96"/>
      <c r="S167" s="96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16"/>
      <c r="B168" s="13"/>
      <c r="C168" s="16"/>
      <c r="D168" s="16"/>
      <c r="E168" s="16"/>
      <c r="F168" s="16"/>
      <c r="G168" s="16"/>
      <c r="H168" s="16"/>
      <c r="I168" s="125"/>
      <c r="J168" s="16"/>
      <c r="K168" s="13"/>
      <c r="L168" s="13"/>
      <c r="M168" s="13"/>
      <c r="N168" s="16"/>
      <c r="O168" s="16"/>
      <c r="P168" s="16"/>
      <c r="Q168" s="16"/>
      <c r="R168" s="96"/>
      <c r="S168" s="96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6"/>
      <c r="B169" s="13"/>
      <c r="C169" s="16"/>
      <c r="D169" s="16"/>
      <c r="E169" s="16"/>
      <c r="F169" s="16"/>
      <c r="G169" s="16"/>
      <c r="H169" s="16"/>
      <c r="I169" s="125"/>
      <c r="J169" s="16"/>
      <c r="K169" s="13"/>
      <c r="L169" s="13"/>
      <c r="M169" s="13"/>
      <c r="N169" s="16"/>
      <c r="O169" s="16"/>
      <c r="P169" s="16"/>
      <c r="Q169" s="16"/>
      <c r="R169" s="96"/>
      <c r="S169" s="96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16"/>
      <c r="B170" s="13"/>
      <c r="C170" s="16"/>
      <c r="D170" s="16"/>
      <c r="E170" s="16"/>
      <c r="F170" s="16"/>
      <c r="G170" s="16"/>
      <c r="H170" s="16"/>
      <c r="I170" s="125"/>
      <c r="J170" s="16"/>
      <c r="K170" s="13"/>
      <c r="L170" s="13"/>
      <c r="M170" s="13"/>
      <c r="N170" s="16"/>
      <c r="O170" s="16"/>
      <c r="P170" s="16"/>
      <c r="Q170" s="16"/>
      <c r="R170" s="96"/>
      <c r="S170" s="96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6"/>
      <c r="B171" s="13"/>
      <c r="C171" s="16"/>
      <c r="D171" s="16"/>
      <c r="E171" s="16"/>
      <c r="F171" s="16"/>
      <c r="G171" s="16"/>
      <c r="H171" s="16"/>
      <c r="I171" s="125"/>
      <c r="J171" s="16"/>
      <c r="K171" s="13"/>
      <c r="L171" s="13"/>
      <c r="M171" s="13"/>
      <c r="N171" s="16"/>
      <c r="O171" s="16"/>
      <c r="P171" s="16"/>
      <c r="Q171" s="16"/>
      <c r="R171" s="96"/>
      <c r="S171" s="96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16"/>
      <c r="B172" s="13"/>
      <c r="C172" s="16"/>
      <c r="D172" s="16"/>
      <c r="E172" s="16"/>
      <c r="F172" s="16"/>
      <c r="G172" s="16"/>
      <c r="H172" s="16"/>
      <c r="I172" s="125"/>
      <c r="J172" s="16"/>
      <c r="K172" s="13"/>
      <c r="L172" s="13"/>
      <c r="M172" s="13"/>
      <c r="N172" s="16"/>
      <c r="O172" s="16"/>
      <c r="P172" s="16"/>
      <c r="Q172" s="16"/>
      <c r="R172" s="96"/>
      <c r="S172" s="96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16"/>
      <c r="B173" s="13"/>
      <c r="C173" s="16"/>
      <c r="D173" s="16"/>
      <c r="E173" s="16"/>
      <c r="F173" s="16"/>
      <c r="G173" s="16"/>
      <c r="H173" s="16"/>
      <c r="I173" s="125"/>
      <c r="J173" s="16"/>
      <c r="K173" s="13"/>
      <c r="L173" s="13"/>
      <c r="M173" s="13"/>
      <c r="N173" s="16"/>
      <c r="O173" s="16"/>
      <c r="P173" s="16"/>
      <c r="Q173" s="16"/>
      <c r="R173" s="96"/>
      <c r="S173" s="96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16"/>
      <c r="B174" s="13"/>
      <c r="C174" s="16"/>
      <c r="D174" s="16"/>
      <c r="E174" s="16"/>
      <c r="F174" s="16"/>
      <c r="G174" s="16"/>
      <c r="H174" s="16"/>
      <c r="I174" s="125"/>
      <c r="J174" s="16"/>
      <c r="K174" s="13"/>
      <c r="L174" s="13"/>
      <c r="M174" s="13"/>
      <c r="N174" s="16"/>
      <c r="O174" s="16"/>
      <c r="P174" s="16"/>
      <c r="Q174" s="16"/>
      <c r="R174" s="96"/>
      <c r="S174" s="96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16"/>
      <c r="B175" s="13"/>
      <c r="C175" s="16"/>
      <c r="D175" s="16"/>
      <c r="E175" s="16"/>
      <c r="F175" s="16"/>
      <c r="G175" s="16"/>
      <c r="H175" s="16"/>
      <c r="I175" s="125"/>
      <c r="J175" s="16"/>
      <c r="K175" s="13"/>
      <c r="L175" s="13"/>
      <c r="M175" s="13"/>
      <c r="N175" s="16"/>
      <c r="O175" s="16"/>
      <c r="P175" s="16"/>
      <c r="Q175" s="16"/>
      <c r="R175" s="96"/>
      <c r="S175" s="96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16"/>
      <c r="B176" s="13"/>
      <c r="C176" s="16"/>
      <c r="D176" s="16"/>
      <c r="E176" s="16"/>
      <c r="F176" s="16"/>
      <c r="G176" s="16"/>
      <c r="H176" s="16"/>
      <c r="I176" s="125"/>
      <c r="J176" s="16"/>
      <c r="K176" s="13"/>
      <c r="L176" s="13"/>
      <c r="M176" s="13"/>
      <c r="N176" s="16"/>
      <c r="O176" s="16"/>
      <c r="P176" s="16"/>
      <c r="Q176" s="16"/>
      <c r="R176" s="96"/>
      <c r="S176" s="96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16"/>
      <c r="B177" s="13"/>
      <c r="C177" s="16"/>
      <c r="D177" s="16"/>
      <c r="E177" s="16"/>
      <c r="F177" s="16"/>
      <c r="G177" s="16"/>
      <c r="H177" s="16"/>
      <c r="I177" s="125"/>
      <c r="J177" s="16"/>
      <c r="K177" s="13"/>
      <c r="L177" s="13"/>
      <c r="M177" s="13"/>
      <c r="N177" s="16"/>
      <c r="O177" s="16"/>
      <c r="P177" s="16"/>
      <c r="Q177" s="16"/>
      <c r="R177" s="96"/>
      <c r="S177" s="96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16"/>
      <c r="B178" s="13"/>
      <c r="C178" s="16"/>
      <c r="D178" s="16"/>
      <c r="E178" s="16"/>
      <c r="F178" s="16"/>
      <c r="G178" s="16"/>
      <c r="H178" s="16"/>
      <c r="I178" s="125"/>
      <c r="J178" s="16"/>
      <c r="K178" s="13"/>
      <c r="L178" s="13"/>
      <c r="M178" s="13"/>
      <c r="N178" s="16"/>
      <c r="O178" s="16"/>
      <c r="P178" s="16"/>
      <c r="Q178" s="16"/>
      <c r="R178" s="96"/>
      <c r="S178" s="96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16"/>
      <c r="B179" s="13"/>
      <c r="C179" s="16"/>
      <c r="D179" s="16"/>
      <c r="E179" s="16"/>
      <c r="F179" s="16"/>
      <c r="G179" s="16"/>
      <c r="H179" s="16"/>
      <c r="I179" s="125"/>
      <c r="J179" s="16"/>
      <c r="K179" s="13"/>
      <c r="L179" s="13"/>
      <c r="M179" s="13"/>
      <c r="N179" s="16"/>
      <c r="O179" s="16"/>
      <c r="P179" s="16"/>
      <c r="Q179" s="16"/>
      <c r="R179" s="96"/>
      <c r="S179" s="96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16"/>
      <c r="B180" s="13"/>
      <c r="C180" s="16"/>
      <c r="D180" s="16"/>
      <c r="E180" s="16"/>
      <c r="F180" s="16"/>
      <c r="G180" s="16"/>
      <c r="H180" s="16"/>
      <c r="I180" s="125"/>
      <c r="J180" s="16"/>
      <c r="K180" s="13"/>
      <c r="L180" s="13"/>
      <c r="M180" s="13"/>
      <c r="N180" s="16"/>
      <c r="O180" s="16"/>
      <c r="P180" s="16"/>
      <c r="Q180" s="16"/>
      <c r="R180" s="96"/>
      <c r="S180" s="96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16"/>
      <c r="B181" s="13"/>
      <c r="C181" s="16"/>
      <c r="D181" s="16"/>
      <c r="E181" s="16"/>
      <c r="F181" s="16"/>
      <c r="G181" s="16"/>
      <c r="H181" s="16"/>
      <c r="I181" s="125"/>
      <c r="J181" s="16"/>
      <c r="K181" s="13"/>
      <c r="L181" s="13"/>
      <c r="M181" s="13"/>
      <c r="N181" s="16"/>
      <c r="O181" s="16"/>
      <c r="P181" s="16"/>
      <c r="Q181" s="16"/>
      <c r="R181" s="96"/>
      <c r="S181" s="96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6"/>
      <c r="B182" s="13"/>
      <c r="C182" s="16"/>
      <c r="D182" s="16"/>
      <c r="E182" s="16"/>
      <c r="F182" s="16"/>
      <c r="G182" s="16"/>
      <c r="H182" s="16"/>
      <c r="I182" s="125"/>
      <c r="J182" s="16"/>
      <c r="K182" s="13"/>
      <c r="L182" s="13"/>
      <c r="M182" s="13"/>
      <c r="N182" s="16"/>
      <c r="O182" s="16"/>
      <c r="P182" s="16"/>
      <c r="Q182" s="16"/>
      <c r="R182" s="96"/>
      <c r="S182" s="96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6"/>
      <c r="B183" s="13"/>
      <c r="C183" s="16"/>
      <c r="D183" s="16"/>
      <c r="E183" s="16"/>
      <c r="F183" s="16"/>
      <c r="G183" s="16"/>
      <c r="H183" s="16"/>
      <c r="I183" s="125"/>
      <c r="J183" s="16"/>
      <c r="K183" s="13"/>
      <c r="L183" s="13"/>
      <c r="M183" s="13"/>
      <c r="N183" s="16"/>
      <c r="O183" s="16"/>
      <c r="P183" s="16"/>
      <c r="Q183" s="16"/>
      <c r="R183" s="96"/>
      <c r="S183" s="96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6"/>
      <c r="B184" s="13"/>
      <c r="C184" s="16"/>
      <c r="D184" s="16"/>
      <c r="E184" s="16"/>
      <c r="F184" s="16"/>
      <c r="G184" s="16"/>
      <c r="H184" s="16"/>
      <c r="I184" s="125"/>
      <c r="J184" s="16"/>
      <c r="K184" s="13"/>
      <c r="L184" s="13"/>
      <c r="M184" s="13"/>
      <c r="N184" s="16"/>
      <c r="O184" s="16"/>
      <c r="P184" s="16"/>
      <c r="Q184" s="16"/>
      <c r="R184" s="96"/>
      <c r="S184" s="96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6"/>
      <c r="B185" s="13"/>
      <c r="C185" s="16"/>
      <c r="D185" s="16"/>
      <c r="E185" s="16"/>
      <c r="F185" s="16"/>
      <c r="G185" s="16"/>
      <c r="H185" s="16"/>
      <c r="I185" s="125"/>
      <c r="J185" s="16"/>
      <c r="K185" s="13"/>
      <c r="L185" s="13"/>
      <c r="M185" s="13"/>
      <c r="N185" s="16"/>
      <c r="O185" s="16"/>
      <c r="P185" s="16"/>
      <c r="Q185" s="16"/>
      <c r="R185" s="96"/>
      <c r="S185" s="96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6"/>
      <c r="B186" s="13"/>
      <c r="C186" s="16"/>
      <c r="D186" s="16"/>
      <c r="E186" s="16"/>
      <c r="F186" s="16"/>
      <c r="G186" s="16"/>
      <c r="H186" s="16"/>
      <c r="I186" s="125"/>
      <c r="J186" s="16"/>
      <c r="K186" s="13"/>
      <c r="L186" s="13"/>
      <c r="M186" s="13"/>
      <c r="N186" s="16"/>
      <c r="O186" s="16"/>
      <c r="P186" s="16"/>
      <c r="Q186" s="16"/>
      <c r="R186" s="96"/>
      <c r="S186" s="96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6"/>
      <c r="B187" s="13"/>
      <c r="C187" s="16"/>
      <c r="D187" s="16"/>
      <c r="E187" s="16"/>
      <c r="F187" s="16"/>
      <c r="G187" s="16"/>
      <c r="H187" s="16"/>
      <c r="I187" s="125"/>
      <c r="J187" s="16"/>
      <c r="K187" s="13"/>
      <c r="L187" s="13"/>
      <c r="M187" s="13"/>
      <c r="N187" s="16"/>
      <c r="O187" s="16"/>
      <c r="P187" s="16"/>
      <c r="Q187" s="16"/>
      <c r="R187" s="96"/>
      <c r="S187" s="96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6"/>
      <c r="B188" s="13"/>
      <c r="C188" s="16"/>
      <c r="D188" s="16"/>
      <c r="E188" s="16"/>
      <c r="F188" s="16"/>
      <c r="G188" s="16"/>
      <c r="H188" s="16"/>
      <c r="I188" s="125"/>
      <c r="J188" s="16"/>
      <c r="K188" s="13"/>
      <c r="L188" s="13"/>
      <c r="M188" s="13"/>
      <c r="N188" s="16"/>
      <c r="O188" s="16"/>
      <c r="P188" s="16"/>
      <c r="Q188" s="16"/>
      <c r="R188" s="96"/>
      <c r="S188" s="96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6"/>
      <c r="B189" s="13"/>
      <c r="C189" s="16"/>
      <c r="D189" s="16"/>
      <c r="E189" s="16"/>
      <c r="F189" s="16"/>
      <c r="G189" s="16"/>
      <c r="H189" s="16"/>
      <c r="I189" s="125"/>
      <c r="J189" s="16"/>
      <c r="K189" s="13"/>
      <c r="L189" s="13"/>
      <c r="M189" s="13"/>
      <c r="N189" s="16"/>
      <c r="O189" s="16"/>
      <c r="P189" s="16"/>
      <c r="Q189" s="16"/>
      <c r="R189" s="96"/>
      <c r="S189" s="96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6"/>
      <c r="B190" s="13"/>
      <c r="C190" s="16"/>
      <c r="D190" s="16"/>
      <c r="E190" s="16"/>
      <c r="F190" s="16"/>
      <c r="G190" s="16"/>
      <c r="H190" s="16"/>
      <c r="I190" s="125"/>
      <c r="J190" s="16"/>
      <c r="K190" s="13"/>
      <c r="L190" s="13"/>
      <c r="M190" s="13"/>
      <c r="N190" s="16"/>
      <c r="O190" s="16"/>
      <c r="P190" s="16"/>
      <c r="Q190" s="16"/>
      <c r="R190" s="96"/>
      <c r="S190" s="96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6"/>
      <c r="B191" s="13"/>
      <c r="C191" s="16"/>
      <c r="D191" s="16"/>
      <c r="E191" s="16"/>
      <c r="F191" s="16"/>
      <c r="G191" s="16"/>
      <c r="H191" s="16"/>
      <c r="I191" s="125"/>
      <c r="J191" s="16"/>
      <c r="K191" s="13"/>
      <c r="L191" s="13"/>
      <c r="M191" s="13"/>
      <c r="N191" s="16"/>
      <c r="O191" s="16"/>
      <c r="P191" s="16"/>
      <c r="Q191" s="16"/>
      <c r="R191" s="96"/>
      <c r="S191" s="96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6"/>
      <c r="B192" s="13"/>
      <c r="C192" s="16"/>
      <c r="D192" s="16"/>
      <c r="E192" s="16"/>
      <c r="F192" s="16"/>
      <c r="G192" s="16"/>
      <c r="H192" s="16"/>
      <c r="I192" s="125"/>
      <c r="J192" s="16"/>
      <c r="K192" s="13"/>
      <c r="L192" s="13"/>
      <c r="M192" s="13"/>
      <c r="N192" s="16"/>
      <c r="O192" s="16"/>
      <c r="P192" s="16"/>
      <c r="Q192" s="16"/>
      <c r="R192" s="96"/>
      <c r="S192" s="96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6"/>
      <c r="B193" s="13"/>
      <c r="C193" s="16"/>
      <c r="D193" s="16"/>
      <c r="E193" s="16"/>
      <c r="F193" s="16"/>
      <c r="G193" s="16"/>
      <c r="H193" s="16"/>
      <c r="I193" s="125"/>
      <c r="J193" s="16"/>
      <c r="K193" s="13"/>
      <c r="L193" s="13"/>
      <c r="M193" s="13"/>
      <c r="N193" s="16"/>
      <c r="O193" s="16"/>
      <c r="P193" s="16"/>
      <c r="Q193" s="16"/>
      <c r="R193" s="96"/>
      <c r="S193" s="96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6"/>
      <c r="B194" s="13"/>
      <c r="C194" s="16"/>
      <c r="D194" s="16"/>
      <c r="E194" s="16"/>
      <c r="F194" s="16"/>
      <c r="G194" s="16"/>
      <c r="H194" s="16"/>
      <c r="I194" s="125"/>
      <c r="J194" s="16"/>
      <c r="K194" s="13"/>
      <c r="L194" s="13"/>
      <c r="M194" s="13"/>
      <c r="N194" s="16"/>
      <c r="O194" s="16"/>
      <c r="P194" s="16"/>
      <c r="Q194" s="16"/>
      <c r="R194" s="96"/>
      <c r="S194" s="96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6"/>
      <c r="B195" s="13"/>
      <c r="C195" s="16"/>
      <c r="D195" s="16"/>
      <c r="E195" s="16"/>
      <c r="F195" s="16"/>
      <c r="G195" s="16"/>
      <c r="H195" s="16"/>
      <c r="I195" s="125"/>
      <c r="J195" s="16"/>
      <c r="K195" s="13"/>
      <c r="L195" s="13"/>
      <c r="M195" s="13"/>
      <c r="N195" s="16"/>
      <c r="O195" s="16"/>
      <c r="P195" s="16"/>
      <c r="Q195" s="16"/>
      <c r="R195" s="96"/>
      <c r="S195" s="96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6"/>
      <c r="B196" s="13"/>
      <c r="C196" s="16"/>
      <c r="D196" s="16"/>
      <c r="E196" s="16"/>
      <c r="F196" s="16"/>
      <c r="G196" s="16"/>
      <c r="H196" s="16"/>
      <c r="I196" s="125"/>
      <c r="J196" s="16"/>
      <c r="K196" s="13"/>
      <c r="L196" s="13"/>
      <c r="M196" s="13"/>
      <c r="N196" s="16"/>
      <c r="O196" s="16"/>
      <c r="P196" s="16"/>
      <c r="Q196" s="16"/>
      <c r="R196" s="96"/>
      <c r="S196" s="96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6"/>
      <c r="B197" s="13"/>
      <c r="C197" s="16"/>
      <c r="D197" s="16"/>
      <c r="E197" s="16"/>
      <c r="F197" s="16"/>
      <c r="G197" s="16"/>
      <c r="H197" s="16"/>
      <c r="I197" s="125"/>
      <c r="J197" s="16"/>
      <c r="K197" s="13"/>
      <c r="L197" s="13"/>
      <c r="M197" s="13"/>
      <c r="N197" s="16"/>
      <c r="O197" s="16"/>
      <c r="P197" s="16"/>
      <c r="Q197" s="16"/>
      <c r="R197" s="96"/>
      <c r="S197" s="96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6"/>
      <c r="B198" s="13"/>
      <c r="C198" s="16"/>
      <c r="D198" s="16"/>
      <c r="E198" s="16"/>
      <c r="F198" s="16"/>
      <c r="G198" s="16"/>
      <c r="H198" s="16"/>
      <c r="I198" s="125"/>
      <c r="J198" s="16"/>
      <c r="K198" s="13"/>
      <c r="L198" s="13"/>
      <c r="M198" s="13"/>
      <c r="N198" s="16"/>
      <c r="O198" s="16"/>
      <c r="P198" s="16"/>
      <c r="Q198" s="16"/>
      <c r="R198" s="96"/>
      <c r="S198" s="96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6"/>
      <c r="B199" s="13"/>
      <c r="C199" s="16"/>
      <c r="D199" s="16"/>
      <c r="E199" s="16"/>
      <c r="F199" s="16"/>
      <c r="G199" s="16"/>
      <c r="H199" s="16"/>
      <c r="I199" s="125"/>
      <c r="J199" s="16"/>
      <c r="K199" s="13"/>
      <c r="L199" s="13"/>
      <c r="M199" s="13"/>
      <c r="N199" s="16"/>
      <c r="O199" s="16"/>
      <c r="P199" s="16"/>
      <c r="Q199" s="16"/>
      <c r="R199" s="96"/>
      <c r="S199" s="96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6"/>
      <c r="B200" s="13"/>
      <c r="C200" s="16"/>
      <c r="D200" s="16"/>
      <c r="E200" s="16"/>
      <c r="F200" s="16"/>
      <c r="G200" s="16"/>
      <c r="H200" s="16"/>
      <c r="I200" s="125"/>
      <c r="J200" s="16"/>
      <c r="K200" s="13"/>
      <c r="L200" s="13"/>
      <c r="M200" s="13"/>
      <c r="N200" s="16"/>
      <c r="O200" s="16"/>
      <c r="P200" s="16"/>
      <c r="Q200" s="16"/>
      <c r="R200" s="96"/>
      <c r="S200" s="96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6"/>
      <c r="B201" s="13"/>
      <c r="C201" s="16"/>
      <c r="D201" s="16"/>
      <c r="E201" s="16"/>
      <c r="F201" s="16"/>
      <c r="G201" s="16"/>
      <c r="H201" s="16"/>
      <c r="I201" s="125"/>
      <c r="J201" s="16"/>
      <c r="K201" s="13"/>
      <c r="L201" s="13"/>
      <c r="M201" s="13"/>
      <c r="N201" s="16"/>
      <c r="O201" s="16"/>
      <c r="P201" s="16"/>
      <c r="Q201" s="16"/>
      <c r="R201" s="96"/>
      <c r="S201" s="96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6"/>
      <c r="B202" s="13"/>
      <c r="C202" s="16"/>
      <c r="D202" s="16"/>
      <c r="E202" s="16"/>
      <c r="F202" s="16"/>
      <c r="G202" s="16"/>
      <c r="H202" s="16"/>
      <c r="I202" s="125"/>
      <c r="J202" s="16"/>
      <c r="K202" s="13"/>
      <c r="L202" s="13"/>
      <c r="M202" s="13"/>
      <c r="N202" s="16"/>
      <c r="O202" s="16"/>
      <c r="P202" s="16"/>
      <c r="Q202" s="16"/>
      <c r="R202" s="96"/>
      <c r="S202" s="96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6"/>
      <c r="B203" s="13"/>
      <c r="C203" s="16"/>
      <c r="D203" s="16"/>
      <c r="E203" s="16"/>
      <c r="F203" s="16"/>
      <c r="G203" s="16"/>
      <c r="H203" s="16"/>
      <c r="I203" s="125"/>
      <c r="J203" s="16"/>
      <c r="K203" s="13"/>
      <c r="L203" s="13"/>
      <c r="M203" s="13"/>
      <c r="N203" s="16"/>
      <c r="O203" s="16"/>
      <c r="P203" s="16"/>
      <c r="Q203" s="16"/>
      <c r="R203" s="96"/>
      <c r="S203" s="96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6"/>
      <c r="B204" s="13"/>
      <c r="C204" s="16"/>
      <c r="D204" s="16"/>
      <c r="E204" s="16"/>
      <c r="F204" s="16"/>
      <c r="G204" s="16"/>
      <c r="H204" s="16"/>
      <c r="I204" s="125"/>
      <c r="J204" s="16"/>
      <c r="K204" s="13"/>
      <c r="L204" s="13"/>
      <c r="M204" s="13"/>
      <c r="N204" s="16"/>
      <c r="O204" s="16"/>
      <c r="P204" s="16"/>
      <c r="Q204" s="16"/>
      <c r="R204" s="96"/>
      <c r="S204" s="96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6"/>
      <c r="B205" s="13"/>
      <c r="C205" s="16"/>
      <c r="D205" s="16"/>
      <c r="E205" s="16"/>
      <c r="F205" s="16"/>
      <c r="G205" s="16"/>
      <c r="H205" s="16"/>
      <c r="I205" s="125"/>
      <c r="J205" s="16"/>
      <c r="K205" s="13"/>
      <c r="L205" s="13"/>
      <c r="M205" s="13"/>
      <c r="N205" s="16"/>
      <c r="O205" s="16"/>
      <c r="P205" s="16"/>
      <c r="Q205" s="16"/>
      <c r="R205" s="96"/>
      <c r="S205" s="96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6"/>
      <c r="B206" s="13"/>
      <c r="C206" s="16"/>
      <c r="D206" s="16"/>
      <c r="E206" s="16"/>
      <c r="F206" s="16"/>
      <c r="G206" s="16"/>
      <c r="H206" s="16"/>
      <c r="I206" s="125"/>
      <c r="J206" s="16"/>
      <c r="K206" s="13"/>
      <c r="L206" s="13"/>
      <c r="M206" s="13"/>
      <c r="N206" s="16"/>
      <c r="O206" s="16"/>
      <c r="P206" s="16"/>
      <c r="Q206" s="16"/>
      <c r="R206" s="96"/>
      <c r="S206" s="96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6"/>
      <c r="B207" s="13"/>
      <c r="C207" s="16"/>
      <c r="D207" s="16"/>
      <c r="E207" s="16"/>
      <c r="F207" s="16"/>
      <c r="G207" s="16"/>
      <c r="H207" s="16"/>
      <c r="I207" s="125"/>
      <c r="J207" s="16"/>
      <c r="K207" s="13"/>
      <c r="L207" s="13"/>
      <c r="M207" s="13"/>
      <c r="N207" s="16"/>
      <c r="O207" s="16"/>
      <c r="P207" s="16"/>
      <c r="Q207" s="16"/>
      <c r="R207" s="96"/>
      <c r="S207" s="96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6"/>
      <c r="B208" s="13"/>
      <c r="C208" s="16"/>
      <c r="D208" s="16"/>
      <c r="E208" s="16"/>
      <c r="F208" s="16"/>
      <c r="G208" s="16"/>
      <c r="H208" s="16"/>
      <c r="I208" s="125"/>
      <c r="J208" s="16"/>
      <c r="K208" s="13"/>
      <c r="L208" s="13"/>
      <c r="M208" s="13"/>
      <c r="N208" s="16"/>
      <c r="O208" s="16"/>
      <c r="P208" s="16"/>
      <c r="Q208" s="16"/>
      <c r="R208" s="96"/>
      <c r="S208" s="96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6"/>
      <c r="B209" s="13"/>
      <c r="C209" s="16"/>
      <c r="D209" s="16"/>
      <c r="E209" s="16"/>
      <c r="F209" s="16"/>
      <c r="G209" s="16"/>
      <c r="H209" s="16"/>
      <c r="I209" s="125"/>
      <c r="J209" s="16"/>
      <c r="K209" s="13"/>
      <c r="L209" s="13"/>
      <c r="M209" s="13"/>
      <c r="N209" s="16"/>
      <c r="O209" s="16"/>
      <c r="P209" s="16"/>
      <c r="Q209" s="16"/>
      <c r="R209" s="96"/>
      <c r="S209" s="96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6"/>
      <c r="B210" s="13"/>
      <c r="C210" s="16"/>
      <c r="D210" s="16"/>
      <c r="E210" s="16"/>
      <c r="F210" s="16"/>
      <c r="G210" s="16"/>
      <c r="H210" s="16"/>
      <c r="I210" s="125"/>
      <c r="J210" s="16"/>
      <c r="K210" s="13"/>
      <c r="L210" s="13"/>
      <c r="M210" s="13"/>
      <c r="N210" s="16"/>
      <c r="O210" s="16"/>
      <c r="P210" s="16"/>
      <c r="Q210" s="16"/>
      <c r="R210" s="96"/>
      <c r="S210" s="96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6"/>
      <c r="B211" s="13"/>
      <c r="C211" s="16"/>
      <c r="D211" s="16"/>
      <c r="E211" s="16"/>
      <c r="F211" s="16"/>
      <c r="G211" s="16"/>
      <c r="H211" s="16"/>
      <c r="I211" s="125"/>
      <c r="J211" s="16"/>
      <c r="K211" s="13"/>
      <c r="L211" s="13"/>
      <c r="M211" s="13"/>
      <c r="N211" s="16"/>
      <c r="O211" s="16"/>
      <c r="P211" s="16"/>
      <c r="Q211" s="16"/>
      <c r="R211" s="96"/>
      <c r="S211" s="96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6"/>
      <c r="B212" s="13"/>
      <c r="C212" s="16"/>
      <c r="D212" s="16"/>
      <c r="E212" s="16"/>
      <c r="F212" s="16"/>
      <c r="G212" s="16"/>
      <c r="H212" s="16"/>
      <c r="I212" s="125"/>
      <c r="J212" s="16"/>
      <c r="K212" s="13"/>
      <c r="L212" s="13"/>
      <c r="M212" s="13"/>
      <c r="N212" s="16"/>
      <c r="O212" s="16"/>
      <c r="P212" s="16"/>
      <c r="Q212" s="16"/>
      <c r="R212" s="96"/>
      <c r="S212" s="96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6"/>
      <c r="B213" s="13"/>
      <c r="C213" s="16"/>
      <c r="D213" s="16"/>
      <c r="E213" s="16"/>
      <c r="F213" s="16"/>
      <c r="G213" s="16"/>
      <c r="H213" s="16"/>
      <c r="I213" s="125"/>
      <c r="J213" s="16"/>
      <c r="K213" s="13"/>
      <c r="L213" s="13"/>
      <c r="M213" s="13"/>
      <c r="N213" s="16"/>
      <c r="O213" s="16"/>
      <c r="P213" s="16"/>
      <c r="Q213" s="16"/>
      <c r="R213" s="96"/>
      <c r="S213" s="96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6"/>
      <c r="B214" s="13"/>
      <c r="C214" s="16"/>
      <c r="D214" s="16"/>
      <c r="E214" s="16"/>
      <c r="F214" s="16"/>
      <c r="G214" s="16"/>
      <c r="H214" s="16"/>
      <c r="I214" s="125"/>
      <c r="J214" s="16"/>
      <c r="K214" s="13"/>
      <c r="L214" s="13"/>
      <c r="M214" s="13"/>
      <c r="N214" s="16"/>
      <c r="O214" s="16"/>
      <c r="P214" s="16"/>
      <c r="Q214" s="16"/>
      <c r="R214" s="96"/>
      <c r="S214" s="96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6"/>
      <c r="B215" s="13"/>
      <c r="C215" s="16"/>
      <c r="D215" s="16"/>
      <c r="E215" s="16"/>
      <c r="F215" s="16"/>
      <c r="G215" s="16"/>
      <c r="H215" s="16"/>
      <c r="I215" s="125"/>
      <c r="J215" s="16"/>
      <c r="K215" s="13"/>
      <c r="L215" s="13"/>
      <c r="M215" s="13"/>
      <c r="N215" s="16"/>
      <c r="O215" s="16"/>
      <c r="P215" s="16"/>
      <c r="Q215" s="16"/>
      <c r="R215" s="96"/>
      <c r="S215" s="96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6"/>
      <c r="B216" s="13"/>
      <c r="C216" s="16"/>
      <c r="D216" s="16"/>
      <c r="E216" s="16"/>
      <c r="F216" s="16"/>
      <c r="G216" s="16"/>
      <c r="H216" s="16"/>
      <c r="I216" s="125"/>
      <c r="J216" s="16"/>
      <c r="K216" s="13"/>
      <c r="L216" s="13"/>
      <c r="M216" s="13"/>
      <c r="N216" s="16"/>
      <c r="O216" s="16"/>
      <c r="P216" s="16"/>
      <c r="Q216" s="16"/>
      <c r="R216" s="96"/>
      <c r="S216" s="96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6"/>
      <c r="B217" s="13"/>
      <c r="C217" s="16"/>
      <c r="D217" s="16"/>
      <c r="E217" s="16"/>
      <c r="F217" s="16"/>
      <c r="G217" s="16"/>
      <c r="H217" s="16"/>
      <c r="I217" s="125"/>
      <c r="J217" s="16"/>
      <c r="K217" s="13"/>
      <c r="L217" s="13"/>
      <c r="M217" s="13"/>
      <c r="N217" s="16"/>
      <c r="O217" s="16"/>
      <c r="P217" s="16"/>
      <c r="Q217" s="16"/>
      <c r="R217" s="96"/>
      <c r="S217" s="96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6"/>
      <c r="B218" s="13"/>
      <c r="C218" s="16"/>
      <c r="D218" s="16"/>
      <c r="E218" s="16"/>
      <c r="F218" s="16"/>
      <c r="G218" s="16"/>
      <c r="H218" s="16"/>
      <c r="I218" s="125"/>
      <c r="J218" s="16"/>
      <c r="K218" s="13"/>
      <c r="L218" s="13"/>
      <c r="M218" s="13"/>
      <c r="N218" s="16"/>
      <c r="O218" s="16"/>
      <c r="P218" s="16"/>
      <c r="Q218" s="16"/>
      <c r="R218" s="96"/>
      <c r="S218" s="96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6"/>
      <c r="B219" s="13"/>
      <c r="C219" s="16"/>
      <c r="D219" s="16"/>
      <c r="E219" s="16"/>
      <c r="F219" s="16"/>
      <c r="G219" s="16"/>
      <c r="H219" s="16"/>
      <c r="I219" s="125"/>
      <c r="J219" s="16"/>
      <c r="K219" s="13"/>
      <c r="L219" s="13"/>
      <c r="M219" s="13"/>
      <c r="N219" s="16"/>
      <c r="O219" s="16"/>
      <c r="P219" s="16"/>
      <c r="Q219" s="16"/>
      <c r="R219" s="96"/>
      <c r="S219" s="96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6"/>
      <c r="B220" s="13"/>
      <c r="C220" s="16"/>
      <c r="D220" s="16"/>
      <c r="E220" s="16"/>
      <c r="F220" s="16"/>
      <c r="G220" s="16"/>
      <c r="H220" s="16"/>
      <c r="I220" s="125"/>
      <c r="J220" s="16"/>
      <c r="K220" s="13"/>
      <c r="L220" s="13"/>
      <c r="M220" s="13"/>
      <c r="N220" s="16"/>
      <c r="O220" s="16"/>
      <c r="P220" s="16"/>
      <c r="Q220" s="16"/>
      <c r="R220" s="96"/>
      <c r="S220" s="96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6"/>
      <c r="B221" s="13"/>
      <c r="C221" s="16"/>
      <c r="D221" s="16"/>
      <c r="E221" s="16"/>
      <c r="F221" s="16"/>
      <c r="G221" s="16"/>
      <c r="H221" s="16"/>
      <c r="I221" s="125"/>
      <c r="J221" s="16"/>
      <c r="K221" s="13"/>
      <c r="L221" s="13"/>
      <c r="M221" s="13"/>
      <c r="N221" s="16"/>
      <c r="O221" s="16"/>
      <c r="P221" s="16"/>
      <c r="Q221" s="16"/>
      <c r="R221" s="96"/>
      <c r="S221" s="96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6"/>
      <c r="B222" s="13"/>
      <c r="C222" s="16"/>
      <c r="D222" s="16"/>
      <c r="E222" s="16"/>
      <c r="F222" s="16"/>
      <c r="G222" s="16"/>
      <c r="H222" s="16"/>
      <c r="I222" s="125"/>
      <c r="J222" s="16"/>
      <c r="K222" s="13"/>
      <c r="L222" s="13"/>
      <c r="M222" s="13"/>
      <c r="N222" s="16"/>
      <c r="O222" s="16"/>
      <c r="P222" s="16"/>
      <c r="Q222" s="16"/>
      <c r="R222" s="96"/>
      <c r="S222" s="96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6"/>
      <c r="B223" s="13"/>
      <c r="C223" s="16"/>
      <c r="D223" s="16"/>
      <c r="E223" s="16"/>
      <c r="F223" s="16"/>
      <c r="G223" s="16"/>
      <c r="H223" s="16"/>
      <c r="I223" s="125"/>
      <c r="J223" s="16"/>
      <c r="K223" s="13"/>
      <c r="L223" s="13"/>
      <c r="M223" s="13"/>
      <c r="N223" s="16"/>
      <c r="O223" s="16"/>
      <c r="P223" s="16"/>
      <c r="Q223" s="16"/>
      <c r="R223" s="96"/>
      <c r="S223" s="96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6"/>
      <c r="B224" s="13"/>
      <c r="C224" s="16"/>
      <c r="D224" s="16"/>
      <c r="E224" s="16"/>
      <c r="F224" s="16"/>
      <c r="G224" s="16"/>
      <c r="H224" s="16"/>
      <c r="I224" s="125"/>
      <c r="J224" s="16"/>
      <c r="K224" s="13"/>
      <c r="L224" s="13"/>
      <c r="M224" s="13"/>
      <c r="N224" s="16"/>
      <c r="O224" s="16"/>
      <c r="P224" s="16"/>
      <c r="Q224" s="16"/>
      <c r="R224" s="96"/>
      <c r="S224" s="96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6"/>
      <c r="B225" s="13"/>
      <c r="C225" s="16"/>
      <c r="D225" s="16"/>
      <c r="E225" s="16"/>
      <c r="F225" s="16"/>
      <c r="G225" s="16"/>
      <c r="H225" s="16"/>
      <c r="I225" s="125"/>
      <c r="J225" s="16"/>
      <c r="K225" s="13"/>
      <c r="L225" s="13"/>
      <c r="M225" s="13"/>
      <c r="N225" s="16"/>
      <c r="O225" s="16"/>
      <c r="P225" s="16"/>
      <c r="Q225" s="16"/>
      <c r="R225" s="96"/>
      <c r="S225" s="96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6"/>
      <c r="B226" s="13"/>
      <c r="C226" s="16"/>
      <c r="D226" s="16"/>
      <c r="E226" s="16"/>
      <c r="F226" s="16"/>
      <c r="G226" s="16"/>
      <c r="H226" s="16"/>
      <c r="I226" s="125"/>
      <c r="J226" s="16"/>
      <c r="K226" s="13"/>
      <c r="L226" s="13"/>
      <c r="M226" s="13"/>
      <c r="N226" s="16"/>
      <c r="O226" s="16"/>
      <c r="P226" s="16"/>
      <c r="Q226" s="16"/>
      <c r="R226" s="96"/>
      <c r="S226" s="96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6"/>
      <c r="B227" s="13"/>
      <c r="C227" s="16"/>
      <c r="D227" s="16"/>
      <c r="E227" s="16"/>
      <c r="F227" s="16"/>
      <c r="G227" s="16"/>
      <c r="H227" s="16"/>
      <c r="I227" s="125"/>
      <c r="J227" s="16"/>
      <c r="K227" s="13"/>
      <c r="L227" s="13"/>
      <c r="M227" s="13"/>
      <c r="N227" s="16"/>
      <c r="O227" s="16"/>
      <c r="P227" s="16"/>
      <c r="Q227" s="16"/>
      <c r="R227" s="96"/>
      <c r="S227" s="96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6"/>
      <c r="B228" s="13"/>
      <c r="C228" s="16"/>
      <c r="D228" s="16"/>
      <c r="E228" s="16"/>
      <c r="F228" s="16"/>
      <c r="G228" s="16"/>
      <c r="H228" s="16"/>
      <c r="I228" s="125"/>
      <c r="J228" s="16"/>
      <c r="K228" s="13"/>
      <c r="L228" s="13"/>
      <c r="M228" s="13"/>
      <c r="N228" s="16"/>
      <c r="O228" s="16"/>
      <c r="P228" s="16"/>
      <c r="Q228" s="16"/>
      <c r="R228" s="96"/>
      <c r="S228" s="96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6"/>
      <c r="B229" s="13"/>
      <c r="C229" s="16"/>
      <c r="D229" s="16"/>
      <c r="E229" s="16"/>
      <c r="F229" s="16"/>
      <c r="G229" s="16"/>
      <c r="H229" s="16"/>
      <c r="I229" s="125"/>
      <c r="J229" s="16"/>
      <c r="K229" s="13"/>
      <c r="L229" s="13"/>
      <c r="M229" s="13"/>
      <c r="N229" s="16"/>
      <c r="O229" s="16"/>
      <c r="P229" s="16"/>
      <c r="Q229" s="16"/>
      <c r="R229" s="96"/>
      <c r="S229" s="96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6"/>
      <c r="B230" s="13"/>
      <c r="C230" s="16"/>
      <c r="D230" s="16"/>
      <c r="E230" s="16"/>
      <c r="F230" s="16"/>
      <c r="G230" s="16"/>
      <c r="H230" s="16"/>
      <c r="I230" s="125"/>
      <c r="J230" s="16"/>
      <c r="K230" s="13"/>
      <c r="L230" s="13"/>
      <c r="M230" s="13"/>
      <c r="N230" s="16"/>
      <c r="O230" s="16"/>
      <c r="P230" s="16"/>
      <c r="Q230" s="16"/>
      <c r="R230" s="96"/>
      <c r="S230" s="96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6"/>
      <c r="B231" s="13"/>
      <c r="C231" s="16"/>
      <c r="D231" s="16"/>
      <c r="E231" s="16"/>
      <c r="F231" s="16"/>
      <c r="G231" s="16"/>
      <c r="H231" s="16"/>
      <c r="I231" s="125"/>
      <c r="J231" s="16"/>
      <c r="K231" s="13"/>
      <c r="L231" s="13"/>
      <c r="M231" s="13"/>
      <c r="N231" s="16"/>
      <c r="O231" s="16"/>
      <c r="P231" s="16"/>
      <c r="Q231" s="16"/>
      <c r="R231" s="96"/>
      <c r="S231" s="96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6"/>
      <c r="B232" s="13"/>
      <c r="C232" s="16"/>
      <c r="D232" s="16"/>
      <c r="E232" s="16"/>
      <c r="F232" s="16"/>
      <c r="G232" s="16"/>
      <c r="H232" s="16"/>
      <c r="I232" s="125"/>
      <c r="J232" s="16"/>
      <c r="K232" s="13"/>
      <c r="L232" s="13"/>
      <c r="M232" s="13"/>
      <c r="N232" s="16"/>
      <c r="O232" s="16"/>
      <c r="P232" s="16"/>
      <c r="Q232" s="16"/>
      <c r="R232" s="96"/>
      <c r="S232" s="96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6"/>
      <c r="B233" s="13"/>
      <c r="C233" s="16"/>
      <c r="D233" s="16"/>
      <c r="E233" s="16"/>
      <c r="F233" s="16"/>
      <c r="G233" s="16"/>
      <c r="H233" s="16"/>
      <c r="I233" s="125"/>
      <c r="J233" s="16"/>
      <c r="K233" s="13"/>
      <c r="L233" s="13"/>
      <c r="M233" s="13"/>
      <c r="N233" s="16"/>
      <c r="O233" s="16"/>
      <c r="P233" s="16"/>
      <c r="Q233" s="16"/>
      <c r="R233" s="96"/>
      <c r="S233" s="96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6"/>
      <c r="B234" s="13"/>
      <c r="C234" s="16"/>
      <c r="D234" s="16"/>
      <c r="E234" s="16"/>
      <c r="F234" s="16"/>
      <c r="G234" s="16"/>
      <c r="H234" s="16"/>
      <c r="I234" s="125"/>
      <c r="J234" s="16"/>
      <c r="K234" s="13"/>
      <c r="L234" s="13"/>
      <c r="M234" s="13"/>
      <c r="N234" s="16"/>
      <c r="O234" s="16"/>
      <c r="P234" s="16"/>
      <c r="Q234" s="16"/>
      <c r="R234" s="96"/>
      <c r="S234" s="96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6"/>
      <c r="B235" s="13"/>
      <c r="C235" s="16"/>
      <c r="D235" s="16"/>
      <c r="E235" s="16"/>
      <c r="F235" s="16"/>
      <c r="G235" s="16"/>
      <c r="H235" s="16"/>
      <c r="I235" s="125"/>
      <c r="J235" s="16"/>
      <c r="K235" s="13"/>
      <c r="L235" s="13"/>
      <c r="M235" s="13"/>
      <c r="N235" s="16"/>
      <c r="O235" s="16"/>
      <c r="P235" s="16"/>
      <c r="Q235" s="16"/>
      <c r="R235" s="96"/>
      <c r="S235" s="96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6"/>
      <c r="B236" s="13"/>
      <c r="C236" s="16"/>
      <c r="D236" s="16"/>
      <c r="E236" s="16"/>
      <c r="F236" s="16"/>
      <c r="G236" s="16"/>
      <c r="H236" s="16"/>
      <c r="I236" s="125"/>
      <c r="J236" s="16"/>
      <c r="K236" s="13"/>
      <c r="L236" s="13"/>
      <c r="M236" s="13"/>
      <c r="N236" s="16"/>
      <c r="O236" s="16"/>
      <c r="P236" s="16"/>
      <c r="Q236" s="16"/>
      <c r="R236" s="96"/>
      <c r="S236" s="96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6"/>
      <c r="B237" s="13"/>
      <c r="C237" s="16"/>
      <c r="D237" s="16"/>
      <c r="E237" s="16"/>
      <c r="F237" s="16"/>
      <c r="G237" s="16"/>
      <c r="H237" s="16"/>
      <c r="I237" s="125"/>
      <c r="J237" s="16"/>
      <c r="K237" s="13"/>
      <c r="L237" s="13"/>
      <c r="M237" s="13"/>
      <c r="N237" s="16"/>
      <c r="O237" s="16"/>
      <c r="P237" s="16"/>
      <c r="Q237" s="16"/>
      <c r="R237" s="96"/>
      <c r="S237" s="96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6"/>
      <c r="B238" s="13"/>
      <c r="C238" s="16"/>
      <c r="D238" s="16"/>
      <c r="E238" s="16"/>
      <c r="F238" s="16"/>
      <c r="G238" s="16"/>
      <c r="H238" s="16"/>
      <c r="I238" s="125"/>
      <c r="J238" s="16"/>
      <c r="K238" s="13"/>
      <c r="L238" s="13"/>
      <c r="M238" s="13"/>
      <c r="N238" s="16"/>
      <c r="O238" s="16"/>
      <c r="P238" s="16"/>
      <c r="Q238" s="16"/>
      <c r="R238" s="96"/>
      <c r="S238" s="96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6"/>
      <c r="B239" s="13"/>
      <c r="C239" s="16"/>
      <c r="D239" s="16"/>
      <c r="E239" s="16"/>
      <c r="F239" s="16"/>
      <c r="G239" s="16"/>
      <c r="H239" s="16"/>
      <c r="I239" s="125"/>
      <c r="J239" s="16"/>
      <c r="K239" s="13"/>
      <c r="L239" s="13"/>
      <c r="M239" s="13"/>
      <c r="N239" s="16"/>
      <c r="O239" s="16"/>
      <c r="P239" s="16"/>
      <c r="Q239" s="16"/>
      <c r="R239" s="96"/>
      <c r="S239" s="96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6"/>
      <c r="B240" s="13"/>
      <c r="C240" s="16"/>
      <c r="D240" s="16"/>
      <c r="E240" s="16"/>
      <c r="F240" s="16"/>
      <c r="G240" s="16"/>
      <c r="H240" s="16"/>
      <c r="I240" s="125"/>
      <c r="J240" s="16"/>
      <c r="K240" s="13"/>
      <c r="L240" s="13"/>
      <c r="M240" s="13"/>
      <c r="N240" s="16"/>
      <c r="O240" s="16"/>
      <c r="P240" s="16"/>
      <c r="Q240" s="16"/>
      <c r="R240" s="96"/>
      <c r="S240" s="96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6"/>
      <c r="B241" s="13"/>
      <c r="C241" s="16"/>
      <c r="D241" s="16"/>
      <c r="E241" s="16"/>
      <c r="F241" s="16"/>
      <c r="G241" s="16"/>
      <c r="H241" s="16"/>
      <c r="I241" s="125"/>
      <c r="J241" s="16"/>
      <c r="K241" s="13"/>
      <c r="L241" s="13"/>
      <c r="M241" s="13"/>
      <c r="N241" s="16"/>
      <c r="O241" s="16"/>
      <c r="P241" s="16"/>
      <c r="Q241" s="16"/>
      <c r="R241" s="96"/>
      <c r="S241" s="96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6"/>
      <c r="B242" s="13"/>
      <c r="C242" s="16"/>
      <c r="D242" s="16"/>
      <c r="E242" s="16"/>
      <c r="F242" s="16"/>
      <c r="G242" s="16"/>
      <c r="H242" s="16"/>
      <c r="I242" s="125"/>
      <c r="J242" s="16"/>
      <c r="K242" s="13"/>
      <c r="L242" s="13"/>
      <c r="M242" s="13"/>
      <c r="N242" s="16"/>
      <c r="O242" s="16"/>
      <c r="P242" s="16"/>
      <c r="Q242" s="16"/>
      <c r="R242" s="96"/>
      <c r="S242" s="96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6"/>
      <c r="B243" s="13"/>
      <c r="C243" s="16"/>
      <c r="D243" s="16"/>
      <c r="E243" s="16"/>
      <c r="F243" s="16"/>
      <c r="G243" s="16"/>
      <c r="H243" s="16"/>
      <c r="I243" s="125"/>
      <c r="J243" s="16"/>
      <c r="K243" s="13"/>
      <c r="L243" s="13"/>
      <c r="M243" s="13"/>
      <c r="N243" s="16"/>
      <c r="O243" s="16"/>
      <c r="P243" s="16"/>
      <c r="Q243" s="16"/>
      <c r="R243" s="96"/>
      <c r="S243" s="96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6"/>
      <c r="B244" s="13"/>
      <c r="C244" s="16"/>
      <c r="D244" s="16"/>
      <c r="E244" s="16"/>
      <c r="F244" s="16"/>
      <c r="G244" s="16"/>
      <c r="H244" s="16"/>
      <c r="I244" s="125"/>
      <c r="J244" s="16"/>
      <c r="K244" s="13"/>
      <c r="L244" s="13"/>
      <c r="M244" s="13"/>
      <c r="N244" s="16"/>
      <c r="O244" s="16"/>
      <c r="P244" s="16"/>
      <c r="Q244" s="16"/>
      <c r="R244" s="96"/>
      <c r="S244" s="96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6"/>
      <c r="B245" s="13"/>
      <c r="C245" s="16"/>
      <c r="D245" s="16"/>
      <c r="E245" s="16"/>
      <c r="F245" s="16"/>
      <c r="G245" s="16"/>
      <c r="H245" s="16"/>
      <c r="I245" s="125"/>
      <c r="J245" s="16"/>
      <c r="K245" s="13"/>
      <c r="L245" s="13"/>
      <c r="M245" s="13"/>
      <c r="N245" s="16"/>
      <c r="O245" s="16"/>
      <c r="P245" s="16"/>
      <c r="Q245" s="16"/>
      <c r="R245" s="96"/>
      <c r="S245" s="96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6"/>
      <c r="B246" s="13"/>
      <c r="C246" s="16"/>
      <c r="D246" s="16"/>
      <c r="E246" s="16"/>
      <c r="F246" s="16"/>
      <c r="G246" s="16"/>
      <c r="H246" s="16"/>
      <c r="I246" s="125"/>
      <c r="J246" s="16"/>
      <c r="K246" s="13"/>
      <c r="L246" s="13"/>
      <c r="M246" s="13"/>
      <c r="N246" s="16"/>
      <c r="O246" s="16"/>
      <c r="P246" s="16"/>
      <c r="Q246" s="16"/>
      <c r="R246" s="96"/>
      <c r="S246" s="96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6"/>
      <c r="B247" s="13"/>
      <c r="C247" s="16"/>
      <c r="D247" s="16"/>
      <c r="E247" s="16"/>
      <c r="F247" s="16"/>
      <c r="G247" s="16"/>
      <c r="H247" s="16"/>
      <c r="I247" s="125"/>
      <c r="J247" s="16"/>
      <c r="K247" s="13"/>
      <c r="L247" s="13"/>
      <c r="M247" s="13"/>
      <c r="N247" s="16"/>
      <c r="O247" s="16"/>
      <c r="P247" s="16"/>
      <c r="Q247" s="16"/>
      <c r="R247" s="96"/>
      <c r="S247" s="96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6"/>
      <c r="B248" s="13"/>
      <c r="C248" s="16"/>
      <c r="D248" s="16"/>
      <c r="E248" s="16"/>
      <c r="F248" s="16"/>
      <c r="G248" s="16"/>
      <c r="H248" s="16"/>
      <c r="I248" s="125"/>
      <c r="J248" s="16"/>
      <c r="K248" s="13"/>
      <c r="L248" s="13"/>
      <c r="M248" s="13"/>
      <c r="N248" s="16"/>
      <c r="O248" s="16"/>
      <c r="P248" s="16"/>
      <c r="Q248" s="16"/>
      <c r="R248" s="96"/>
      <c r="S248" s="96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6"/>
      <c r="B249" s="13"/>
      <c r="C249" s="16"/>
      <c r="D249" s="16"/>
      <c r="E249" s="16"/>
      <c r="F249" s="16"/>
      <c r="G249" s="16"/>
      <c r="H249" s="16"/>
      <c r="I249" s="125"/>
      <c r="J249" s="16"/>
      <c r="K249" s="13"/>
      <c r="L249" s="13"/>
      <c r="M249" s="13"/>
      <c r="N249" s="16"/>
      <c r="O249" s="16"/>
      <c r="P249" s="16"/>
      <c r="Q249" s="16"/>
      <c r="R249" s="96"/>
      <c r="S249" s="96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6"/>
      <c r="B250" s="13"/>
      <c r="C250" s="16"/>
      <c r="D250" s="16"/>
      <c r="E250" s="16"/>
      <c r="F250" s="16"/>
      <c r="G250" s="16"/>
      <c r="H250" s="16"/>
      <c r="I250" s="125"/>
      <c r="J250" s="16"/>
      <c r="K250" s="13"/>
      <c r="L250" s="13"/>
      <c r="M250" s="13"/>
      <c r="N250" s="16"/>
      <c r="O250" s="16"/>
      <c r="P250" s="16"/>
      <c r="Q250" s="16"/>
      <c r="R250" s="96"/>
      <c r="S250" s="96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6"/>
      <c r="B251" s="13"/>
      <c r="C251" s="16"/>
      <c r="D251" s="16"/>
      <c r="E251" s="16"/>
      <c r="F251" s="16"/>
      <c r="G251" s="16"/>
      <c r="H251" s="16"/>
      <c r="I251" s="125"/>
      <c r="J251" s="16"/>
      <c r="K251" s="13"/>
      <c r="L251" s="13"/>
      <c r="M251" s="13"/>
      <c r="N251" s="16"/>
      <c r="O251" s="16"/>
      <c r="P251" s="16"/>
      <c r="Q251" s="16"/>
      <c r="R251" s="96"/>
      <c r="S251" s="96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6"/>
      <c r="B252" s="13"/>
      <c r="C252" s="16"/>
      <c r="D252" s="16"/>
      <c r="E252" s="16"/>
      <c r="F252" s="16"/>
      <c r="G252" s="16"/>
      <c r="H252" s="16"/>
      <c r="I252" s="125"/>
      <c r="J252" s="16"/>
      <c r="K252" s="13"/>
      <c r="L252" s="13"/>
      <c r="M252" s="13"/>
      <c r="N252" s="16"/>
      <c r="O252" s="16"/>
      <c r="P252" s="16"/>
      <c r="Q252" s="16"/>
      <c r="R252" s="96"/>
      <c r="S252" s="96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6"/>
      <c r="B253" s="13"/>
      <c r="C253" s="16"/>
      <c r="D253" s="16"/>
      <c r="E253" s="16"/>
      <c r="F253" s="16"/>
      <c r="G253" s="16"/>
      <c r="H253" s="16"/>
      <c r="I253" s="125"/>
      <c r="J253" s="16"/>
      <c r="K253" s="13"/>
      <c r="L253" s="13"/>
      <c r="M253" s="13"/>
      <c r="N253" s="16"/>
      <c r="O253" s="16"/>
      <c r="P253" s="16"/>
      <c r="Q253" s="16"/>
      <c r="R253" s="96"/>
      <c r="S253" s="96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6"/>
      <c r="B254" s="13"/>
      <c r="C254" s="16"/>
      <c r="D254" s="16"/>
      <c r="E254" s="16"/>
      <c r="F254" s="16"/>
      <c r="G254" s="16"/>
      <c r="H254" s="16"/>
      <c r="I254" s="125"/>
      <c r="J254" s="16"/>
      <c r="K254" s="13"/>
      <c r="L254" s="13"/>
      <c r="M254" s="13"/>
      <c r="N254" s="16"/>
      <c r="O254" s="16"/>
      <c r="P254" s="16"/>
      <c r="Q254" s="16"/>
      <c r="R254" s="96"/>
      <c r="S254" s="96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6"/>
      <c r="B255" s="13"/>
      <c r="C255" s="16"/>
      <c r="D255" s="16"/>
      <c r="E255" s="16"/>
      <c r="F255" s="16"/>
      <c r="G255" s="16"/>
      <c r="H255" s="16"/>
      <c r="I255" s="125"/>
      <c r="J255" s="16"/>
      <c r="K255" s="13"/>
      <c r="L255" s="13"/>
      <c r="M255" s="13"/>
      <c r="N255" s="16"/>
      <c r="O255" s="16"/>
      <c r="P255" s="16"/>
      <c r="Q255" s="16"/>
      <c r="R255" s="96"/>
      <c r="S255" s="96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6"/>
      <c r="B256" s="13"/>
      <c r="C256" s="16"/>
      <c r="D256" s="16"/>
      <c r="E256" s="16"/>
      <c r="F256" s="16"/>
      <c r="G256" s="16"/>
      <c r="H256" s="16"/>
      <c r="I256" s="125"/>
      <c r="J256" s="16"/>
      <c r="K256" s="13"/>
      <c r="L256" s="13"/>
      <c r="M256" s="13"/>
      <c r="N256" s="16"/>
      <c r="O256" s="16"/>
      <c r="P256" s="16"/>
      <c r="Q256" s="16"/>
      <c r="R256" s="96"/>
      <c r="S256" s="96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6"/>
      <c r="B257" s="13"/>
      <c r="C257" s="16"/>
      <c r="D257" s="16"/>
      <c r="E257" s="16"/>
      <c r="F257" s="16"/>
      <c r="G257" s="16"/>
      <c r="H257" s="16"/>
      <c r="I257" s="125"/>
      <c r="J257" s="16"/>
      <c r="K257" s="13"/>
      <c r="L257" s="13"/>
      <c r="M257" s="13"/>
      <c r="N257" s="16"/>
      <c r="O257" s="16"/>
      <c r="P257" s="16"/>
      <c r="Q257" s="16"/>
      <c r="R257" s="96"/>
      <c r="S257" s="96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6"/>
      <c r="B258" s="13"/>
      <c r="C258" s="16"/>
      <c r="D258" s="16"/>
      <c r="E258" s="16"/>
      <c r="F258" s="16"/>
      <c r="G258" s="16"/>
      <c r="H258" s="16"/>
      <c r="I258" s="125"/>
      <c r="J258" s="16"/>
      <c r="K258" s="13"/>
      <c r="L258" s="13"/>
      <c r="M258" s="13"/>
      <c r="N258" s="16"/>
      <c r="O258" s="16"/>
      <c r="P258" s="16"/>
      <c r="Q258" s="16"/>
      <c r="R258" s="96"/>
      <c r="S258" s="96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6"/>
      <c r="B259" s="13"/>
      <c r="C259" s="16"/>
      <c r="D259" s="16"/>
      <c r="E259" s="16"/>
      <c r="F259" s="16"/>
      <c r="G259" s="16"/>
      <c r="H259" s="16"/>
      <c r="I259" s="125"/>
      <c r="J259" s="16"/>
      <c r="K259" s="13"/>
      <c r="L259" s="13"/>
      <c r="M259" s="13"/>
      <c r="N259" s="16"/>
      <c r="O259" s="16"/>
      <c r="P259" s="16"/>
      <c r="Q259" s="16"/>
      <c r="R259" s="96"/>
      <c r="S259" s="96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6"/>
      <c r="B260" s="13"/>
      <c r="C260" s="16"/>
      <c r="D260" s="16"/>
      <c r="E260" s="16"/>
      <c r="F260" s="16"/>
      <c r="G260" s="16"/>
      <c r="H260" s="16"/>
      <c r="I260" s="125"/>
      <c r="J260" s="16"/>
      <c r="K260" s="13"/>
      <c r="L260" s="13"/>
      <c r="M260" s="13"/>
      <c r="N260" s="16"/>
      <c r="O260" s="16"/>
      <c r="P260" s="16"/>
      <c r="Q260" s="16"/>
      <c r="R260" s="96"/>
      <c r="S260" s="96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6"/>
      <c r="B261" s="13"/>
      <c r="C261" s="16"/>
      <c r="D261" s="16"/>
      <c r="E261" s="16"/>
      <c r="F261" s="16"/>
      <c r="G261" s="16"/>
      <c r="H261" s="16"/>
      <c r="I261" s="125"/>
      <c r="J261" s="16"/>
      <c r="K261" s="13"/>
      <c r="L261" s="13"/>
      <c r="M261" s="13"/>
      <c r="N261" s="16"/>
      <c r="O261" s="16"/>
      <c r="P261" s="16"/>
      <c r="Q261" s="16"/>
      <c r="R261" s="96"/>
      <c r="S261" s="96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6"/>
      <c r="B262" s="13"/>
      <c r="C262" s="16"/>
      <c r="D262" s="16"/>
      <c r="E262" s="16"/>
      <c r="F262" s="16"/>
      <c r="G262" s="16"/>
      <c r="H262" s="16"/>
      <c r="I262" s="125"/>
      <c r="J262" s="16"/>
      <c r="K262" s="13"/>
      <c r="L262" s="13"/>
      <c r="M262" s="13"/>
      <c r="N262" s="16"/>
      <c r="O262" s="16"/>
      <c r="P262" s="16"/>
      <c r="Q262" s="16"/>
      <c r="R262" s="96"/>
      <c r="S262" s="96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6"/>
      <c r="B263" s="13"/>
      <c r="C263" s="16"/>
      <c r="D263" s="16"/>
      <c r="E263" s="16"/>
      <c r="F263" s="16"/>
      <c r="G263" s="16"/>
      <c r="H263" s="16"/>
      <c r="I263" s="125"/>
      <c r="J263" s="16"/>
      <c r="K263" s="13"/>
      <c r="L263" s="13"/>
      <c r="M263" s="13"/>
      <c r="N263" s="16"/>
      <c r="O263" s="16"/>
      <c r="P263" s="16"/>
      <c r="Q263" s="16"/>
      <c r="R263" s="96"/>
      <c r="S263" s="96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6"/>
      <c r="B264" s="13"/>
      <c r="C264" s="16"/>
      <c r="D264" s="16"/>
      <c r="E264" s="16"/>
      <c r="F264" s="16"/>
      <c r="G264" s="16"/>
      <c r="H264" s="16"/>
      <c r="I264" s="125"/>
      <c r="J264" s="16"/>
      <c r="K264" s="13"/>
      <c r="L264" s="13"/>
      <c r="M264" s="13"/>
      <c r="N264" s="16"/>
      <c r="O264" s="16"/>
      <c r="P264" s="16"/>
      <c r="Q264" s="16"/>
      <c r="R264" s="96"/>
      <c r="S264" s="96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6"/>
      <c r="B265" s="13"/>
      <c r="C265" s="16"/>
      <c r="D265" s="16"/>
      <c r="E265" s="16"/>
      <c r="F265" s="16"/>
      <c r="G265" s="16"/>
      <c r="H265" s="16"/>
      <c r="I265" s="125"/>
      <c r="J265" s="16"/>
      <c r="K265" s="13"/>
      <c r="L265" s="13"/>
      <c r="M265" s="13"/>
      <c r="N265" s="16"/>
      <c r="O265" s="16"/>
      <c r="P265" s="16"/>
      <c r="Q265" s="16"/>
      <c r="R265" s="96"/>
      <c r="S265" s="96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6"/>
      <c r="B266" s="13"/>
      <c r="C266" s="16"/>
      <c r="D266" s="16"/>
      <c r="E266" s="16"/>
      <c r="F266" s="16"/>
      <c r="G266" s="16"/>
      <c r="H266" s="16"/>
      <c r="I266" s="125"/>
      <c r="J266" s="16"/>
      <c r="K266" s="13"/>
      <c r="L266" s="13"/>
      <c r="M266" s="13"/>
      <c r="N266" s="16"/>
      <c r="O266" s="16"/>
      <c r="P266" s="16"/>
      <c r="Q266" s="16"/>
      <c r="R266" s="96"/>
      <c r="S266" s="96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6"/>
      <c r="B267" s="13"/>
      <c r="C267" s="16"/>
      <c r="D267" s="16"/>
      <c r="E267" s="16"/>
      <c r="F267" s="16"/>
      <c r="G267" s="16"/>
      <c r="H267" s="16"/>
      <c r="I267" s="125"/>
      <c r="J267" s="16"/>
      <c r="K267" s="13"/>
      <c r="L267" s="13"/>
      <c r="M267" s="13"/>
      <c r="N267" s="16"/>
      <c r="O267" s="16"/>
      <c r="P267" s="16"/>
      <c r="Q267" s="16"/>
      <c r="R267" s="96"/>
      <c r="S267" s="96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6"/>
      <c r="B268" s="13"/>
      <c r="C268" s="16"/>
      <c r="D268" s="16"/>
      <c r="E268" s="16"/>
      <c r="F268" s="16"/>
      <c r="G268" s="16"/>
      <c r="H268" s="16"/>
      <c r="I268" s="125"/>
      <c r="J268" s="16"/>
      <c r="K268" s="13"/>
      <c r="L268" s="13"/>
      <c r="M268" s="13"/>
      <c r="N268" s="16"/>
      <c r="O268" s="16"/>
      <c r="P268" s="16"/>
      <c r="Q268" s="16"/>
      <c r="R268" s="96"/>
      <c r="S268" s="96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6"/>
      <c r="B269" s="13"/>
      <c r="C269" s="16"/>
      <c r="D269" s="16"/>
      <c r="E269" s="16"/>
      <c r="F269" s="16"/>
      <c r="G269" s="16"/>
      <c r="H269" s="16"/>
      <c r="I269" s="125"/>
      <c r="J269" s="16"/>
      <c r="K269" s="13"/>
      <c r="L269" s="13"/>
      <c r="M269" s="13"/>
      <c r="N269" s="16"/>
      <c r="O269" s="16"/>
      <c r="P269" s="16"/>
      <c r="Q269" s="16"/>
      <c r="R269" s="96"/>
      <c r="S269" s="96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6"/>
      <c r="B270" s="13"/>
      <c r="C270" s="16"/>
      <c r="D270" s="16"/>
      <c r="E270" s="16"/>
      <c r="F270" s="16"/>
      <c r="G270" s="16"/>
      <c r="H270" s="16"/>
      <c r="I270" s="125"/>
      <c r="J270" s="16"/>
      <c r="K270" s="13"/>
      <c r="L270" s="13"/>
      <c r="M270" s="13"/>
      <c r="N270" s="16"/>
      <c r="O270" s="16"/>
      <c r="P270" s="16"/>
      <c r="Q270" s="16"/>
      <c r="R270" s="96"/>
      <c r="S270" s="96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6"/>
      <c r="B271" s="13"/>
      <c r="C271" s="16"/>
      <c r="D271" s="16"/>
      <c r="E271" s="16"/>
      <c r="F271" s="16"/>
      <c r="G271" s="16"/>
      <c r="H271" s="16"/>
      <c r="I271" s="125"/>
      <c r="J271" s="16"/>
      <c r="K271" s="13"/>
      <c r="L271" s="13"/>
      <c r="M271" s="13"/>
      <c r="N271" s="16"/>
      <c r="O271" s="16"/>
      <c r="P271" s="16"/>
      <c r="Q271" s="16"/>
      <c r="R271" s="96"/>
      <c r="S271" s="96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6"/>
      <c r="B272" s="13"/>
      <c r="C272" s="16"/>
      <c r="D272" s="16"/>
      <c r="E272" s="16"/>
      <c r="F272" s="16"/>
      <c r="G272" s="16"/>
      <c r="H272" s="16"/>
      <c r="I272" s="125"/>
      <c r="J272" s="16"/>
      <c r="K272" s="13"/>
      <c r="L272" s="13"/>
      <c r="M272" s="13"/>
      <c r="N272" s="16"/>
      <c r="O272" s="16"/>
      <c r="P272" s="16"/>
      <c r="Q272" s="16"/>
      <c r="R272" s="96"/>
      <c r="S272" s="96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6"/>
      <c r="B273" s="13"/>
      <c r="C273" s="16"/>
      <c r="D273" s="16"/>
      <c r="E273" s="16"/>
      <c r="F273" s="16"/>
      <c r="G273" s="16"/>
      <c r="H273" s="16"/>
      <c r="I273" s="125"/>
      <c r="J273" s="16"/>
      <c r="K273" s="13"/>
      <c r="L273" s="13"/>
      <c r="M273" s="13"/>
      <c r="N273" s="16"/>
      <c r="O273" s="16"/>
      <c r="P273" s="16"/>
      <c r="Q273" s="16"/>
      <c r="R273" s="96"/>
      <c r="S273" s="96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6"/>
      <c r="B274" s="13"/>
      <c r="C274" s="16"/>
      <c r="D274" s="16"/>
      <c r="E274" s="16"/>
      <c r="F274" s="16"/>
      <c r="G274" s="16"/>
      <c r="H274" s="16"/>
      <c r="I274" s="125"/>
      <c r="J274" s="16"/>
      <c r="K274" s="13"/>
      <c r="L274" s="13"/>
      <c r="M274" s="13"/>
      <c r="N274" s="16"/>
      <c r="O274" s="16"/>
      <c r="P274" s="16"/>
      <c r="Q274" s="16"/>
      <c r="R274" s="96"/>
      <c r="S274" s="96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6"/>
      <c r="B275" s="13"/>
      <c r="C275" s="16"/>
      <c r="D275" s="16"/>
      <c r="E275" s="16"/>
      <c r="F275" s="16"/>
      <c r="G275" s="16"/>
      <c r="H275" s="16"/>
      <c r="I275" s="125"/>
      <c r="J275" s="16"/>
      <c r="K275" s="13"/>
      <c r="L275" s="13"/>
      <c r="M275" s="13"/>
      <c r="N275" s="16"/>
      <c r="O275" s="16"/>
      <c r="P275" s="16"/>
      <c r="Q275" s="16"/>
      <c r="R275" s="96"/>
      <c r="S275" s="96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6"/>
      <c r="B276" s="13"/>
      <c r="C276" s="16"/>
      <c r="D276" s="16"/>
      <c r="E276" s="16"/>
      <c r="F276" s="16"/>
      <c r="G276" s="16"/>
      <c r="H276" s="16"/>
      <c r="I276" s="125"/>
      <c r="J276" s="16"/>
      <c r="K276" s="13"/>
      <c r="L276" s="13"/>
      <c r="M276" s="13"/>
      <c r="N276" s="16"/>
      <c r="O276" s="16"/>
      <c r="P276" s="16"/>
      <c r="Q276" s="16"/>
      <c r="R276" s="96"/>
      <c r="S276" s="96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6"/>
      <c r="B277" s="13"/>
      <c r="C277" s="16"/>
      <c r="D277" s="16"/>
      <c r="E277" s="16"/>
      <c r="F277" s="16"/>
      <c r="G277" s="16"/>
      <c r="H277" s="16"/>
      <c r="I277" s="125"/>
      <c r="J277" s="16"/>
      <c r="K277" s="13"/>
      <c r="L277" s="13"/>
      <c r="M277" s="13"/>
      <c r="N277" s="16"/>
      <c r="O277" s="16"/>
      <c r="P277" s="16"/>
      <c r="Q277" s="16"/>
      <c r="R277" s="96"/>
      <c r="S277" s="96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6"/>
      <c r="B278" s="13"/>
      <c r="C278" s="16"/>
      <c r="D278" s="16"/>
      <c r="E278" s="16"/>
      <c r="F278" s="16"/>
      <c r="G278" s="16"/>
      <c r="H278" s="16"/>
      <c r="I278" s="125"/>
      <c r="J278" s="16"/>
      <c r="K278" s="13"/>
      <c r="L278" s="13"/>
      <c r="M278" s="13"/>
      <c r="N278" s="16"/>
      <c r="O278" s="16"/>
      <c r="P278" s="16"/>
      <c r="Q278" s="16"/>
      <c r="R278" s="96"/>
      <c r="S278" s="96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6"/>
      <c r="B279" s="13"/>
      <c r="C279" s="16"/>
      <c r="D279" s="16"/>
      <c r="E279" s="16"/>
      <c r="F279" s="16"/>
      <c r="G279" s="16"/>
      <c r="H279" s="16"/>
      <c r="I279" s="125"/>
      <c r="J279" s="16"/>
      <c r="K279" s="13"/>
      <c r="L279" s="13"/>
      <c r="M279" s="13"/>
      <c r="N279" s="16"/>
      <c r="O279" s="16"/>
      <c r="P279" s="16"/>
      <c r="Q279" s="16"/>
      <c r="R279" s="96"/>
      <c r="S279" s="96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6"/>
      <c r="B280" s="13"/>
      <c r="C280" s="16"/>
      <c r="D280" s="16"/>
      <c r="E280" s="16"/>
      <c r="F280" s="16"/>
      <c r="G280" s="16"/>
      <c r="H280" s="16"/>
      <c r="I280" s="125"/>
      <c r="J280" s="16"/>
      <c r="K280" s="13"/>
      <c r="L280" s="13"/>
      <c r="M280" s="13"/>
      <c r="N280" s="16"/>
      <c r="O280" s="16"/>
      <c r="P280" s="16"/>
      <c r="Q280" s="16"/>
      <c r="R280" s="96"/>
      <c r="S280" s="96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6"/>
      <c r="B281" s="13"/>
      <c r="C281" s="16"/>
      <c r="D281" s="16"/>
      <c r="E281" s="16"/>
      <c r="F281" s="16"/>
      <c r="G281" s="16"/>
      <c r="H281" s="16"/>
      <c r="I281" s="125"/>
      <c r="J281" s="16"/>
      <c r="K281" s="13"/>
      <c r="L281" s="13"/>
      <c r="M281" s="13"/>
      <c r="N281" s="16"/>
      <c r="O281" s="16"/>
      <c r="P281" s="16"/>
      <c r="Q281" s="16"/>
      <c r="R281" s="96"/>
      <c r="S281" s="96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6"/>
      <c r="B282" s="13"/>
      <c r="C282" s="16"/>
      <c r="D282" s="16"/>
      <c r="E282" s="16"/>
      <c r="F282" s="16"/>
      <c r="G282" s="16"/>
      <c r="H282" s="16"/>
      <c r="I282" s="125"/>
      <c r="J282" s="16"/>
      <c r="K282" s="13"/>
      <c r="L282" s="13"/>
      <c r="M282" s="13"/>
      <c r="N282" s="16"/>
      <c r="O282" s="16"/>
      <c r="P282" s="16"/>
      <c r="Q282" s="16"/>
      <c r="R282" s="96"/>
      <c r="S282" s="96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6"/>
      <c r="B283" s="13"/>
      <c r="C283" s="16"/>
      <c r="D283" s="16"/>
      <c r="E283" s="16"/>
      <c r="F283" s="16"/>
      <c r="G283" s="16"/>
      <c r="H283" s="16"/>
      <c r="I283" s="125"/>
      <c r="J283" s="16"/>
      <c r="K283" s="13"/>
      <c r="L283" s="13"/>
      <c r="M283" s="13"/>
      <c r="N283" s="16"/>
      <c r="O283" s="16"/>
      <c r="P283" s="16"/>
      <c r="Q283" s="16"/>
      <c r="R283" s="96"/>
      <c r="S283" s="96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6"/>
      <c r="B284" s="13"/>
      <c r="C284" s="16"/>
      <c r="D284" s="16"/>
      <c r="E284" s="16"/>
      <c r="F284" s="16"/>
      <c r="G284" s="16"/>
      <c r="H284" s="16"/>
      <c r="I284" s="125"/>
      <c r="J284" s="16"/>
      <c r="K284" s="13"/>
      <c r="L284" s="13"/>
      <c r="M284" s="13"/>
      <c r="N284" s="16"/>
      <c r="O284" s="16"/>
      <c r="P284" s="16"/>
      <c r="Q284" s="16"/>
      <c r="R284" s="96"/>
      <c r="S284" s="96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6"/>
      <c r="B285" s="13"/>
      <c r="C285" s="16"/>
      <c r="D285" s="16"/>
      <c r="E285" s="16"/>
      <c r="F285" s="16"/>
      <c r="G285" s="16"/>
      <c r="H285" s="16"/>
      <c r="I285" s="125"/>
      <c r="J285" s="16"/>
      <c r="K285" s="13"/>
      <c r="L285" s="13"/>
      <c r="M285" s="13"/>
      <c r="N285" s="16"/>
      <c r="O285" s="16"/>
      <c r="P285" s="16"/>
      <c r="Q285" s="16"/>
      <c r="R285" s="96"/>
      <c r="S285" s="96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6"/>
      <c r="B286" s="13"/>
      <c r="C286" s="16"/>
      <c r="D286" s="16"/>
      <c r="E286" s="16"/>
      <c r="F286" s="16"/>
      <c r="G286" s="16"/>
      <c r="H286" s="16"/>
      <c r="I286" s="125"/>
      <c r="J286" s="16"/>
      <c r="K286" s="13"/>
      <c r="L286" s="13"/>
      <c r="M286" s="13"/>
      <c r="N286" s="16"/>
      <c r="O286" s="16"/>
      <c r="P286" s="16"/>
      <c r="Q286" s="16"/>
      <c r="R286" s="96"/>
      <c r="S286" s="96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6"/>
      <c r="B287" s="13"/>
      <c r="C287" s="16"/>
      <c r="D287" s="16"/>
      <c r="E287" s="16"/>
      <c r="F287" s="16"/>
      <c r="G287" s="16"/>
      <c r="H287" s="16"/>
      <c r="I287" s="125"/>
      <c r="J287" s="16"/>
      <c r="K287" s="13"/>
      <c r="L287" s="13"/>
      <c r="M287" s="13"/>
      <c r="N287" s="16"/>
      <c r="O287" s="16"/>
      <c r="P287" s="16"/>
      <c r="Q287" s="16"/>
      <c r="R287" s="96"/>
      <c r="S287" s="96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6"/>
      <c r="B288" s="13"/>
      <c r="C288" s="16"/>
      <c r="D288" s="16"/>
      <c r="E288" s="16"/>
      <c r="F288" s="16"/>
      <c r="G288" s="16"/>
      <c r="H288" s="16"/>
      <c r="I288" s="125"/>
      <c r="J288" s="16"/>
      <c r="K288" s="13"/>
      <c r="L288" s="13"/>
      <c r="M288" s="13"/>
      <c r="N288" s="16"/>
      <c r="O288" s="16"/>
      <c r="P288" s="16"/>
      <c r="Q288" s="16"/>
      <c r="R288" s="96"/>
      <c r="S288" s="96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6"/>
      <c r="B289" s="13"/>
      <c r="C289" s="16"/>
      <c r="D289" s="16"/>
      <c r="E289" s="16"/>
      <c r="F289" s="16"/>
      <c r="G289" s="16"/>
      <c r="H289" s="16"/>
      <c r="I289" s="125"/>
      <c r="J289" s="16"/>
      <c r="K289" s="13"/>
      <c r="L289" s="13"/>
      <c r="M289" s="13"/>
      <c r="N289" s="16"/>
      <c r="O289" s="16"/>
      <c r="P289" s="16"/>
      <c r="Q289" s="16"/>
      <c r="R289" s="96"/>
      <c r="S289" s="96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6"/>
      <c r="B290" s="13"/>
      <c r="C290" s="16"/>
      <c r="D290" s="16"/>
      <c r="E290" s="16"/>
      <c r="F290" s="16"/>
      <c r="G290" s="16"/>
      <c r="H290" s="16"/>
      <c r="I290" s="125"/>
      <c r="J290" s="16"/>
      <c r="K290" s="13"/>
      <c r="L290" s="13"/>
      <c r="M290" s="13"/>
      <c r="N290" s="16"/>
      <c r="O290" s="16"/>
      <c r="P290" s="16"/>
      <c r="Q290" s="16"/>
      <c r="R290" s="96"/>
      <c r="S290" s="96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6"/>
      <c r="B291" s="13"/>
      <c r="C291" s="16"/>
      <c r="D291" s="16"/>
      <c r="E291" s="16"/>
      <c r="F291" s="16"/>
      <c r="G291" s="16"/>
      <c r="H291" s="16"/>
      <c r="I291" s="125"/>
      <c r="J291" s="16"/>
      <c r="K291" s="13"/>
      <c r="L291" s="13"/>
      <c r="M291" s="13"/>
      <c r="N291" s="16"/>
      <c r="O291" s="16"/>
      <c r="P291" s="16"/>
      <c r="Q291" s="16"/>
      <c r="R291" s="96"/>
      <c r="S291" s="96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6"/>
      <c r="B292" s="13"/>
      <c r="C292" s="16"/>
      <c r="D292" s="16"/>
      <c r="E292" s="16"/>
      <c r="F292" s="16"/>
      <c r="G292" s="16"/>
      <c r="H292" s="16"/>
      <c r="I292" s="125"/>
      <c r="J292" s="16"/>
      <c r="K292" s="13"/>
      <c r="L292" s="13"/>
      <c r="M292" s="13"/>
      <c r="N292" s="16"/>
      <c r="O292" s="16"/>
      <c r="P292" s="16"/>
      <c r="Q292" s="16"/>
      <c r="R292" s="96"/>
      <c r="S292" s="96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6"/>
      <c r="B293" s="13"/>
      <c r="C293" s="16"/>
      <c r="D293" s="16"/>
      <c r="E293" s="16"/>
      <c r="F293" s="16"/>
      <c r="G293" s="16"/>
      <c r="H293" s="16"/>
      <c r="I293" s="125"/>
      <c r="J293" s="16"/>
      <c r="K293" s="13"/>
      <c r="L293" s="13"/>
      <c r="M293" s="13"/>
      <c r="N293" s="16"/>
      <c r="O293" s="16"/>
      <c r="P293" s="16"/>
      <c r="Q293" s="16"/>
      <c r="R293" s="96"/>
      <c r="S293" s="9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6"/>
      <c r="B294" s="13"/>
      <c r="C294" s="16"/>
      <c r="D294" s="16"/>
      <c r="E294" s="16"/>
      <c r="F294" s="16"/>
      <c r="G294" s="16"/>
      <c r="H294" s="16"/>
      <c r="I294" s="125"/>
      <c r="J294" s="16"/>
      <c r="K294" s="13"/>
      <c r="L294" s="13"/>
      <c r="M294" s="13"/>
      <c r="N294" s="16"/>
      <c r="O294" s="16"/>
      <c r="P294" s="16"/>
      <c r="Q294" s="16"/>
      <c r="R294" s="96"/>
      <c r="S294" s="96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6"/>
      <c r="B295" s="13"/>
      <c r="C295" s="16"/>
      <c r="D295" s="16"/>
      <c r="E295" s="16"/>
      <c r="F295" s="16"/>
      <c r="G295" s="16"/>
      <c r="H295" s="16"/>
      <c r="I295" s="125"/>
      <c r="J295" s="16"/>
      <c r="K295" s="13"/>
      <c r="L295" s="13"/>
      <c r="M295" s="13"/>
      <c r="N295" s="16"/>
      <c r="O295" s="16"/>
      <c r="P295" s="16"/>
      <c r="Q295" s="16"/>
      <c r="R295" s="96"/>
      <c r="S295" s="96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6"/>
      <c r="B296" s="13"/>
      <c r="C296" s="16"/>
      <c r="D296" s="16"/>
      <c r="E296" s="16"/>
      <c r="F296" s="16"/>
      <c r="G296" s="16"/>
      <c r="H296" s="16"/>
      <c r="I296" s="125"/>
      <c r="J296" s="16"/>
      <c r="K296" s="13"/>
      <c r="L296" s="13"/>
      <c r="M296" s="13"/>
      <c r="N296" s="16"/>
      <c r="O296" s="16"/>
      <c r="P296" s="16"/>
      <c r="Q296" s="16"/>
      <c r="R296" s="96"/>
      <c r="S296" s="96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6"/>
      <c r="B297" s="13"/>
      <c r="C297" s="16"/>
      <c r="D297" s="16"/>
      <c r="E297" s="16"/>
      <c r="F297" s="16"/>
      <c r="G297" s="16"/>
      <c r="H297" s="16"/>
      <c r="I297" s="125"/>
      <c r="J297" s="16"/>
      <c r="K297" s="13"/>
      <c r="L297" s="13"/>
      <c r="M297" s="13"/>
      <c r="N297" s="16"/>
      <c r="O297" s="16"/>
      <c r="P297" s="16"/>
      <c r="Q297" s="16"/>
      <c r="R297" s="96"/>
      <c r="S297" s="96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6"/>
      <c r="B298" s="13"/>
      <c r="C298" s="16"/>
      <c r="D298" s="16"/>
      <c r="E298" s="16"/>
      <c r="F298" s="16"/>
      <c r="G298" s="16"/>
      <c r="H298" s="16"/>
      <c r="I298" s="125"/>
      <c r="J298" s="16"/>
      <c r="K298" s="13"/>
      <c r="L298" s="13"/>
      <c r="M298" s="13"/>
      <c r="N298" s="16"/>
      <c r="O298" s="16"/>
      <c r="P298" s="16"/>
      <c r="Q298" s="16"/>
      <c r="R298" s="96"/>
      <c r="S298" s="96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6"/>
      <c r="B299" s="13"/>
      <c r="C299" s="16"/>
      <c r="D299" s="16"/>
      <c r="E299" s="16"/>
      <c r="F299" s="16"/>
      <c r="G299" s="16"/>
      <c r="H299" s="16"/>
      <c r="I299" s="125"/>
      <c r="J299" s="16"/>
      <c r="K299" s="13"/>
      <c r="L299" s="13"/>
      <c r="M299" s="13"/>
      <c r="N299" s="16"/>
      <c r="O299" s="16"/>
      <c r="P299" s="16"/>
      <c r="Q299" s="16"/>
      <c r="R299" s="96"/>
      <c r="S299" s="96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6"/>
      <c r="B300" s="13"/>
      <c r="C300" s="16"/>
      <c r="D300" s="16"/>
      <c r="E300" s="16"/>
      <c r="F300" s="16"/>
      <c r="G300" s="16"/>
      <c r="H300" s="16"/>
      <c r="I300" s="125"/>
      <c r="J300" s="16"/>
      <c r="K300" s="13"/>
      <c r="L300" s="13"/>
      <c r="M300" s="13"/>
      <c r="N300" s="16"/>
      <c r="O300" s="16"/>
      <c r="P300" s="16"/>
      <c r="Q300" s="16"/>
      <c r="R300" s="96"/>
      <c r="S300" s="96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6"/>
      <c r="B301" s="13"/>
      <c r="C301" s="16"/>
      <c r="D301" s="16"/>
      <c r="E301" s="16"/>
      <c r="F301" s="16"/>
      <c r="G301" s="16"/>
      <c r="H301" s="16"/>
      <c r="I301" s="125"/>
      <c r="J301" s="16"/>
      <c r="K301" s="13"/>
      <c r="L301" s="13"/>
      <c r="M301" s="13"/>
      <c r="N301" s="16"/>
      <c r="O301" s="16"/>
      <c r="P301" s="16"/>
      <c r="Q301" s="16"/>
      <c r="R301" s="96"/>
      <c r="S301" s="96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6"/>
      <c r="B302" s="13"/>
      <c r="C302" s="16"/>
      <c r="D302" s="16"/>
      <c r="E302" s="16"/>
      <c r="F302" s="16"/>
      <c r="G302" s="16"/>
      <c r="H302" s="16"/>
      <c r="I302" s="125"/>
      <c r="J302" s="16"/>
      <c r="K302" s="13"/>
      <c r="L302" s="13"/>
      <c r="M302" s="13"/>
      <c r="N302" s="16"/>
      <c r="O302" s="16"/>
      <c r="P302" s="16"/>
      <c r="Q302" s="16"/>
      <c r="R302" s="96"/>
      <c r="S302" s="96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6"/>
      <c r="B303" s="13"/>
      <c r="C303" s="16"/>
      <c r="D303" s="16"/>
      <c r="E303" s="16"/>
      <c r="F303" s="16"/>
      <c r="G303" s="16"/>
      <c r="H303" s="16"/>
      <c r="I303" s="125"/>
      <c r="J303" s="16"/>
      <c r="K303" s="13"/>
      <c r="L303" s="13"/>
      <c r="M303" s="13"/>
      <c r="N303" s="16"/>
      <c r="O303" s="16"/>
      <c r="P303" s="16"/>
      <c r="Q303" s="16"/>
      <c r="R303" s="96"/>
      <c r="S303" s="96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6"/>
      <c r="B304" s="13"/>
      <c r="C304" s="16"/>
      <c r="D304" s="16"/>
      <c r="E304" s="16"/>
      <c r="F304" s="16"/>
      <c r="G304" s="16"/>
      <c r="H304" s="16"/>
      <c r="I304" s="125"/>
      <c r="J304" s="16"/>
      <c r="K304" s="13"/>
      <c r="L304" s="13"/>
      <c r="M304" s="13"/>
      <c r="N304" s="16"/>
      <c r="O304" s="16"/>
      <c r="P304" s="16"/>
      <c r="Q304" s="16"/>
      <c r="R304" s="96"/>
      <c r="S304" s="96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6"/>
      <c r="B305" s="13"/>
      <c r="C305" s="16"/>
      <c r="D305" s="16"/>
      <c r="E305" s="16"/>
      <c r="F305" s="16"/>
      <c r="G305" s="16"/>
      <c r="H305" s="16"/>
      <c r="I305" s="125"/>
      <c r="J305" s="16"/>
      <c r="K305" s="13"/>
      <c r="L305" s="13"/>
      <c r="M305" s="13"/>
      <c r="N305" s="16"/>
      <c r="O305" s="16"/>
      <c r="P305" s="16"/>
      <c r="Q305" s="16"/>
      <c r="R305" s="96"/>
      <c r="S305" s="96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6"/>
      <c r="B306" s="13"/>
      <c r="C306" s="16"/>
      <c r="D306" s="16"/>
      <c r="E306" s="16"/>
      <c r="F306" s="16"/>
      <c r="G306" s="16"/>
      <c r="H306" s="16"/>
      <c r="I306" s="125"/>
      <c r="J306" s="16"/>
      <c r="K306" s="13"/>
      <c r="L306" s="13"/>
      <c r="M306" s="13"/>
      <c r="N306" s="16"/>
      <c r="O306" s="16"/>
      <c r="P306" s="16"/>
      <c r="Q306" s="16"/>
      <c r="R306" s="96"/>
      <c r="S306" s="96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6"/>
      <c r="B307" s="13"/>
      <c r="C307" s="16"/>
      <c r="D307" s="16"/>
      <c r="E307" s="16"/>
      <c r="F307" s="16"/>
      <c r="G307" s="16"/>
      <c r="H307" s="16"/>
      <c r="I307" s="125"/>
      <c r="J307" s="16"/>
      <c r="K307" s="13"/>
      <c r="L307" s="13"/>
      <c r="M307" s="13"/>
      <c r="N307" s="16"/>
      <c r="O307" s="16"/>
      <c r="P307" s="16"/>
      <c r="Q307" s="16"/>
      <c r="R307" s="96"/>
      <c r="S307" s="96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6"/>
      <c r="B308" s="13"/>
      <c r="C308" s="16"/>
      <c r="D308" s="16"/>
      <c r="E308" s="16"/>
      <c r="F308" s="16"/>
      <c r="G308" s="16"/>
      <c r="H308" s="16"/>
      <c r="I308" s="125"/>
      <c r="J308" s="16"/>
      <c r="K308" s="13"/>
      <c r="L308" s="13"/>
      <c r="M308" s="13"/>
      <c r="N308" s="16"/>
      <c r="O308" s="16"/>
      <c r="P308" s="16"/>
      <c r="Q308" s="16"/>
      <c r="R308" s="96"/>
      <c r="S308" s="96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6"/>
      <c r="B309" s="13"/>
      <c r="C309" s="16"/>
      <c r="D309" s="16"/>
      <c r="E309" s="16"/>
      <c r="F309" s="16"/>
      <c r="G309" s="16"/>
      <c r="H309" s="16"/>
      <c r="I309" s="125"/>
      <c r="J309" s="16"/>
      <c r="K309" s="13"/>
      <c r="L309" s="13"/>
      <c r="M309" s="13"/>
      <c r="N309" s="16"/>
      <c r="O309" s="16"/>
      <c r="P309" s="16"/>
      <c r="Q309" s="16"/>
      <c r="R309" s="96"/>
      <c r="S309" s="96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6"/>
      <c r="B310" s="13"/>
      <c r="C310" s="16"/>
      <c r="D310" s="16"/>
      <c r="E310" s="16"/>
      <c r="F310" s="16"/>
      <c r="G310" s="16"/>
      <c r="H310" s="16"/>
      <c r="I310" s="125"/>
      <c r="J310" s="16"/>
      <c r="K310" s="13"/>
      <c r="L310" s="13"/>
      <c r="M310" s="13"/>
      <c r="N310" s="16"/>
      <c r="O310" s="16"/>
      <c r="P310" s="16"/>
      <c r="Q310" s="16"/>
      <c r="R310" s="96"/>
      <c r="S310" s="96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6"/>
      <c r="B311" s="13"/>
      <c r="C311" s="16"/>
      <c r="D311" s="16"/>
      <c r="E311" s="16"/>
      <c r="F311" s="16"/>
      <c r="G311" s="16"/>
      <c r="H311" s="16"/>
      <c r="I311" s="125"/>
      <c r="J311" s="16"/>
      <c r="K311" s="13"/>
      <c r="L311" s="13"/>
      <c r="M311" s="13"/>
      <c r="N311" s="16"/>
      <c r="O311" s="16"/>
      <c r="P311" s="16"/>
      <c r="Q311" s="16"/>
      <c r="R311" s="96"/>
      <c r="S311" s="96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6"/>
      <c r="B312" s="13"/>
      <c r="C312" s="16"/>
      <c r="D312" s="16"/>
      <c r="E312" s="16"/>
      <c r="F312" s="16"/>
      <c r="G312" s="16"/>
      <c r="H312" s="16"/>
      <c r="I312" s="125"/>
      <c r="J312" s="16"/>
      <c r="K312" s="13"/>
      <c r="L312" s="13"/>
      <c r="M312" s="13"/>
      <c r="N312" s="16"/>
      <c r="O312" s="16"/>
      <c r="P312" s="16"/>
      <c r="Q312" s="16"/>
      <c r="R312" s="96"/>
      <c r="S312" s="96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6"/>
      <c r="B313" s="13"/>
      <c r="C313" s="16"/>
      <c r="D313" s="16"/>
      <c r="E313" s="16"/>
      <c r="F313" s="16"/>
      <c r="G313" s="16"/>
      <c r="H313" s="16"/>
      <c r="I313" s="125"/>
      <c r="J313" s="16"/>
      <c r="K313" s="13"/>
      <c r="L313" s="13"/>
      <c r="M313" s="13"/>
      <c r="N313" s="16"/>
      <c r="O313" s="16"/>
      <c r="P313" s="16"/>
      <c r="Q313" s="16"/>
      <c r="R313" s="96"/>
      <c r="S313" s="96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6"/>
      <c r="B314" s="13"/>
      <c r="C314" s="16"/>
      <c r="D314" s="16"/>
      <c r="E314" s="16"/>
      <c r="F314" s="16"/>
      <c r="G314" s="16"/>
      <c r="H314" s="16"/>
      <c r="I314" s="125"/>
      <c r="J314" s="16"/>
      <c r="K314" s="13"/>
      <c r="L314" s="13"/>
      <c r="M314" s="13"/>
      <c r="N314" s="16"/>
      <c r="O314" s="16"/>
      <c r="P314" s="16"/>
      <c r="Q314" s="16"/>
      <c r="R314" s="96"/>
      <c r="S314" s="96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6"/>
      <c r="B315" s="13"/>
      <c r="C315" s="16"/>
      <c r="D315" s="16"/>
      <c r="E315" s="16"/>
      <c r="F315" s="16"/>
      <c r="G315" s="16"/>
      <c r="H315" s="16"/>
      <c r="I315" s="125"/>
      <c r="J315" s="16"/>
      <c r="K315" s="13"/>
      <c r="L315" s="13"/>
      <c r="M315" s="13"/>
      <c r="N315" s="16"/>
      <c r="O315" s="16"/>
      <c r="P315" s="16"/>
      <c r="Q315" s="16"/>
      <c r="R315" s="96"/>
      <c r="S315" s="96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6"/>
      <c r="B316" s="13"/>
      <c r="C316" s="16"/>
      <c r="D316" s="16"/>
      <c r="E316" s="16"/>
      <c r="F316" s="16"/>
      <c r="G316" s="16"/>
      <c r="H316" s="16"/>
      <c r="I316" s="125"/>
      <c r="J316" s="16"/>
      <c r="K316" s="13"/>
      <c r="L316" s="13"/>
      <c r="M316" s="13"/>
      <c r="N316" s="16"/>
      <c r="O316" s="16"/>
      <c r="P316" s="16"/>
      <c r="Q316" s="16"/>
      <c r="R316" s="96"/>
      <c r="S316" s="96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6"/>
      <c r="B317" s="13"/>
      <c r="C317" s="16"/>
      <c r="D317" s="16"/>
      <c r="E317" s="16"/>
      <c r="F317" s="16"/>
      <c r="G317" s="16"/>
      <c r="H317" s="16"/>
      <c r="I317" s="125"/>
      <c r="J317" s="16"/>
      <c r="K317" s="13"/>
      <c r="L317" s="13"/>
      <c r="M317" s="13"/>
      <c r="N317" s="16"/>
      <c r="O317" s="16"/>
      <c r="P317" s="16"/>
      <c r="Q317" s="16"/>
      <c r="R317" s="96"/>
      <c r="S317" s="96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6"/>
      <c r="B318" s="13"/>
      <c r="C318" s="16"/>
      <c r="D318" s="16"/>
      <c r="E318" s="16"/>
      <c r="F318" s="16"/>
      <c r="G318" s="16"/>
      <c r="H318" s="16"/>
      <c r="I318" s="125"/>
      <c r="J318" s="16"/>
      <c r="K318" s="13"/>
      <c r="L318" s="13"/>
      <c r="M318" s="13"/>
      <c r="N318" s="16"/>
      <c r="O318" s="16"/>
      <c r="P318" s="16"/>
      <c r="Q318" s="16"/>
      <c r="R318" s="96"/>
      <c r="S318" s="96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6"/>
      <c r="B319" s="13"/>
      <c r="C319" s="16"/>
      <c r="D319" s="16"/>
      <c r="E319" s="16"/>
      <c r="F319" s="16"/>
      <c r="G319" s="16"/>
      <c r="H319" s="16"/>
      <c r="I319" s="125"/>
      <c r="J319" s="16"/>
      <c r="K319" s="13"/>
      <c r="L319" s="13"/>
      <c r="M319" s="13"/>
      <c r="N319" s="16"/>
      <c r="O319" s="16"/>
      <c r="P319" s="16"/>
      <c r="Q319" s="16"/>
      <c r="R319" s="96"/>
      <c r="S319" s="96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6"/>
      <c r="B320" s="13"/>
      <c r="C320" s="16"/>
      <c r="D320" s="16"/>
      <c r="E320" s="16"/>
      <c r="F320" s="16"/>
      <c r="G320" s="16"/>
      <c r="H320" s="16"/>
      <c r="I320" s="125"/>
      <c r="J320" s="16"/>
      <c r="K320" s="13"/>
      <c r="L320" s="13"/>
      <c r="M320" s="13"/>
      <c r="N320" s="16"/>
      <c r="O320" s="16"/>
      <c r="P320" s="16"/>
      <c r="Q320" s="16"/>
      <c r="R320" s="96"/>
      <c r="S320" s="96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6"/>
      <c r="B321" s="13"/>
      <c r="C321" s="16"/>
      <c r="D321" s="16"/>
      <c r="E321" s="16"/>
      <c r="F321" s="16"/>
      <c r="G321" s="16"/>
      <c r="H321" s="16"/>
      <c r="I321" s="125"/>
      <c r="J321" s="16"/>
      <c r="K321" s="13"/>
      <c r="L321" s="13"/>
      <c r="M321" s="13"/>
      <c r="N321" s="16"/>
      <c r="O321" s="16"/>
      <c r="P321" s="16"/>
      <c r="Q321" s="16"/>
      <c r="R321" s="96"/>
      <c r="S321" s="96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6"/>
      <c r="B322" s="13"/>
      <c r="C322" s="16"/>
      <c r="D322" s="16"/>
      <c r="E322" s="16"/>
      <c r="F322" s="16"/>
      <c r="G322" s="16"/>
      <c r="H322" s="16"/>
      <c r="I322" s="125"/>
      <c r="J322" s="16"/>
      <c r="K322" s="13"/>
      <c r="L322" s="13"/>
      <c r="M322" s="13"/>
      <c r="N322" s="16"/>
      <c r="O322" s="16"/>
      <c r="P322" s="16"/>
      <c r="Q322" s="16"/>
      <c r="R322" s="96"/>
      <c r="S322" s="96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6"/>
      <c r="B323" s="13"/>
      <c r="C323" s="16"/>
      <c r="D323" s="16"/>
      <c r="E323" s="16"/>
      <c r="F323" s="16"/>
      <c r="G323" s="16"/>
      <c r="H323" s="16"/>
      <c r="I323" s="125"/>
      <c r="J323" s="16"/>
      <c r="K323" s="13"/>
      <c r="L323" s="13"/>
      <c r="M323" s="13"/>
      <c r="N323" s="16"/>
      <c r="O323" s="16"/>
      <c r="P323" s="16"/>
      <c r="Q323" s="16"/>
      <c r="R323" s="96"/>
      <c r="S323" s="96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6"/>
      <c r="B324" s="13"/>
      <c r="C324" s="16"/>
      <c r="D324" s="16"/>
      <c r="E324" s="16"/>
      <c r="F324" s="16"/>
      <c r="G324" s="16"/>
      <c r="H324" s="16"/>
      <c r="I324" s="125"/>
      <c r="J324" s="16"/>
      <c r="K324" s="13"/>
      <c r="L324" s="13"/>
      <c r="M324" s="13"/>
      <c r="N324" s="16"/>
      <c r="O324" s="16"/>
      <c r="P324" s="16"/>
      <c r="Q324" s="16"/>
      <c r="R324" s="96"/>
      <c r="S324" s="96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6"/>
      <c r="B325" s="13"/>
      <c r="C325" s="16"/>
      <c r="D325" s="16"/>
      <c r="E325" s="16"/>
      <c r="F325" s="16"/>
      <c r="G325" s="16"/>
      <c r="H325" s="16"/>
      <c r="I325" s="125"/>
      <c r="J325" s="16"/>
      <c r="K325" s="13"/>
      <c r="L325" s="13"/>
      <c r="M325" s="13"/>
      <c r="N325" s="16"/>
      <c r="O325" s="16"/>
      <c r="P325" s="16"/>
      <c r="Q325" s="16"/>
      <c r="R325" s="96"/>
      <c r="S325" s="96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6"/>
      <c r="B326" s="13"/>
      <c r="C326" s="16"/>
      <c r="D326" s="16"/>
      <c r="E326" s="16"/>
      <c r="F326" s="16"/>
      <c r="G326" s="16"/>
      <c r="H326" s="16"/>
      <c r="I326" s="125"/>
      <c r="J326" s="16"/>
      <c r="K326" s="13"/>
      <c r="L326" s="13"/>
      <c r="M326" s="13"/>
      <c r="N326" s="16"/>
      <c r="O326" s="16"/>
      <c r="P326" s="16"/>
      <c r="Q326" s="16"/>
      <c r="R326" s="96"/>
      <c r="S326" s="96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6"/>
      <c r="B327" s="13"/>
      <c r="C327" s="16"/>
      <c r="D327" s="16"/>
      <c r="E327" s="16"/>
      <c r="F327" s="16"/>
      <c r="G327" s="16"/>
      <c r="H327" s="16"/>
      <c r="I327" s="125"/>
      <c r="J327" s="16"/>
      <c r="K327" s="13"/>
      <c r="L327" s="13"/>
      <c r="M327" s="13"/>
      <c r="N327" s="16"/>
      <c r="O327" s="16"/>
      <c r="P327" s="16"/>
      <c r="Q327" s="16"/>
      <c r="R327" s="96"/>
      <c r="S327" s="96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6"/>
      <c r="B328" s="13"/>
      <c r="C328" s="16"/>
      <c r="D328" s="16"/>
      <c r="E328" s="16"/>
      <c r="F328" s="16"/>
      <c r="G328" s="16"/>
      <c r="H328" s="16"/>
      <c r="I328" s="125"/>
      <c r="J328" s="16"/>
      <c r="K328" s="13"/>
      <c r="L328" s="13"/>
      <c r="M328" s="13"/>
      <c r="N328" s="16"/>
      <c r="O328" s="16"/>
      <c r="P328" s="16"/>
      <c r="Q328" s="16"/>
      <c r="R328" s="96"/>
      <c r="S328" s="96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6"/>
      <c r="B329" s="13"/>
      <c r="C329" s="16"/>
      <c r="D329" s="16"/>
      <c r="E329" s="16"/>
      <c r="F329" s="16"/>
      <c r="G329" s="16"/>
      <c r="H329" s="16"/>
      <c r="I329" s="125"/>
      <c r="J329" s="16"/>
      <c r="K329" s="13"/>
      <c r="L329" s="13"/>
      <c r="M329" s="13"/>
      <c r="N329" s="16"/>
      <c r="O329" s="16"/>
      <c r="P329" s="16"/>
      <c r="Q329" s="16"/>
      <c r="R329" s="96"/>
      <c r="S329" s="96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6"/>
      <c r="B330" s="13"/>
      <c r="C330" s="16"/>
      <c r="D330" s="16"/>
      <c r="E330" s="16"/>
      <c r="F330" s="16"/>
      <c r="G330" s="16"/>
      <c r="H330" s="16"/>
      <c r="I330" s="125"/>
      <c r="J330" s="16"/>
      <c r="K330" s="13"/>
      <c r="L330" s="13"/>
      <c r="M330" s="13"/>
      <c r="N330" s="16"/>
      <c r="O330" s="16"/>
      <c r="P330" s="16"/>
      <c r="Q330" s="16"/>
      <c r="R330" s="96"/>
      <c r="S330" s="96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6"/>
      <c r="B331" s="13"/>
      <c r="C331" s="16"/>
      <c r="D331" s="16"/>
      <c r="E331" s="16"/>
      <c r="F331" s="16"/>
      <c r="G331" s="16"/>
      <c r="H331" s="16"/>
      <c r="I331" s="125"/>
      <c r="J331" s="16"/>
      <c r="K331" s="13"/>
      <c r="L331" s="13"/>
      <c r="M331" s="13"/>
      <c r="N331" s="16"/>
      <c r="O331" s="16"/>
      <c r="P331" s="16"/>
      <c r="Q331" s="16"/>
      <c r="R331" s="96"/>
      <c r="S331" s="96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6"/>
      <c r="B332" s="13"/>
      <c r="C332" s="16"/>
      <c r="D332" s="16"/>
      <c r="E332" s="16"/>
      <c r="F332" s="16"/>
      <c r="G332" s="16"/>
      <c r="H332" s="16"/>
      <c r="I332" s="125"/>
      <c r="J332" s="16"/>
      <c r="K332" s="13"/>
      <c r="L332" s="13"/>
      <c r="M332" s="13"/>
      <c r="N332" s="16"/>
      <c r="O332" s="16"/>
      <c r="P332" s="16"/>
      <c r="Q332" s="16"/>
      <c r="R332" s="96"/>
      <c r="S332" s="96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6"/>
      <c r="B333" s="13"/>
      <c r="C333" s="16"/>
      <c r="D333" s="16"/>
      <c r="E333" s="16"/>
      <c r="F333" s="16"/>
      <c r="G333" s="16"/>
      <c r="H333" s="16"/>
      <c r="I333" s="125"/>
      <c r="J333" s="16"/>
      <c r="K333" s="13"/>
      <c r="L333" s="13"/>
      <c r="M333" s="13"/>
      <c r="N333" s="16"/>
      <c r="O333" s="16"/>
      <c r="P333" s="16"/>
      <c r="Q333" s="16"/>
      <c r="R333" s="96"/>
      <c r="S333" s="96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6"/>
      <c r="B334" s="13"/>
      <c r="C334" s="16"/>
      <c r="D334" s="16"/>
      <c r="E334" s="16"/>
      <c r="F334" s="16"/>
      <c r="G334" s="16"/>
      <c r="H334" s="16"/>
      <c r="I334" s="125"/>
      <c r="J334" s="16"/>
      <c r="K334" s="13"/>
      <c r="L334" s="13"/>
      <c r="M334" s="13"/>
      <c r="N334" s="16"/>
      <c r="O334" s="16"/>
      <c r="P334" s="16"/>
      <c r="Q334" s="16"/>
      <c r="R334" s="96"/>
      <c r="S334" s="96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6"/>
      <c r="B335" s="13"/>
      <c r="C335" s="16"/>
      <c r="D335" s="16"/>
      <c r="E335" s="16"/>
      <c r="F335" s="16"/>
      <c r="G335" s="16"/>
      <c r="H335" s="16"/>
      <c r="I335" s="125"/>
      <c r="J335" s="16"/>
      <c r="K335" s="13"/>
      <c r="L335" s="13"/>
      <c r="M335" s="13"/>
      <c r="N335" s="16"/>
      <c r="O335" s="16"/>
      <c r="P335" s="16"/>
      <c r="Q335" s="16"/>
      <c r="R335" s="96"/>
      <c r="S335" s="96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6"/>
      <c r="B336" s="13"/>
      <c r="C336" s="16"/>
      <c r="D336" s="16"/>
      <c r="E336" s="16"/>
      <c r="F336" s="16"/>
      <c r="G336" s="16"/>
      <c r="H336" s="16"/>
      <c r="I336" s="125"/>
      <c r="J336" s="16"/>
      <c r="K336" s="13"/>
      <c r="L336" s="13"/>
      <c r="M336" s="13"/>
      <c r="N336" s="16"/>
      <c r="O336" s="16"/>
      <c r="P336" s="16"/>
      <c r="Q336" s="16"/>
      <c r="R336" s="96"/>
      <c r="S336" s="96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6"/>
      <c r="B337" s="13"/>
      <c r="C337" s="16"/>
      <c r="D337" s="16"/>
      <c r="E337" s="16"/>
      <c r="F337" s="16"/>
      <c r="G337" s="16"/>
      <c r="H337" s="16"/>
      <c r="I337" s="125"/>
      <c r="J337" s="16"/>
      <c r="K337" s="13"/>
      <c r="L337" s="13"/>
      <c r="M337" s="13"/>
      <c r="N337" s="16"/>
      <c r="O337" s="16"/>
      <c r="P337" s="16"/>
      <c r="Q337" s="16"/>
      <c r="R337" s="96"/>
      <c r="S337" s="96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6"/>
      <c r="B338" s="13"/>
      <c r="C338" s="16"/>
      <c r="D338" s="16"/>
      <c r="E338" s="16"/>
      <c r="F338" s="16"/>
      <c r="G338" s="16"/>
      <c r="H338" s="16"/>
      <c r="I338" s="125"/>
      <c r="J338" s="16"/>
      <c r="K338" s="13"/>
      <c r="L338" s="13"/>
      <c r="M338" s="13"/>
      <c r="N338" s="16"/>
      <c r="O338" s="16"/>
      <c r="P338" s="16"/>
      <c r="Q338" s="16"/>
      <c r="R338" s="96"/>
      <c r="S338" s="96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6"/>
      <c r="B339" s="13"/>
      <c r="C339" s="16"/>
      <c r="D339" s="16"/>
      <c r="E339" s="16"/>
      <c r="F339" s="16"/>
      <c r="G339" s="16"/>
      <c r="H339" s="16"/>
      <c r="I339" s="125"/>
      <c r="J339" s="16"/>
      <c r="K339" s="13"/>
      <c r="L339" s="13"/>
      <c r="M339" s="13"/>
      <c r="N339" s="16"/>
      <c r="O339" s="16"/>
      <c r="P339" s="16"/>
      <c r="Q339" s="16"/>
      <c r="R339" s="96"/>
      <c r="S339" s="96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6"/>
      <c r="B340" s="13"/>
      <c r="C340" s="16"/>
      <c r="D340" s="16"/>
      <c r="E340" s="16"/>
      <c r="F340" s="16"/>
      <c r="G340" s="16"/>
      <c r="H340" s="16"/>
      <c r="I340" s="125"/>
      <c r="J340" s="16"/>
      <c r="K340" s="13"/>
      <c r="L340" s="13"/>
      <c r="M340" s="13"/>
      <c r="N340" s="16"/>
      <c r="O340" s="16"/>
      <c r="P340" s="16"/>
      <c r="Q340" s="16"/>
      <c r="R340" s="96"/>
      <c r="S340" s="96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6"/>
      <c r="B341" s="13"/>
      <c r="C341" s="16"/>
      <c r="D341" s="16"/>
      <c r="E341" s="16"/>
      <c r="F341" s="16"/>
      <c r="G341" s="16"/>
      <c r="H341" s="16"/>
      <c r="I341" s="125"/>
      <c r="J341" s="16"/>
      <c r="K341" s="13"/>
      <c r="L341" s="13"/>
      <c r="M341" s="13"/>
      <c r="N341" s="16"/>
      <c r="O341" s="16"/>
      <c r="P341" s="16"/>
      <c r="Q341" s="16"/>
      <c r="R341" s="96"/>
      <c r="S341" s="96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6"/>
      <c r="B342" s="13"/>
      <c r="C342" s="16"/>
      <c r="D342" s="16"/>
      <c r="E342" s="16"/>
      <c r="F342" s="16"/>
      <c r="G342" s="16"/>
      <c r="H342" s="16"/>
      <c r="I342" s="125"/>
      <c r="J342" s="16"/>
      <c r="K342" s="13"/>
      <c r="L342" s="13"/>
      <c r="M342" s="13"/>
      <c r="N342" s="16"/>
      <c r="O342" s="16"/>
      <c r="P342" s="16"/>
      <c r="Q342" s="16"/>
      <c r="R342" s="96"/>
      <c r="S342" s="96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6"/>
      <c r="B343" s="13"/>
      <c r="C343" s="16"/>
      <c r="D343" s="16"/>
      <c r="E343" s="16"/>
      <c r="F343" s="16"/>
      <c r="G343" s="16"/>
      <c r="H343" s="16"/>
      <c r="I343" s="125"/>
      <c r="J343" s="16"/>
      <c r="K343" s="13"/>
      <c r="L343" s="13"/>
      <c r="M343" s="13"/>
      <c r="N343" s="16"/>
      <c r="O343" s="16"/>
      <c r="P343" s="16"/>
      <c r="Q343" s="16"/>
      <c r="R343" s="96"/>
      <c r="S343" s="96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6"/>
      <c r="B344" s="13"/>
      <c r="C344" s="16"/>
      <c r="D344" s="16"/>
      <c r="E344" s="16"/>
      <c r="F344" s="16"/>
      <c r="G344" s="16"/>
      <c r="H344" s="16"/>
      <c r="I344" s="125"/>
      <c r="J344" s="16"/>
      <c r="K344" s="13"/>
      <c r="L344" s="13"/>
      <c r="M344" s="13"/>
      <c r="N344" s="16"/>
      <c r="O344" s="16"/>
      <c r="P344" s="16"/>
      <c r="Q344" s="16"/>
      <c r="R344" s="96"/>
      <c r="S344" s="96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6"/>
      <c r="B345" s="13"/>
      <c r="C345" s="16"/>
      <c r="D345" s="16"/>
      <c r="E345" s="16"/>
      <c r="F345" s="16"/>
      <c r="G345" s="16"/>
      <c r="H345" s="16"/>
      <c r="I345" s="125"/>
      <c r="J345" s="16"/>
      <c r="K345" s="13"/>
      <c r="L345" s="13"/>
      <c r="M345" s="13"/>
      <c r="N345" s="16"/>
      <c r="O345" s="16"/>
      <c r="P345" s="16"/>
      <c r="Q345" s="16"/>
      <c r="R345" s="96"/>
      <c r="S345" s="96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6"/>
      <c r="B346" s="13"/>
      <c r="C346" s="16"/>
      <c r="D346" s="16"/>
      <c r="E346" s="16"/>
      <c r="F346" s="16"/>
      <c r="G346" s="16"/>
      <c r="H346" s="16"/>
      <c r="I346" s="125"/>
      <c r="J346" s="16"/>
      <c r="K346" s="13"/>
      <c r="L346" s="13"/>
      <c r="M346" s="13"/>
      <c r="N346" s="16"/>
      <c r="O346" s="16"/>
      <c r="P346" s="16"/>
      <c r="Q346" s="16"/>
      <c r="R346" s="96"/>
      <c r="S346" s="96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6"/>
      <c r="B347" s="13"/>
      <c r="C347" s="16"/>
      <c r="D347" s="16"/>
      <c r="E347" s="16"/>
      <c r="F347" s="16"/>
      <c r="G347" s="16"/>
      <c r="H347" s="16"/>
      <c r="I347" s="125"/>
      <c r="J347" s="16"/>
      <c r="K347" s="13"/>
      <c r="L347" s="13"/>
      <c r="M347" s="13"/>
      <c r="N347" s="16"/>
      <c r="O347" s="16"/>
      <c r="P347" s="16"/>
      <c r="Q347" s="16"/>
      <c r="R347" s="96"/>
      <c r="S347" s="96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6"/>
      <c r="B348" s="13"/>
      <c r="C348" s="16"/>
      <c r="D348" s="16"/>
      <c r="E348" s="16"/>
      <c r="F348" s="16"/>
      <c r="G348" s="16"/>
      <c r="H348" s="16"/>
      <c r="I348" s="125"/>
      <c r="J348" s="16"/>
      <c r="K348" s="13"/>
      <c r="L348" s="13"/>
      <c r="M348" s="13"/>
      <c r="N348" s="16"/>
      <c r="O348" s="16"/>
      <c r="P348" s="16"/>
      <c r="Q348" s="16"/>
      <c r="R348" s="96"/>
      <c r="S348" s="96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6"/>
      <c r="B349" s="13"/>
      <c r="C349" s="16"/>
      <c r="D349" s="16"/>
      <c r="E349" s="16"/>
      <c r="F349" s="16"/>
      <c r="G349" s="16"/>
      <c r="H349" s="16"/>
      <c r="I349" s="125"/>
      <c r="J349" s="16"/>
      <c r="K349" s="13"/>
      <c r="L349" s="13"/>
      <c r="M349" s="13"/>
      <c r="N349" s="16"/>
      <c r="O349" s="16"/>
      <c r="P349" s="16"/>
      <c r="Q349" s="16"/>
      <c r="R349" s="96"/>
      <c r="S349" s="96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6"/>
      <c r="B350" s="13"/>
      <c r="C350" s="16"/>
      <c r="D350" s="16"/>
      <c r="E350" s="16"/>
      <c r="F350" s="16"/>
      <c r="G350" s="16"/>
      <c r="H350" s="16"/>
      <c r="I350" s="125"/>
      <c r="J350" s="16"/>
      <c r="K350" s="13"/>
      <c r="L350" s="13"/>
      <c r="M350" s="13"/>
      <c r="N350" s="16"/>
      <c r="O350" s="16"/>
      <c r="P350" s="16"/>
      <c r="Q350" s="16"/>
      <c r="R350" s="96"/>
      <c r="S350" s="96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6"/>
      <c r="B351" s="13"/>
      <c r="C351" s="16"/>
      <c r="D351" s="16"/>
      <c r="E351" s="16"/>
      <c r="F351" s="16"/>
      <c r="G351" s="16"/>
      <c r="H351" s="16"/>
      <c r="I351" s="125"/>
      <c r="J351" s="16"/>
      <c r="K351" s="13"/>
      <c r="L351" s="13"/>
      <c r="M351" s="13"/>
      <c r="N351" s="16"/>
      <c r="O351" s="16"/>
      <c r="P351" s="16"/>
      <c r="Q351" s="16"/>
      <c r="R351" s="96"/>
      <c r="S351" s="96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6"/>
      <c r="B352" s="13"/>
      <c r="C352" s="16"/>
      <c r="D352" s="16"/>
      <c r="E352" s="16"/>
      <c r="F352" s="16"/>
      <c r="G352" s="16"/>
      <c r="H352" s="16"/>
      <c r="I352" s="125"/>
      <c r="J352" s="16"/>
      <c r="K352" s="13"/>
      <c r="L352" s="13"/>
      <c r="M352" s="13"/>
      <c r="N352" s="16"/>
      <c r="O352" s="16"/>
      <c r="P352" s="16"/>
      <c r="Q352" s="16"/>
      <c r="R352" s="96"/>
      <c r="S352" s="96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6"/>
      <c r="B353" s="13"/>
      <c r="C353" s="16"/>
      <c r="D353" s="16"/>
      <c r="E353" s="16"/>
      <c r="F353" s="16"/>
      <c r="G353" s="16"/>
      <c r="H353" s="16"/>
      <c r="I353" s="125"/>
      <c r="J353" s="16"/>
      <c r="K353" s="13"/>
      <c r="L353" s="13"/>
      <c r="M353" s="13"/>
      <c r="N353" s="16"/>
      <c r="O353" s="16"/>
      <c r="P353" s="16"/>
      <c r="Q353" s="16"/>
      <c r="R353" s="96"/>
      <c r="S353" s="96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6"/>
      <c r="B354" s="13"/>
      <c r="C354" s="16"/>
      <c r="D354" s="16"/>
      <c r="E354" s="16"/>
      <c r="F354" s="16"/>
      <c r="G354" s="16"/>
      <c r="H354" s="16"/>
      <c r="I354" s="125"/>
      <c r="J354" s="16"/>
      <c r="K354" s="13"/>
      <c r="L354" s="13"/>
      <c r="M354" s="13"/>
      <c r="N354" s="16"/>
      <c r="O354" s="16"/>
      <c r="P354" s="16"/>
      <c r="Q354" s="16"/>
      <c r="R354" s="96"/>
      <c r="S354" s="96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6"/>
      <c r="B355" s="13"/>
      <c r="C355" s="16"/>
      <c r="D355" s="16"/>
      <c r="E355" s="16"/>
      <c r="F355" s="16"/>
      <c r="G355" s="16"/>
      <c r="H355" s="16"/>
      <c r="I355" s="125"/>
      <c r="J355" s="16"/>
      <c r="K355" s="13"/>
      <c r="L355" s="13"/>
      <c r="M355" s="13"/>
      <c r="N355" s="16"/>
      <c r="O355" s="16"/>
      <c r="P355" s="16"/>
      <c r="Q355" s="16"/>
      <c r="R355" s="96"/>
      <c r="S355" s="96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6"/>
      <c r="B356" s="13"/>
      <c r="C356" s="16"/>
      <c r="D356" s="16"/>
      <c r="E356" s="16"/>
      <c r="F356" s="16"/>
      <c r="G356" s="16"/>
      <c r="H356" s="16"/>
      <c r="I356" s="125"/>
      <c r="J356" s="16"/>
      <c r="K356" s="13"/>
      <c r="L356" s="13"/>
      <c r="M356" s="13"/>
      <c r="N356" s="16"/>
      <c r="O356" s="16"/>
      <c r="P356" s="16"/>
      <c r="Q356" s="16"/>
      <c r="R356" s="96"/>
      <c r="S356" s="96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6"/>
      <c r="B357" s="13"/>
      <c r="C357" s="16"/>
      <c r="D357" s="16"/>
      <c r="E357" s="16"/>
      <c r="F357" s="16"/>
      <c r="G357" s="16"/>
      <c r="H357" s="16"/>
      <c r="I357" s="125"/>
      <c r="J357" s="16"/>
      <c r="K357" s="13"/>
      <c r="L357" s="13"/>
      <c r="M357" s="13"/>
      <c r="N357" s="16"/>
      <c r="O357" s="16"/>
      <c r="P357" s="16"/>
      <c r="Q357" s="16"/>
      <c r="R357" s="96"/>
      <c r="S357" s="96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6"/>
      <c r="B358" s="13"/>
      <c r="C358" s="16"/>
      <c r="D358" s="16"/>
      <c r="E358" s="16"/>
      <c r="F358" s="16"/>
      <c r="G358" s="16"/>
      <c r="H358" s="16"/>
      <c r="I358" s="125"/>
      <c r="J358" s="16"/>
      <c r="K358" s="13"/>
      <c r="L358" s="13"/>
      <c r="M358" s="13"/>
      <c r="N358" s="16"/>
      <c r="O358" s="16"/>
      <c r="P358" s="16"/>
      <c r="Q358" s="16"/>
      <c r="R358" s="96"/>
      <c r="S358" s="96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6"/>
      <c r="B359" s="13"/>
      <c r="C359" s="16"/>
      <c r="D359" s="16"/>
      <c r="E359" s="16"/>
      <c r="F359" s="16"/>
      <c r="G359" s="16"/>
      <c r="H359" s="16"/>
      <c r="I359" s="125"/>
      <c r="J359" s="16"/>
      <c r="K359" s="13"/>
      <c r="L359" s="13"/>
      <c r="M359" s="13"/>
      <c r="N359" s="16"/>
      <c r="O359" s="16"/>
      <c r="P359" s="16"/>
      <c r="Q359" s="16"/>
      <c r="R359" s="96"/>
      <c r="S359" s="96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6"/>
      <c r="B360" s="13"/>
      <c r="C360" s="16"/>
      <c r="D360" s="16"/>
      <c r="E360" s="16"/>
      <c r="F360" s="16"/>
      <c r="G360" s="16"/>
      <c r="H360" s="16"/>
      <c r="I360" s="125"/>
      <c r="J360" s="16"/>
      <c r="K360" s="13"/>
      <c r="L360" s="13"/>
      <c r="M360" s="13"/>
      <c r="N360" s="16"/>
      <c r="O360" s="16"/>
      <c r="P360" s="16"/>
      <c r="Q360" s="16"/>
      <c r="R360" s="96"/>
      <c r="S360" s="96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6"/>
      <c r="B361" s="13"/>
      <c r="C361" s="16"/>
      <c r="D361" s="16"/>
      <c r="E361" s="16"/>
      <c r="F361" s="16"/>
      <c r="G361" s="16"/>
      <c r="H361" s="16"/>
      <c r="I361" s="125"/>
      <c r="J361" s="16"/>
      <c r="K361" s="13"/>
      <c r="L361" s="13"/>
      <c r="M361" s="13"/>
      <c r="N361" s="16"/>
      <c r="O361" s="16"/>
      <c r="P361" s="16"/>
      <c r="Q361" s="16"/>
      <c r="R361" s="96"/>
      <c r="S361" s="96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6"/>
      <c r="B362" s="13"/>
      <c r="C362" s="16"/>
      <c r="D362" s="16"/>
      <c r="E362" s="16"/>
      <c r="F362" s="16"/>
      <c r="G362" s="16"/>
      <c r="H362" s="16"/>
      <c r="I362" s="125"/>
      <c r="J362" s="16"/>
      <c r="K362" s="13"/>
      <c r="L362" s="13"/>
      <c r="M362" s="13"/>
      <c r="N362" s="16"/>
      <c r="O362" s="16"/>
      <c r="P362" s="16"/>
      <c r="Q362" s="16"/>
      <c r="R362" s="96"/>
      <c r="S362" s="96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6"/>
      <c r="B363" s="13"/>
      <c r="C363" s="16"/>
      <c r="D363" s="16"/>
      <c r="E363" s="16"/>
      <c r="F363" s="16"/>
      <c r="G363" s="16"/>
      <c r="H363" s="16"/>
      <c r="I363" s="125"/>
      <c r="J363" s="16"/>
      <c r="K363" s="13"/>
      <c r="L363" s="13"/>
      <c r="M363" s="13"/>
      <c r="N363" s="16"/>
      <c r="O363" s="16"/>
      <c r="P363" s="16"/>
      <c r="Q363" s="16"/>
      <c r="R363" s="96"/>
      <c r="S363" s="96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6"/>
      <c r="B364" s="13"/>
      <c r="C364" s="16"/>
      <c r="D364" s="16"/>
      <c r="E364" s="16"/>
      <c r="F364" s="16"/>
      <c r="G364" s="16"/>
      <c r="H364" s="16"/>
      <c r="I364" s="125"/>
      <c r="J364" s="16"/>
      <c r="K364" s="13"/>
      <c r="L364" s="13"/>
      <c r="M364" s="13"/>
      <c r="N364" s="16"/>
      <c r="O364" s="16"/>
      <c r="P364" s="16"/>
      <c r="Q364" s="16"/>
      <c r="R364" s="96"/>
      <c r="S364" s="96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6"/>
      <c r="B365" s="13"/>
      <c r="C365" s="16"/>
      <c r="D365" s="16"/>
      <c r="E365" s="16"/>
      <c r="F365" s="16"/>
      <c r="G365" s="16"/>
      <c r="H365" s="16"/>
      <c r="I365" s="125"/>
      <c r="J365" s="16"/>
      <c r="K365" s="13"/>
      <c r="L365" s="13"/>
      <c r="M365" s="13"/>
      <c r="N365" s="16"/>
      <c r="O365" s="16"/>
      <c r="P365" s="16"/>
      <c r="Q365" s="16"/>
      <c r="R365" s="96"/>
      <c r="S365" s="96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6"/>
      <c r="B366" s="13"/>
      <c r="C366" s="16"/>
      <c r="D366" s="16"/>
      <c r="E366" s="16"/>
      <c r="F366" s="16"/>
      <c r="G366" s="16"/>
      <c r="H366" s="16"/>
      <c r="I366" s="125"/>
      <c r="J366" s="16"/>
      <c r="K366" s="13"/>
      <c r="L366" s="13"/>
      <c r="M366" s="13"/>
      <c r="N366" s="16"/>
      <c r="O366" s="16"/>
      <c r="P366" s="16"/>
      <c r="Q366" s="16"/>
      <c r="R366" s="96"/>
      <c r="S366" s="96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6"/>
      <c r="B367" s="13"/>
      <c r="C367" s="16"/>
      <c r="D367" s="16"/>
      <c r="E367" s="16"/>
      <c r="F367" s="16"/>
      <c r="G367" s="16"/>
      <c r="H367" s="16"/>
      <c r="I367" s="125"/>
      <c r="J367" s="16"/>
      <c r="K367" s="13"/>
      <c r="L367" s="13"/>
      <c r="M367" s="13"/>
      <c r="N367" s="16"/>
      <c r="O367" s="16"/>
      <c r="P367" s="16"/>
      <c r="Q367" s="16"/>
      <c r="R367" s="96"/>
      <c r="S367" s="96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6"/>
      <c r="B368" s="13"/>
      <c r="C368" s="16"/>
      <c r="D368" s="16"/>
      <c r="E368" s="16"/>
      <c r="F368" s="16"/>
      <c r="G368" s="16"/>
      <c r="H368" s="16"/>
      <c r="I368" s="125"/>
      <c r="J368" s="16"/>
      <c r="K368" s="13"/>
      <c r="L368" s="13"/>
      <c r="M368" s="13"/>
      <c r="N368" s="16"/>
      <c r="O368" s="16"/>
      <c r="P368" s="16"/>
      <c r="Q368" s="16"/>
      <c r="R368" s="96"/>
      <c r="S368" s="96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6"/>
      <c r="B369" s="13"/>
      <c r="C369" s="16"/>
      <c r="D369" s="16"/>
      <c r="E369" s="16"/>
      <c r="F369" s="16"/>
      <c r="G369" s="16"/>
      <c r="H369" s="16"/>
      <c r="I369" s="125"/>
      <c r="J369" s="16"/>
      <c r="K369" s="13"/>
      <c r="L369" s="13"/>
      <c r="M369" s="13"/>
      <c r="N369" s="16"/>
      <c r="O369" s="16"/>
      <c r="P369" s="16"/>
      <c r="Q369" s="16"/>
      <c r="R369" s="96"/>
      <c r="S369" s="96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6"/>
      <c r="B370" s="13"/>
      <c r="C370" s="16"/>
      <c r="D370" s="16"/>
      <c r="E370" s="16"/>
      <c r="F370" s="16"/>
      <c r="G370" s="16"/>
      <c r="H370" s="16"/>
      <c r="I370" s="125"/>
      <c r="J370" s="16"/>
      <c r="K370" s="13"/>
      <c r="L370" s="13"/>
      <c r="M370" s="13"/>
      <c r="N370" s="16"/>
      <c r="O370" s="16"/>
      <c r="P370" s="16"/>
      <c r="Q370" s="16"/>
      <c r="R370" s="96"/>
      <c r="S370" s="96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6"/>
      <c r="B371" s="13"/>
      <c r="C371" s="16"/>
      <c r="D371" s="16"/>
      <c r="E371" s="16"/>
      <c r="F371" s="16"/>
      <c r="G371" s="16"/>
      <c r="H371" s="16"/>
      <c r="I371" s="125"/>
      <c r="J371" s="16"/>
      <c r="K371" s="13"/>
      <c r="L371" s="13"/>
      <c r="M371" s="13"/>
      <c r="N371" s="16"/>
      <c r="O371" s="16"/>
      <c r="P371" s="16"/>
      <c r="Q371" s="16"/>
      <c r="R371" s="96"/>
      <c r="S371" s="96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6"/>
      <c r="B372" s="13"/>
      <c r="C372" s="16"/>
      <c r="D372" s="16"/>
      <c r="E372" s="16"/>
      <c r="F372" s="16"/>
      <c r="G372" s="16"/>
      <c r="H372" s="16"/>
      <c r="I372" s="125"/>
      <c r="J372" s="16"/>
      <c r="K372" s="13"/>
      <c r="L372" s="13"/>
      <c r="M372" s="13"/>
      <c r="N372" s="16"/>
      <c r="O372" s="16"/>
      <c r="P372" s="16"/>
      <c r="Q372" s="16"/>
      <c r="R372" s="96"/>
      <c r="S372" s="96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6"/>
      <c r="B373" s="13"/>
      <c r="C373" s="16"/>
      <c r="D373" s="16"/>
      <c r="E373" s="16"/>
      <c r="F373" s="16"/>
      <c r="G373" s="16"/>
      <c r="H373" s="16"/>
      <c r="I373" s="125"/>
      <c r="J373" s="16"/>
      <c r="K373" s="13"/>
      <c r="L373" s="13"/>
      <c r="M373" s="13"/>
      <c r="N373" s="16"/>
      <c r="O373" s="16"/>
      <c r="P373" s="16"/>
      <c r="Q373" s="16"/>
      <c r="R373" s="96"/>
      <c r="S373" s="96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6"/>
      <c r="B374" s="13"/>
      <c r="C374" s="16"/>
      <c r="D374" s="16"/>
      <c r="E374" s="16"/>
      <c r="F374" s="16"/>
      <c r="G374" s="16"/>
      <c r="H374" s="16"/>
      <c r="I374" s="125"/>
      <c r="J374" s="16"/>
      <c r="K374" s="13"/>
      <c r="L374" s="13"/>
      <c r="M374" s="13"/>
      <c r="N374" s="16"/>
      <c r="O374" s="16"/>
      <c r="P374" s="16"/>
      <c r="Q374" s="16"/>
      <c r="R374" s="96"/>
      <c r="S374" s="96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6"/>
      <c r="B375" s="13"/>
      <c r="C375" s="16"/>
      <c r="D375" s="16"/>
      <c r="E375" s="16"/>
      <c r="F375" s="16"/>
      <c r="G375" s="16"/>
      <c r="H375" s="16"/>
      <c r="I375" s="125"/>
      <c r="J375" s="16"/>
      <c r="K375" s="13"/>
      <c r="L375" s="13"/>
      <c r="M375" s="13"/>
      <c r="N375" s="16"/>
      <c r="O375" s="16"/>
      <c r="P375" s="16"/>
      <c r="Q375" s="16"/>
      <c r="R375" s="96"/>
      <c r="S375" s="96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6"/>
      <c r="B376" s="13"/>
      <c r="C376" s="16"/>
      <c r="D376" s="16"/>
      <c r="E376" s="16"/>
      <c r="F376" s="16"/>
      <c r="G376" s="16"/>
      <c r="H376" s="16"/>
      <c r="I376" s="125"/>
      <c r="J376" s="16"/>
      <c r="K376" s="13"/>
      <c r="L376" s="13"/>
      <c r="M376" s="13"/>
      <c r="N376" s="16"/>
      <c r="O376" s="16"/>
      <c r="P376" s="16"/>
      <c r="Q376" s="16"/>
      <c r="R376" s="96"/>
      <c r="S376" s="96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6"/>
      <c r="B377" s="13"/>
      <c r="C377" s="16"/>
      <c r="D377" s="16"/>
      <c r="E377" s="16"/>
      <c r="F377" s="16"/>
      <c r="G377" s="16"/>
      <c r="H377" s="16"/>
      <c r="I377" s="125"/>
      <c r="J377" s="16"/>
      <c r="K377" s="13"/>
      <c r="L377" s="13"/>
      <c r="M377" s="13"/>
      <c r="N377" s="16"/>
      <c r="O377" s="16"/>
      <c r="P377" s="16"/>
      <c r="Q377" s="16"/>
      <c r="R377" s="96"/>
      <c r="S377" s="96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6"/>
      <c r="B378" s="13"/>
      <c r="C378" s="16"/>
      <c r="D378" s="16"/>
      <c r="E378" s="16"/>
      <c r="F378" s="16"/>
      <c r="G378" s="16"/>
      <c r="H378" s="16"/>
      <c r="I378" s="125"/>
      <c r="J378" s="16"/>
      <c r="K378" s="13"/>
      <c r="L378" s="13"/>
      <c r="M378" s="13"/>
      <c r="N378" s="16"/>
      <c r="O378" s="16"/>
      <c r="P378" s="16"/>
      <c r="Q378" s="16"/>
      <c r="R378" s="96"/>
      <c r="S378" s="96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6"/>
      <c r="B379" s="13"/>
      <c r="C379" s="16"/>
      <c r="D379" s="16"/>
      <c r="E379" s="16"/>
      <c r="F379" s="16"/>
      <c r="G379" s="16"/>
      <c r="H379" s="16"/>
      <c r="I379" s="125"/>
      <c r="J379" s="16"/>
      <c r="K379" s="13"/>
      <c r="L379" s="13"/>
      <c r="M379" s="13"/>
      <c r="N379" s="16"/>
      <c r="O379" s="16"/>
      <c r="P379" s="16"/>
      <c r="Q379" s="16"/>
      <c r="R379" s="96"/>
      <c r="S379" s="96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6"/>
      <c r="B380" s="13"/>
      <c r="C380" s="16"/>
      <c r="D380" s="16"/>
      <c r="E380" s="16"/>
      <c r="F380" s="16"/>
      <c r="G380" s="16"/>
      <c r="H380" s="16"/>
      <c r="I380" s="125"/>
      <c r="J380" s="16"/>
      <c r="K380" s="13"/>
      <c r="L380" s="13"/>
      <c r="M380" s="13"/>
      <c r="N380" s="16"/>
      <c r="O380" s="16"/>
      <c r="P380" s="16"/>
      <c r="Q380" s="16"/>
      <c r="R380" s="96"/>
      <c r="S380" s="96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6"/>
      <c r="B381" s="13"/>
      <c r="C381" s="16"/>
      <c r="D381" s="16"/>
      <c r="E381" s="16"/>
      <c r="F381" s="16"/>
      <c r="G381" s="16"/>
      <c r="H381" s="16"/>
      <c r="I381" s="125"/>
      <c r="J381" s="16"/>
      <c r="K381" s="13"/>
      <c r="L381" s="13"/>
      <c r="M381" s="13"/>
      <c r="N381" s="16"/>
      <c r="O381" s="16"/>
      <c r="P381" s="16"/>
      <c r="Q381" s="16"/>
      <c r="R381" s="96"/>
      <c r="S381" s="96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6"/>
      <c r="B382" s="13"/>
      <c r="C382" s="16"/>
      <c r="D382" s="16"/>
      <c r="E382" s="16"/>
      <c r="F382" s="16"/>
      <c r="G382" s="16"/>
      <c r="H382" s="16"/>
      <c r="I382" s="125"/>
      <c r="J382" s="16"/>
      <c r="K382" s="13"/>
      <c r="L382" s="13"/>
      <c r="M382" s="13"/>
      <c r="N382" s="16"/>
      <c r="O382" s="16"/>
      <c r="P382" s="16"/>
      <c r="Q382" s="16"/>
      <c r="R382" s="96"/>
      <c r="S382" s="96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6"/>
      <c r="B383" s="13"/>
      <c r="C383" s="16"/>
      <c r="D383" s="16"/>
      <c r="E383" s="16"/>
      <c r="F383" s="16"/>
      <c r="G383" s="16"/>
      <c r="H383" s="16"/>
      <c r="I383" s="125"/>
      <c r="J383" s="16"/>
      <c r="K383" s="13"/>
      <c r="L383" s="13"/>
      <c r="M383" s="13"/>
      <c r="N383" s="16"/>
      <c r="O383" s="16"/>
      <c r="P383" s="16"/>
      <c r="Q383" s="16"/>
      <c r="R383" s="96"/>
      <c r="S383" s="96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6"/>
      <c r="B384" s="13"/>
      <c r="C384" s="16"/>
      <c r="D384" s="16"/>
      <c r="E384" s="16"/>
      <c r="F384" s="16"/>
      <c r="G384" s="16"/>
      <c r="H384" s="16"/>
      <c r="I384" s="125"/>
      <c r="J384" s="16"/>
      <c r="K384" s="13"/>
      <c r="L384" s="13"/>
      <c r="M384" s="13"/>
      <c r="N384" s="16"/>
      <c r="O384" s="16"/>
      <c r="P384" s="16"/>
      <c r="Q384" s="16"/>
      <c r="R384" s="96"/>
      <c r="S384" s="96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6"/>
      <c r="B385" s="13"/>
      <c r="C385" s="16"/>
      <c r="D385" s="16"/>
      <c r="E385" s="16"/>
      <c r="F385" s="16"/>
      <c r="G385" s="16"/>
      <c r="H385" s="16"/>
      <c r="I385" s="125"/>
      <c r="J385" s="16"/>
      <c r="K385" s="13"/>
      <c r="L385" s="13"/>
      <c r="M385" s="13"/>
      <c r="N385" s="16"/>
      <c r="O385" s="16"/>
      <c r="P385" s="16"/>
      <c r="Q385" s="16"/>
      <c r="R385" s="96"/>
      <c r="S385" s="96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6"/>
      <c r="B386" s="13"/>
      <c r="C386" s="16"/>
      <c r="D386" s="16"/>
      <c r="E386" s="16"/>
      <c r="F386" s="16"/>
      <c r="G386" s="16"/>
      <c r="H386" s="16"/>
      <c r="I386" s="125"/>
      <c r="J386" s="16"/>
      <c r="K386" s="13"/>
      <c r="L386" s="13"/>
      <c r="M386" s="13"/>
      <c r="N386" s="16"/>
      <c r="O386" s="16"/>
      <c r="P386" s="16"/>
      <c r="Q386" s="16"/>
      <c r="R386" s="96"/>
      <c r="S386" s="96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6"/>
      <c r="B387" s="13"/>
      <c r="C387" s="16"/>
      <c r="D387" s="16"/>
      <c r="E387" s="16"/>
      <c r="F387" s="16"/>
      <c r="G387" s="16"/>
      <c r="H387" s="16"/>
      <c r="I387" s="125"/>
      <c r="J387" s="16"/>
      <c r="K387" s="13"/>
      <c r="L387" s="13"/>
      <c r="M387" s="13"/>
      <c r="N387" s="16"/>
      <c r="O387" s="16"/>
      <c r="P387" s="16"/>
      <c r="Q387" s="16"/>
      <c r="R387" s="96"/>
      <c r="S387" s="96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6"/>
      <c r="B388" s="13"/>
      <c r="C388" s="16"/>
      <c r="D388" s="16"/>
      <c r="E388" s="16"/>
      <c r="F388" s="16"/>
      <c r="G388" s="16"/>
      <c r="H388" s="16"/>
      <c r="I388" s="125"/>
      <c r="J388" s="16"/>
      <c r="K388" s="13"/>
      <c r="L388" s="13"/>
      <c r="M388" s="13"/>
      <c r="N388" s="16"/>
      <c r="O388" s="16"/>
      <c r="P388" s="16"/>
      <c r="Q388" s="16"/>
      <c r="R388" s="96"/>
      <c r="S388" s="96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6"/>
      <c r="B389" s="13"/>
      <c r="C389" s="16"/>
      <c r="D389" s="16"/>
      <c r="E389" s="16"/>
      <c r="F389" s="16"/>
      <c r="G389" s="16"/>
      <c r="H389" s="16"/>
      <c r="I389" s="125"/>
      <c r="J389" s="16"/>
      <c r="K389" s="13"/>
      <c r="L389" s="13"/>
      <c r="M389" s="13"/>
      <c r="N389" s="16"/>
      <c r="O389" s="16"/>
      <c r="P389" s="16"/>
      <c r="Q389" s="16"/>
      <c r="R389" s="96"/>
      <c r="S389" s="96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6"/>
      <c r="B390" s="13"/>
      <c r="C390" s="16"/>
      <c r="D390" s="16"/>
      <c r="E390" s="16"/>
      <c r="F390" s="16"/>
      <c r="G390" s="16"/>
      <c r="H390" s="16"/>
      <c r="I390" s="125"/>
      <c r="J390" s="16"/>
      <c r="K390" s="13"/>
      <c r="L390" s="13"/>
      <c r="M390" s="13"/>
      <c r="N390" s="16"/>
      <c r="O390" s="16"/>
      <c r="P390" s="16"/>
      <c r="Q390" s="16"/>
      <c r="R390" s="96"/>
      <c r="S390" s="96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6"/>
      <c r="B391" s="13"/>
      <c r="C391" s="16"/>
      <c r="D391" s="16"/>
      <c r="E391" s="16"/>
      <c r="F391" s="16"/>
      <c r="G391" s="16"/>
      <c r="H391" s="16"/>
      <c r="I391" s="125"/>
      <c r="J391" s="16"/>
      <c r="K391" s="13"/>
      <c r="L391" s="13"/>
      <c r="M391" s="13"/>
      <c r="N391" s="16"/>
      <c r="O391" s="16"/>
      <c r="P391" s="16"/>
      <c r="Q391" s="16"/>
      <c r="R391" s="96"/>
      <c r="S391" s="96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6"/>
      <c r="B392" s="13"/>
      <c r="C392" s="16"/>
      <c r="D392" s="16"/>
      <c r="E392" s="16"/>
      <c r="F392" s="16"/>
      <c r="G392" s="16"/>
      <c r="H392" s="16"/>
      <c r="I392" s="125"/>
      <c r="J392" s="16"/>
      <c r="K392" s="13"/>
      <c r="L392" s="13"/>
      <c r="M392" s="13"/>
      <c r="N392" s="16"/>
      <c r="O392" s="16"/>
      <c r="P392" s="16"/>
      <c r="Q392" s="16"/>
      <c r="R392" s="96"/>
      <c r="S392" s="96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6"/>
      <c r="B393" s="13"/>
      <c r="C393" s="16"/>
      <c r="D393" s="16"/>
      <c r="E393" s="16"/>
      <c r="F393" s="16"/>
      <c r="G393" s="16"/>
      <c r="H393" s="16"/>
      <c r="I393" s="125"/>
      <c r="J393" s="16"/>
      <c r="K393" s="13"/>
      <c r="L393" s="13"/>
      <c r="M393" s="13"/>
      <c r="N393" s="16"/>
      <c r="O393" s="16"/>
      <c r="P393" s="16"/>
      <c r="Q393" s="16"/>
      <c r="R393" s="96"/>
      <c r="S393" s="96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6"/>
      <c r="B394" s="13"/>
      <c r="C394" s="16"/>
      <c r="D394" s="16"/>
      <c r="E394" s="16"/>
      <c r="F394" s="16"/>
      <c r="G394" s="16"/>
      <c r="H394" s="16"/>
      <c r="I394" s="125"/>
      <c r="J394" s="16"/>
      <c r="K394" s="13"/>
      <c r="L394" s="13"/>
      <c r="M394" s="13"/>
      <c r="N394" s="16"/>
      <c r="O394" s="16"/>
      <c r="P394" s="16"/>
      <c r="Q394" s="16"/>
      <c r="R394" s="96"/>
      <c r="S394" s="96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6"/>
      <c r="B395" s="13"/>
      <c r="C395" s="16"/>
      <c r="D395" s="16"/>
      <c r="E395" s="16"/>
      <c r="F395" s="16"/>
      <c r="G395" s="16"/>
      <c r="H395" s="16"/>
      <c r="I395" s="125"/>
      <c r="J395" s="16"/>
      <c r="K395" s="13"/>
      <c r="L395" s="13"/>
      <c r="M395" s="13"/>
      <c r="N395" s="16"/>
      <c r="O395" s="16"/>
      <c r="P395" s="16"/>
      <c r="Q395" s="16"/>
      <c r="R395" s="96"/>
      <c r="S395" s="96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6"/>
      <c r="B396" s="13"/>
      <c r="C396" s="16"/>
      <c r="D396" s="16"/>
      <c r="E396" s="16"/>
      <c r="F396" s="16"/>
      <c r="G396" s="16"/>
      <c r="H396" s="16"/>
      <c r="I396" s="125"/>
      <c r="J396" s="16"/>
      <c r="K396" s="13"/>
      <c r="L396" s="13"/>
      <c r="M396" s="13"/>
      <c r="N396" s="16"/>
      <c r="O396" s="16"/>
      <c r="P396" s="16"/>
      <c r="Q396" s="16"/>
      <c r="R396" s="96"/>
      <c r="S396" s="96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6"/>
      <c r="B397" s="13"/>
      <c r="C397" s="16"/>
      <c r="D397" s="16"/>
      <c r="E397" s="16"/>
      <c r="F397" s="16"/>
      <c r="G397" s="16"/>
      <c r="H397" s="16"/>
      <c r="I397" s="125"/>
      <c r="J397" s="16"/>
      <c r="K397" s="13"/>
      <c r="L397" s="13"/>
      <c r="M397" s="13"/>
      <c r="N397" s="16"/>
      <c r="O397" s="16"/>
      <c r="P397" s="16"/>
      <c r="Q397" s="16"/>
      <c r="R397" s="96"/>
      <c r="S397" s="96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6"/>
      <c r="B398" s="13"/>
      <c r="C398" s="16"/>
      <c r="D398" s="16"/>
      <c r="E398" s="16"/>
      <c r="F398" s="16"/>
      <c r="G398" s="16"/>
      <c r="H398" s="16"/>
      <c r="I398" s="125"/>
      <c r="J398" s="16"/>
      <c r="K398" s="13"/>
      <c r="L398" s="13"/>
      <c r="M398" s="13"/>
      <c r="N398" s="16"/>
      <c r="O398" s="16"/>
      <c r="P398" s="16"/>
      <c r="Q398" s="16"/>
      <c r="R398" s="96"/>
      <c r="S398" s="96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6"/>
      <c r="B399" s="13"/>
      <c r="C399" s="16"/>
      <c r="D399" s="16"/>
      <c r="E399" s="16"/>
      <c r="F399" s="16"/>
      <c r="G399" s="16"/>
      <c r="H399" s="16"/>
      <c r="I399" s="125"/>
      <c r="J399" s="16"/>
      <c r="K399" s="13"/>
      <c r="L399" s="13"/>
      <c r="M399" s="13"/>
      <c r="N399" s="16"/>
      <c r="O399" s="16"/>
      <c r="P399" s="16"/>
      <c r="Q399" s="16"/>
      <c r="R399" s="96"/>
      <c r="S399" s="96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6"/>
      <c r="B400" s="13"/>
      <c r="C400" s="16"/>
      <c r="D400" s="16"/>
      <c r="E400" s="16"/>
      <c r="F400" s="16"/>
      <c r="G400" s="16"/>
      <c r="H400" s="16"/>
      <c r="I400" s="125"/>
      <c r="J400" s="16"/>
      <c r="K400" s="13"/>
      <c r="L400" s="13"/>
      <c r="M400" s="13"/>
      <c r="N400" s="16"/>
      <c r="O400" s="16"/>
      <c r="P400" s="16"/>
      <c r="Q400" s="16"/>
      <c r="R400" s="96"/>
      <c r="S400" s="96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6"/>
      <c r="B401" s="13"/>
      <c r="C401" s="16"/>
      <c r="D401" s="16"/>
      <c r="E401" s="16"/>
      <c r="F401" s="16"/>
      <c r="G401" s="16"/>
      <c r="H401" s="16"/>
      <c r="I401" s="125"/>
      <c r="J401" s="16"/>
      <c r="K401" s="13"/>
      <c r="L401" s="13"/>
      <c r="M401" s="13"/>
      <c r="N401" s="16"/>
      <c r="O401" s="16"/>
      <c r="P401" s="16"/>
      <c r="Q401" s="16"/>
      <c r="R401" s="96"/>
      <c r="S401" s="96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6"/>
      <c r="B402" s="13"/>
      <c r="C402" s="16"/>
      <c r="D402" s="16"/>
      <c r="E402" s="16"/>
      <c r="F402" s="16"/>
      <c r="G402" s="16"/>
      <c r="H402" s="16"/>
      <c r="I402" s="125"/>
      <c r="J402" s="16"/>
      <c r="K402" s="13"/>
      <c r="L402" s="13"/>
      <c r="M402" s="13"/>
      <c r="N402" s="16"/>
      <c r="O402" s="16"/>
      <c r="P402" s="16"/>
      <c r="Q402" s="16"/>
      <c r="R402" s="96"/>
      <c r="S402" s="96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6"/>
      <c r="B403" s="13"/>
      <c r="C403" s="16"/>
      <c r="D403" s="16"/>
      <c r="E403" s="16"/>
      <c r="F403" s="16"/>
      <c r="G403" s="16"/>
      <c r="H403" s="16"/>
      <c r="I403" s="125"/>
      <c r="J403" s="16"/>
      <c r="K403" s="13"/>
      <c r="L403" s="13"/>
      <c r="M403" s="13"/>
      <c r="N403" s="16"/>
      <c r="O403" s="16"/>
      <c r="P403" s="16"/>
      <c r="Q403" s="16"/>
      <c r="R403" s="96"/>
      <c r="S403" s="96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6"/>
      <c r="B404" s="13"/>
      <c r="C404" s="16"/>
      <c r="D404" s="16"/>
      <c r="E404" s="16"/>
      <c r="F404" s="16"/>
      <c r="G404" s="16"/>
      <c r="H404" s="16"/>
      <c r="I404" s="125"/>
      <c r="J404" s="16"/>
      <c r="K404" s="13"/>
      <c r="L404" s="13"/>
      <c r="M404" s="13"/>
      <c r="N404" s="16"/>
      <c r="O404" s="16"/>
      <c r="P404" s="16"/>
      <c r="Q404" s="16"/>
      <c r="R404" s="96"/>
      <c r="S404" s="96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6"/>
      <c r="B405" s="13"/>
      <c r="C405" s="16"/>
      <c r="D405" s="16"/>
      <c r="E405" s="16"/>
      <c r="F405" s="16"/>
      <c r="G405" s="16"/>
      <c r="H405" s="16"/>
      <c r="I405" s="125"/>
      <c r="J405" s="16"/>
      <c r="K405" s="13"/>
      <c r="L405" s="13"/>
      <c r="M405" s="13"/>
      <c r="N405" s="16"/>
      <c r="O405" s="16"/>
      <c r="P405" s="16"/>
      <c r="Q405" s="16"/>
      <c r="R405" s="96"/>
      <c r="S405" s="96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6"/>
      <c r="B406" s="13"/>
      <c r="C406" s="16"/>
      <c r="D406" s="16"/>
      <c r="E406" s="16"/>
      <c r="F406" s="16"/>
      <c r="G406" s="16"/>
      <c r="H406" s="16"/>
      <c r="I406" s="125"/>
      <c r="J406" s="16"/>
      <c r="K406" s="13"/>
      <c r="L406" s="13"/>
      <c r="M406" s="13"/>
      <c r="N406" s="16"/>
      <c r="O406" s="16"/>
      <c r="P406" s="16"/>
      <c r="Q406" s="16"/>
      <c r="R406" s="96"/>
      <c r="S406" s="96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6"/>
      <c r="B407" s="13"/>
      <c r="C407" s="16"/>
      <c r="D407" s="16"/>
      <c r="E407" s="16"/>
      <c r="F407" s="16"/>
      <c r="G407" s="16"/>
      <c r="H407" s="16"/>
      <c r="I407" s="125"/>
      <c r="J407" s="16"/>
      <c r="K407" s="13"/>
      <c r="L407" s="13"/>
      <c r="M407" s="13"/>
      <c r="N407" s="16"/>
      <c r="O407" s="16"/>
      <c r="P407" s="16"/>
      <c r="Q407" s="16"/>
      <c r="R407" s="96"/>
      <c r="S407" s="96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6"/>
      <c r="B408" s="13"/>
      <c r="C408" s="16"/>
      <c r="D408" s="16"/>
      <c r="E408" s="16"/>
      <c r="F408" s="16"/>
      <c r="G408" s="16"/>
      <c r="H408" s="16"/>
      <c r="I408" s="125"/>
      <c r="J408" s="16"/>
      <c r="K408" s="13"/>
      <c r="L408" s="13"/>
      <c r="M408" s="13"/>
      <c r="N408" s="16"/>
      <c r="O408" s="16"/>
      <c r="P408" s="16"/>
      <c r="Q408" s="16"/>
      <c r="R408" s="96"/>
      <c r="S408" s="96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6"/>
      <c r="B409" s="13"/>
      <c r="C409" s="16"/>
      <c r="D409" s="16"/>
      <c r="E409" s="16"/>
      <c r="F409" s="16"/>
      <c r="G409" s="16"/>
      <c r="H409" s="16"/>
      <c r="I409" s="125"/>
      <c r="J409" s="16"/>
      <c r="K409" s="13"/>
      <c r="L409" s="13"/>
      <c r="M409" s="13"/>
      <c r="N409" s="16"/>
      <c r="O409" s="16"/>
      <c r="P409" s="16"/>
      <c r="Q409" s="16"/>
      <c r="R409" s="96"/>
      <c r="S409" s="96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6"/>
      <c r="B410" s="13"/>
      <c r="C410" s="16"/>
      <c r="D410" s="16"/>
      <c r="E410" s="16"/>
      <c r="F410" s="16"/>
      <c r="G410" s="16"/>
      <c r="H410" s="16"/>
      <c r="I410" s="125"/>
      <c r="J410" s="16"/>
      <c r="K410" s="13"/>
      <c r="L410" s="13"/>
      <c r="M410" s="13"/>
      <c r="N410" s="16"/>
      <c r="O410" s="16"/>
      <c r="P410" s="16"/>
      <c r="Q410" s="16"/>
      <c r="R410" s="96"/>
      <c r="S410" s="96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6"/>
      <c r="B411" s="13"/>
      <c r="C411" s="16"/>
      <c r="D411" s="16"/>
      <c r="E411" s="16"/>
      <c r="F411" s="16"/>
      <c r="G411" s="16"/>
      <c r="H411" s="16"/>
      <c r="I411" s="125"/>
      <c r="J411" s="16"/>
      <c r="K411" s="13"/>
      <c r="L411" s="13"/>
      <c r="M411" s="13"/>
      <c r="N411" s="16"/>
      <c r="O411" s="16"/>
      <c r="P411" s="16"/>
      <c r="Q411" s="16"/>
      <c r="R411" s="96"/>
      <c r="S411" s="96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6"/>
      <c r="B412" s="13"/>
      <c r="C412" s="16"/>
      <c r="D412" s="16"/>
      <c r="E412" s="16"/>
      <c r="F412" s="16"/>
      <c r="G412" s="16"/>
      <c r="H412" s="16"/>
      <c r="I412" s="125"/>
      <c r="J412" s="16"/>
      <c r="K412" s="13"/>
      <c r="L412" s="13"/>
      <c r="M412" s="13"/>
      <c r="N412" s="16"/>
      <c r="O412" s="16"/>
      <c r="P412" s="16"/>
      <c r="Q412" s="16"/>
      <c r="R412" s="96"/>
      <c r="S412" s="96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6"/>
      <c r="B413" s="13"/>
      <c r="C413" s="16"/>
      <c r="D413" s="16"/>
      <c r="E413" s="16"/>
      <c r="F413" s="16"/>
      <c r="G413" s="16"/>
      <c r="H413" s="16"/>
      <c r="I413" s="125"/>
      <c r="J413" s="16"/>
      <c r="K413" s="13"/>
      <c r="L413" s="13"/>
      <c r="M413" s="13"/>
      <c r="N413" s="16"/>
      <c r="O413" s="16"/>
      <c r="P413" s="16"/>
      <c r="Q413" s="16"/>
      <c r="R413" s="96"/>
      <c r="S413" s="96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6"/>
      <c r="B414" s="13"/>
      <c r="C414" s="16"/>
      <c r="D414" s="16"/>
      <c r="E414" s="16"/>
      <c r="F414" s="16"/>
      <c r="G414" s="16"/>
      <c r="H414" s="16"/>
      <c r="I414" s="125"/>
      <c r="J414" s="16"/>
      <c r="K414" s="13"/>
      <c r="L414" s="13"/>
      <c r="M414" s="13"/>
      <c r="N414" s="16"/>
      <c r="O414" s="16"/>
      <c r="P414" s="16"/>
      <c r="Q414" s="16"/>
      <c r="R414" s="96"/>
      <c r="S414" s="96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6"/>
      <c r="B415" s="13"/>
      <c r="C415" s="16"/>
      <c r="D415" s="16"/>
      <c r="E415" s="16"/>
      <c r="F415" s="16"/>
      <c r="G415" s="16"/>
      <c r="H415" s="16"/>
      <c r="I415" s="125"/>
      <c r="J415" s="16"/>
      <c r="K415" s="13"/>
      <c r="L415" s="13"/>
      <c r="M415" s="13"/>
      <c r="N415" s="16"/>
      <c r="O415" s="16"/>
      <c r="P415" s="16"/>
      <c r="Q415" s="16"/>
      <c r="R415" s="96"/>
      <c r="S415" s="96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6"/>
      <c r="B416" s="13"/>
      <c r="C416" s="16"/>
      <c r="D416" s="16"/>
      <c r="E416" s="16"/>
      <c r="F416" s="16"/>
      <c r="G416" s="16"/>
      <c r="H416" s="16"/>
      <c r="I416" s="125"/>
      <c r="J416" s="16"/>
      <c r="K416" s="13"/>
      <c r="L416" s="13"/>
      <c r="M416" s="13"/>
      <c r="N416" s="16"/>
      <c r="O416" s="16"/>
      <c r="P416" s="16"/>
      <c r="Q416" s="16"/>
      <c r="R416" s="96"/>
      <c r="S416" s="96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6"/>
      <c r="B417" s="13"/>
      <c r="C417" s="16"/>
      <c r="D417" s="16"/>
      <c r="E417" s="16"/>
      <c r="F417" s="16"/>
      <c r="G417" s="16"/>
      <c r="H417" s="16"/>
      <c r="I417" s="125"/>
      <c r="J417" s="16"/>
      <c r="K417" s="13"/>
      <c r="L417" s="13"/>
      <c r="M417" s="13"/>
      <c r="N417" s="16"/>
      <c r="O417" s="16"/>
      <c r="P417" s="16"/>
      <c r="Q417" s="16"/>
      <c r="R417" s="96"/>
      <c r="S417" s="96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6"/>
      <c r="B418" s="13"/>
      <c r="C418" s="16"/>
      <c r="D418" s="16"/>
      <c r="E418" s="16"/>
      <c r="F418" s="16"/>
      <c r="G418" s="16"/>
      <c r="H418" s="16"/>
      <c r="I418" s="125"/>
      <c r="J418" s="16"/>
      <c r="K418" s="13"/>
      <c r="L418" s="13"/>
      <c r="M418" s="13"/>
      <c r="N418" s="16"/>
      <c r="O418" s="16"/>
      <c r="P418" s="16"/>
      <c r="Q418" s="16"/>
      <c r="R418" s="96"/>
      <c r="S418" s="96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6"/>
      <c r="B419" s="13"/>
      <c r="C419" s="16"/>
      <c r="D419" s="16"/>
      <c r="E419" s="16"/>
      <c r="F419" s="16"/>
      <c r="G419" s="16"/>
      <c r="H419" s="16"/>
      <c r="I419" s="125"/>
      <c r="J419" s="16"/>
      <c r="K419" s="13"/>
      <c r="L419" s="13"/>
      <c r="M419" s="13"/>
      <c r="N419" s="16"/>
      <c r="O419" s="16"/>
      <c r="P419" s="16"/>
      <c r="Q419" s="16"/>
      <c r="R419" s="96"/>
      <c r="S419" s="96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6"/>
      <c r="B420" s="13"/>
      <c r="C420" s="16"/>
      <c r="D420" s="16"/>
      <c r="E420" s="16"/>
      <c r="F420" s="16"/>
      <c r="G420" s="16"/>
      <c r="H420" s="16"/>
      <c r="I420" s="125"/>
      <c r="J420" s="16"/>
      <c r="K420" s="13"/>
      <c r="L420" s="13"/>
      <c r="M420" s="13"/>
      <c r="N420" s="16"/>
      <c r="O420" s="16"/>
      <c r="P420" s="16"/>
      <c r="Q420" s="16"/>
      <c r="R420" s="96"/>
      <c r="S420" s="96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6"/>
      <c r="B421" s="13"/>
      <c r="C421" s="16"/>
      <c r="D421" s="16"/>
      <c r="E421" s="16"/>
      <c r="F421" s="16"/>
      <c r="G421" s="16"/>
      <c r="H421" s="16"/>
      <c r="I421" s="125"/>
      <c r="J421" s="16"/>
      <c r="K421" s="13"/>
      <c r="L421" s="13"/>
      <c r="M421" s="13"/>
      <c r="N421" s="16"/>
      <c r="O421" s="16"/>
      <c r="P421" s="16"/>
      <c r="Q421" s="16"/>
      <c r="R421" s="96"/>
      <c r="S421" s="96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6"/>
      <c r="B422" s="13"/>
      <c r="C422" s="16"/>
      <c r="D422" s="16"/>
      <c r="E422" s="16"/>
      <c r="F422" s="16"/>
      <c r="G422" s="16"/>
      <c r="H422" s="16"/>
      <c r="I422" s="125"/>
      <c r="J422" s="16"/>
      <c r="K422" s="13"/>
      <c r="L422" s="13"/>
      <c r="M422" s="13"/>
      <c r="N422" s="16"/>
      <c r="O422" s="16"/>
      <c r="P422" s="16"/>
      <c r="Q422" s="16"/>
      <c r="R422" s="96"/>
      <c r="S422" s="96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6"/>
      <c r="B423" s="13"/>
      <c r="C423" s="16"/>
      <c r="D423" s="16"/>
      <c r="E423" s="16"/>
      <c r="F423" s="16"/>
      <c r="G423" s="16"/>
      <c r="H423" s="16"/>
      <c r="I423" s="125"/>
      <c r="J423" s="16"/>
      <c r="K423" s="13"/>
      <c r="L423" s="13"/>
      <c r="M423" s="13"/>
      <c r="N423" s="16"/>
      <c r="O423" s="16"/>
      <c r="P423" s="16"/>
      <c r="Q423" s="16"/>
      <c r="R423" s="96"/>
      <c r="S423" s="96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6"/>
      <c r="B424" s="13"/>
      <c r="C424" s="16"/>
      <c r="D424" s="16"/>
      <c r="E424" s="16"/>
      <c r="F424" s="16"/>
      <c r="G424" s="16"/>
      <c r="H424" s="16"/>
      <c r="I424" s="125"/>
      <c r="J424" s="16"/>
      <c r="K424" s="13"/>
      <c r="L424" s="13"/>
      <c r="M424" s="13"/>
      <c r="N424" s="16"/>
      <c r="O424" s="16"/>
      <c r="P424" s="16"/>
      <c r="Q424" s="16"/>
      <c r="R424" s="96"/>
      <c r="S424" s="96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6"/>
      <c r="B425" s="13"/>
      <c r="C425" s="16"/>
      <c r="D425" s="16"/>
      <c r="E425" s="16"/>
      <c r="F425" s="16"/>
      <c r="G425" s="16"/>
      <c r="H425" s="16"/>
      <c r="I425" s="125"/>
      <c r="J425" s="16"/>
      <c r="K425" s="13"/>
      <c r="L425" s="13"/>
      <c r="M425" s="13"/>
      <c r="N425" s="16"/>
      <c r="O425" s="16"/>
      <c r="P425" s="16"/>
      <c r="Q425" s="16"/>
      <c r="R425" s="96"/>
      <c r="S425" s="96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6"/>
      <c r="B426" s="13"/>
      <c r="C426" s="16"/>
      <c r="D426" s="16"/>
      <c r="E426" s="16"/>
      <c r="F426" s="16"/>
      <c r="G426" s="16"/>
      <c r="H426" s="16"/>
      <c r="I426" s="125"/>
      <c r="J426" s="16"/>
      <c r="K426" s="13"/>
      <c r="L426" s="13"/>
      <c r="M426" s="13"/>
      <c r="N426" s="16"/>
      <c r="O426" s="16"/>
      <c r="P426" s="16"/>
      <c r="Q426" s="16"/>
      <c r="R426" s="96"/>
      <c r="S426" s="96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6"/>
      <c r="B427" s="13"/>
      <c r="C427" s="16"/>
      <c r="D427" s="16"/>
      <c r="E427" s="16"/>
      <c r="F427" s="16"/>
      <c r="G427" s="16"/>
      <c r="H427" s="16"/>
      <c r="I427" s="125"/>
      <c r="J427" s="16"/>
      <c r="K427" s="13"/>
      <c r="L427" s="13"/>
      <c r="M427" s="13"/>
      <c r="N427" s="16"/>
      <c r="O427" s="16"/>
      <c r="P427" s="16"/>
      <c r="Q427" s="16"/>
      <c r="R427" s="96"/>
      <c r="S427" s="96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6"/>
      <c r="B428" s="13"/>
      <c r="C428" s="16"/>
      <c r="D428" s="16"/>
      <c r="E428" s="16"/>
      <c r="F428" s="16"/>
      <c r="G428" s="16"/>
      <c r="H428" s="16"/>
      <c r="I428" s="125"/>
      <c r="J428" s="16"/>
      <c r="K428" s="13"/>
      <c r="L428" s="13"/>
      <c r="M428" s="13"/>
      <c r="N428" s="16"/>
      <c r="O428" s="16"/>
      <c r="P428" s="16"/>
      <c r="Q428" s="16"/>
      <c r="R428" s="96"/>
      <c r="S428" s="96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6"/>
      <c r="B429" s="13"/>
      <c r="C429" s="16"/>
      <c r="D429" s="16"/>
      <c r="E429" s="16"/>
      <c r="F429" s="16"/>
      <c r="G429" s="16"/>
      <c r="H429" s="16"/>
      <c r="I429" s="125"/>
      <c r="J429" s="16"/>
      <c r="K429" s="13"/>
      <c r="L429" s="13"/>
      <c r="M429" s="13"/>
      <c r="N429" s="16"/>
      <c r="O429" s="16"/>
      <c r="P429" s="16"/>
      <c r="Q429" s="16"/>
      <c r="R429" s="96"/>
      <c r="S429" s="96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6"/>
      <c r="B430" s="13"/>
      <c r="C430" s="16"/>
      <c r="D430" s="16"/>
      <c r="E430" s="16"/>
      <c r="F430" s="16"/>
      <c r="G430" s="16"/>
      <c r="H430" s="16"/>
      <c r="I430" s="125"/>
      <c r="J430" s="16"/>
      <c r="K430" s="13"/>
      <c r="L430" s="13"/>
      <c r="M430" s="13"/>
      <c r="N430" s="16"/>
      <c r="O430" s="16"/>
      <c r="P430" s="16"/>
      <c r="Q430" s="16"/>
      <c r="R430" s="96"/>
      <c r="S430" s="96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6"/>
      <c r="B431" s="13"/>
      <c r="C431" s="16"/>
      <c r="D431" s="16"/>
      <c r="E431" s="16"/>
      <c r="F431" s="16"/>
      <c r="G431" s="16"/>
      <c r="H431" s="16"/>
      <c r="I431" s="125"/>
      <c r="J431" s="16"/>
      <c r="K431" s="13"/>
      <c r="L431" s="13"/>
      <c r="M431" s="13"/>
      <c r="N431" s="16"/>
      <c r="O431" s="16"/>
      <c r="P431" s="16"/>
      <c r="Q431" s="16"/>
      <c r="R431" s="96"/>
      <c r="S431" s="96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6"/>
      <c r="B432" s="13"/>
      <c r="C432" s="16"/>
      <c r="D432" s="16"/>
      <c r="E432" s="16"/>
      <c r="F432" s="16"/>
      <c r="G432" s="16"/>
      <c r="H432" s="16"/>
      <c r="I432" s="125"/>
      <c r="J432" s="16"/>
      <c r="K432" s="13"/>
      <c r="L432" s="13"/>
      <c r="M432" s="13"/>
      <c r="N432" s="16"/>
      <c r="O432" s="16"/>
      <c r="P432" s="16"/>
      <c r="Q432" s="16"/>
      <c r="R432" s="96"/>
      <c r="S432" s="96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6"/>
      <c r="B433" s="13"/>
      <c r="C433" s="16"/>
      <c r="D433" s="16"/>
      <c r="E433" s="16"/>
      <c r="F433" s="16"/>
      <c r="G433" s="16"/>
      <c r="H433" s="16"/>
      <c r="I433" s="125"/>
      <c r="J433" s="16"/>
      <c r="K433" s="13"/>
      <c r="L433" s="13"/>
      <c r="M433" s="13"/>
      <c r="N433" s="16"/>
      <c r="O433" s="16"/>
      <c r="P433" s="16"/>
      <c r="Q433" s="16"/>
      <c r="R433" s="96"/>
      <c r="S433" s="96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6"/>
      <c r="B434" s="13"/>
      <c r="C434" s="16"/>
      <c r="D434" s="16"/>
      <c r="E434" s="16"/>
      <c r="F434" s="16"/>
      <c r="G434" s="16"/>
      <c r="H434" s="16"/>
      <c r="I434" s="125"/>
      <c r="J434" s="16"/>
      <c r="K434" s="13"/>
      <c r="L434" s="13"/>
      <c r="M434" s="13"/>
      <c r="N434" s="16"/>
      <c r="O434" s="16"/>
      <c r="P434" s="16"/>
      <c r="Q434" s="16"/>
      <c r="R434" s="96"/>
      <c r="S434" s="96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6"/>
      <c r="B435" s="13"/>
      <c r="C435" s="16"/>
      <c r="D435" s="16"/>
      <c r="E435" s="16"/>
      <c r="F435" s="16"/>
      <c r="G435" s="16"/>
      <c r="H435" s="16"/>
      <c r="I435" s="125"/>
      <c r="J435" s="16"/>
      <c r="K435" s="13"/>
      <c r="L435" s="13"/>
      <c r="M435" s="13"/>
      <c r="N435" s="16"/>
      <c r="O435" s="16"/>
      <c r="P435" s="16"/>
      <c r="Q435" s="16"/>
      <c r="R435" s="96"/>
      <c r="S435" s="96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6"/>
      <c r="B436" s="13"/>
      <c r="C436" s="16"/>
      <c r="D436" s="16"/>
      <c r="E436" s="16"/>
      <c r="F436" s="16"/>
      <c r="G436" s="16"/>
      <c r="H436" s="16"/>
      <c r="I436" s="125"/>
      <c r="J436" s="16"/>
      <c r="K436" s="13"/>
      <c r="L436" s="13"/>
      <c r="M436" s="13"/>
      <c r="N436" s="16"/>
      <c r="O436" s="16"/>
      <c r="P436" s="16"/>
      <c r="Q436" s="16"/>
      <c r="R436" s="96"/>
      <c r="S436" s="96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6"/>
      <c r="B437" s="13"/>
      <c r="C437" s="16"/>
      <c r="D437" s="16"/>
      <c r="E437" s="16"/>
      <c r="F437" s="16"/>
      <c r="G437" s="16"/>
      <c r="H437" s="16"/>
      <c r="I437" s="125"/>
      <c r="J437" s="16"/>
      <c r="K437" s="13"/>
      <c r="L437" s="13"/>
      <c r="M437" s="13"/>
      <c r="N437" s="16"/>
      <c r="O437" s="16"/>
      <c r="P437" s="16"/>
      <c r="Q437" s="16"/>
      <c r="R437" s="96"/>
      <c r="S437" s="96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6"/>
      <c r="B438" s="13"/>
      <c r="C438" s="16"/>
      <c r="D438" s="16"/>
      <c r="E438" s="16"/>
      <c r="F438" s="16"/>
      <c r="G438" s="16"/>
      <c r="H438" s="16"/>
      <c r="I438" s="125"/>
      <c r="J438" s="16"/>
      <c r="K438" s="13"/>
      <c r="L438" s="13"/>
      <c r="M438" s="13"/>
      <c r="N438" s="16"/>
      <c r="O438" s="16"/>
      <c r="P438" s="16"/>
      <c r="Q438" s="16"/>
      <c r="R438" s="96"/>
      <c r="S438" s="96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6"/>
      <c r="B439" s="13"/>
      <c r="C439" s="16"/>
      <c r="D439" s="16"/>
      <c r="E439" s="16"/>
      <c r="F439" s="16"/>
      <c r="G439" s="16"/>
      <c r="H439" s="16"/>
      <c r="I439" s="125"/>
      <c r="J439" s="16"/>
      <c r="K439" s="13"/>
      <c r="L439" s="13"/>
      <c r="M439" s="13"/>
      <c r="N439" s="16"/>
      <c r="O439" s="16"/>
      <c r="P439" s="16"/>
      <c r="Q439" s="16"/>
      <c r="R439" s="96"/>
      <c r="S439" s="96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6"/>
      <c r="B440" s="13"/>
      <c r="C440" s="16"/>
      <c r="D440" s="16"/>
      <c r="E440" s="16"/>
      <c r="F440" s="16"/>
      <c r="G440" s="16"/>
      <c r="H440" s="16"/>
      <c r="I440" s="125"/>
      <c r="J440" s="16"/>
      <c r="K440" s="13"/>
      <c r="L440" s="13"/>
      <c r="M440" s="13"/>
      <c r="N440" s="16"/>
      <c r="O440" s="16"/>
      <c r="P440" s="16"/>
      <c r="Q440" s="16"/>
      <c r="R440" s="96"/>
      <c r="S440" s="96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6"/>
      <c r="B441" s="13"/>
      <c r="C441" s="16"/>
      <c r="D441" s="16"/>
      <c r="E441" s="16"/>
      <c r="F441" s="16"/>
      <c r="G441" s="16"/>
      <c r="H441" s="16"/>
      <c r="I441" s="125"/>
      <c r="J441" s="16"/>
      <c r="K441" s="13"/>
      <c r="L441" s="13"/>
      <c r="M441" s="13"/>
      <c r="N441" s="16"/>
      <c r="O441" s="16"/>
      <c r="P441" s="16"/>
      <c r="Q441" s="16"/>
      <c r="R441" s="96"/>
      <c r="S441" s="96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6"/>
      <c r="B442" s="13"/>
      <c r="C442" s="16"/>
      <c r="D442" s="16"/>
      <c r="E442" s="16"/>
      <c r="F442" s="16"/>
      <c r="G442" s="16"/>
      <c r="H442" s="16"/>
      <c r="I442" s="125"/>
      <c r="J442" s="16"/>
      <c r="K442" s="13"/>
      <c r="L442" s="13"/>
      <c r="M442" s="13"/>
      <c r="N442" s="16"/>
      <c r="O442" s="16"/>
      <c r="P442" s="16"/>
      <c r="Q442" s="16"/>
      <c r="R442" s="96"/>
      <c r="S442" s="96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6"/>
      <c r="B443" s="13"/>
      <c r="C443" s="16"/>
      <c r="D443" s="16"/>
      <c r="E443" s="16"/>
      <c r="F443" s="16"/>
      <c r="G443" s="16"/>
      <c r="H443" s="16"/>
      <c r="I443" s="125"/>
      <c r="J443" s="16"/>
      <c r="K443" s="13"/>
      <c r="L443" s="13"/>
      <c r="M443" s="13"/>
      <c r="N443" s="16"/>
      <c r="O443" s="16"/>
      <c r="P443" s="16"/>
      <c r="Q443" s="16"/>
      <c r="R443" s="96"/>
      <c r="S443" s="96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6"/>
      <c r="B444" s="13"/>
      <c r="C444" s="16"/>
      <c r="D444" s="16"/>
      <c r="E444" s="16"/>
      <c r="F444" s="16"/>
      <c r="G444" s="16"/>
      <c r="H444" s="16"/>
      <c r="I444" s="125"/>
      <c r="J444" s="16"/>
      <c r="K444" s="13"/>
      <c r="L444" s="13"/>
      <c r="M444" s="13"/>
      <c r="N444" s="16"/>
      <c r="O444" s="16"/>
      <c r="P444" s="16"/>
      <c r="Q444" s="16"/>
      <c r="R444" s="96"/>
      <c r="S444" s="96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6"/>
      <c r="B445" s="13"/>
      <c r="C445" s="16"/>
      <c r="D445" s="16"/>
      <c r="E445" s="16"/>
      <c r="F445" s="16"/>
      <c r="G445" s="16"/>
      <c r="H445" s="16"/>
      <c r="I445" s="125"/>
      <c r="J445" s="16"/>
      <c r="K445" s="13"/>
      <c r="L445" s="13"/>
      <c r="M445" s="13"/>
      <c r="N445" s="16"/>
      <c r="O445" s="16"/>
      <c r="P445" s="16"/>
      <c r="Q445" s="16"/>
      <c r="R445" s="96"/>
      <c r="S445" s="96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6"/>
      <c r="B446" s="13"/>
      <c r="C446" s="16"/>
      <c r="D446" s="16"/>
      <c r="E446" s="16"/>
      <c r="F446" s="16"/>
      <c r="G446" s="16"/>
      <c r="H446" s="16"/>
      <c r="I446" s="125"/>
      <c r="J446" s="16"/>
      <c r="K446" s="13"/>
      <c r="L446" s="13"/>
      <c r="M446" s="13"/>
      <c r="N446" s="16"/>
      <c r="O446" s="16"/>
      <c r="P446" s="16"/>
      <c r="Q446" s="16"/>
      <c r="R446" s="96"/>
      <c r="S446" s="96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6"/>
      <c r="B447" s="13"/>
      <c r="C447" s="16"/>
      <c r="D447" s="16"/>
      <c r="E447" s="16"/>
      <c r="F447" s="16"/>
      <c r="G447" s="16"/>
      <c r="H447" s="16"/>
      <c r="I447" s="125"/>
      <c r="J447" s="16"/>
      <c r="K447" s="13"/>
      <c r="L447" s="13"/>
      <c r="M447" s="13"/>
      <c r="N447" s="16"/>
      <c r="O447" s="16"/>
      <c r="P447" s="16"/>
      <c r="Q447" s="16"/>
      <c r="R447" s="96"/>
      <c r="S447" s="96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6"/>
      <c r="B448" s="13"/>
      <c r="C448" s="16"/>
      <c r="D448" s="16"/>
      <c r="E448" s="16"/>
      <c r="F448" s="16"/>
      <c r="G448" s="16"/>
      <c r="H448" s="16"/>
      <c r="I448" s="125"/>
      <c r="J448" s="16"/>
      <c r="K448" s="13"/>
      <c r="L448" s="13"/>
      <c r="M448" s="13"/>
      <c r="N448" s="16"/>
      <c r="O448" s="16"/>
      <c r="P448" s="16"/>
      <c r="Q448" s="16"/>
      <c r="R448" s="96"/>
      <c r="S448" s="96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6"/>
      <c r="B449" s="13"/>
      <c r="C449" s="16"/>
      <c r="D449" s="16"/>
      <c r="E449" s="16"/>
      <c r="F449" s="16"/>
      <c r="G449" s="16"/>
      <c r="H449" s="16"/>
      <c r="I449" s="125"/>
      <c r="J449" s="16"/>
      <c r="K449" s="13"/>
      <c r="L449" s="13"/>
      <c r="M449" s="13"/>
      <c r="N449" s="16"/>
      <c r="O449" s="16"/>
      <c r="P449" s="16"/>
      <c r="Q449" s="16"/>
      <c r="R449" s="96"/>
      <c r="S449" s="96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6"/>
      <c r="B450" s="13"/>
      <c r="C450" s="16"/>
      <c r="D450" s="16"/>
      <c r="E450" s="16"/>
      <c r="F450" s="16"/>
      <c r="G450" s="16"/>
      <c r="H450" s="16"/>
      <c r="I450" s="125"/>
      <c r="J450" s="16"/>
      <c r="K450" s="13"/>
      <c r="L450" s="13"/>
      <c r="M450" s="13"/>
      <c r="N450" s="16"/>
      <c r="O450" s="16"/>
      <c r="P450" s="16"/>
      <c r="Q450" s="16"/>
      <c r="R450" s="96"/>
      <c r="S450" s="96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6"/>
      <c r="B451" s="13"/>
      <c r="C451" s="16"/>
      <c r="D451" s="16"/>
      <c r="E451" s="16"/>
      <c r="F451" s="16"/>
      <c r="G451" s="16"/>
      <c r="H451" s="16"/>
      <c r="I451" s="125"/>
      <c r="J451" s="16"/>
      <c r="K451" s="13"/>
      <c r="L451" s="13"/>
      <c r="M451" s="13"/>
      <c r="N451" s="16"/>
      <c r="O451" s="16"/>
      <c r="P451" s="16"/>
      <c r="Q451" s="16"/>
      <c r="R451" s="96"/>
      <c r="S451" s="96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6"/>
      <c r="B452" s="13"/>
      <c r="C452" s="16"/>
      <c r="D452" s="16"/>
      <c r="E452" s="16"/>
      <c r="F452" s="16"/>
      <c r="G452" s="16"/>
      <c r="H452" s="16"/>
      <c r="I452" s="125"/>
      <c r="J452" s="16"/>
      <c r="K452" s="13"/>
      <c r="L452" s="13"/>
      <c r="M452" s="13"/>
      <c r="N452" s="16"/>
      <c r="O452" s="16"/>
      <c r="P452" s="16"/>
      <c r="Q452" s="16"/>
      <c r="R452" s="96"/>
      <c r="S452" s="96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6"/>
      <c r="B453" s="13"/>
      <c r="C453" s="16"/>
      <c r="D453" s="16"/>
      <c r="E453" s="16"/>
      <c r="F453" s="16"/>
      <c r="G453" s="16"/>
      <c r="H453" s="16"/>
      <c r="I453" s="125"/>
      <c r="J453" s="16"/>
      <c r="K453" s="13"/>
      <c r="L453" s="13"/>
      <c r="M453" s="13"/>
      <c r="N453" s="16"/>
      <c r="O453" s="16"/>
      <c r="P453" s="16"/>
      <c r="Q453" s="16"/>
      <c r="R453" s="96"/>
      <c r="S453" s="96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6"/>
      <c r="B454" s="13"/>
      <c r="C454" s="16"/>
      <c r="D454" s="16"/>
      <c r="E454" s="16"/>
      <c r="F454" s="16"/>
      <c r="G454" s="16"/>
      <c r="H454" s="16"/>
      <c r="I454" s="125"/>
      <c r="J454" s="16"/>
      <c r="K454" s="13"/>
      <c r="L454" s="13"/>
      <c r="M454" s="13"/>
      <c r="N454" s="16"/>
      <c r="O454" s="16"/>
      <c r="P454" s="16"/>
      <c r="Q454" s="16"/>
      <c r="R454" s="96"/>
      <c r="S454" s="96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6"/>
      <c r="B455" s="13"/>
      <c r="C455" s="16"/>
      <c r="D455" s="16"/>
      <c r="E455" s="16"/>
      <c r="F455" s="16"/>
      <c r="G455" s="16"/>
      <c r="H455" s="16"/>
      <c r="I455" s="125"/>
      <c r="J455" s="16"/>
      <c r="K455" s="13"/>
      <c r="L455" s="13"/>
      <c r="M455" s="13"/>
      <c r="N455" s="16"/>
      <c r="O455" s="16"/>
      <c r="P455" s="16"/>
      <c r="Q455" s="16"/>
      <c r="R455" s="96"/>
      <c r="S455" s="96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6"/>
      <c r="B456" s="13"/>
      <c r="C456" s="16"/>
      <c r="D456" s="16"/>
      <c r="E456" s="16"/>
      <c r="F456" s="16"/>
      <c r="G456" s="16"/>
      <c r="H456" s="16"/>
      <c r="I456" s="125"/>
      <c r="J456" s="16"/>
      <c r="K456" s="13"/>
      <c r="L456" s="13"/>
      <c r="M456" s="13"/>
      <c r="N456" s="16"/>
      <c r="O456" s="16"/>
      <c r="P456" s="16"/>
      <c r="Q456" s="16"/>
      <c r="R456" s="96"/>
      <c r="S456" s="96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6"/>
      <c r="B457" s="13"/>
      <c r="C457" s="16"/>
      <c r="D457" s="16"/>
      <c r="E457" s="16"/>
      <c r="F457" s="16"/>
      <c r="G457" s="16"/>
      <c r="H457" s="16"/>
      <c r="I457" s="125"/>
      <c r="J457" s="16"/>
      <c r="K457" s="13"/>
      <c r="L457" s="13"/>
      <c r="M457" s="13"/>
      <c r="N457" s="16"/>
      <c r="O457" s="16"/>
      <c r="P457" s="16"/>
      <c r="Q457" s="16"/>
      <c r="R457" s="96"/>
      <c r="S457" s="96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6"/>
      <c r="B458" s="13"/>
      <c r="C458" s="16"/>
      <c r="D458" s="16"/>
      <c r="E458" s="16"/>
      <c r="F458" s="16"/>
      <c r="G458" s="16"/>
      <c r="H458" s="16"/>
      <c r="I458" s="125"/>
      <c r="J458" s="16"/>
      <c r="K458" s="13"/>
      <c r="L458" s="13"/>
      <c r="M458" s="13"/>
      <c r="N458" s="16"/>
      <c r="O458" s="16"/>
      <c r="P458" s="16"/>
      <c r="Q458" s="16"/>
      <c r="R458" s="96"/>
      <c r="S458" s="96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6"/>
      <c r="B459" s="13"/>
      <c r="C459" s="16"/>
      <c r="D459" s="16"/>
      <c r="E459" s="16"/>
      <c r="F459" s="16"/>
      <c r="G459" s="16"/>
      <c r="H459" s="16"/>
      <c r="I459" s="125"/>
      <c r="J459" s="16"/>
      <c r="K459" s="13"/>
      <c r="L459" s="13"/>
      <c r="M459" s="13"/>
      <c r="N459" s="16"/>
      <c r="O459" s="16"/>
      <c r="P459" s="16"/>
      <c r="Q459" s="16"/>
      <c r="R459" s="96"/>
      <c r="S459" s="96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6"/>
      <c r="B460" s="13"/>
      <c r="C460" s="16"/>
      <c r="D460" s="16"/>
      <c r="E460" s="16"/>
      <c r="F460" s="16"/>
      <c r="G460" s="16"/>
      <c r="H460" s="16"/>
      <c r="I460" s="125"/>
      <c r="J460" s="16"/>
      <c r="K460" s="13"/>
      <c r="L460" s="13"/>
      <c r="M460" s="13"/>
      <c r="N460" s="16"/>
      <c r="O460" s="16"/>
      <c r="P460" s="16"/>
      <c r="Q460" s="16"/>
      <c r="R460" s="96"/>
      <c r="S460" s="96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6"/>
      <c r="B461" s="13"/>
      <c r="C461" s="16"/>
      <c r="D461" s="16"/>
      <c r="E461" s="16"/>
      <c r="F461" s="16"/>
      <c r="G461" s="16"/>
      <c r="H461" s="16"/>
      <c r="I461" s="125"/>
      <c r="J461" s="16"/>
      <c r="K461" s="13"/>
      <c r="L461" s="13"/>
      <c r="M461" s="13"/>
      <c r="N461" s="16"/>
      <c r="O461" s="16"/>
      <c r="P461" s="16"/>
      <c r="Q461" s="16"/>
      <c r="R461" s="96"/>
      <c r="S461" s="96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6"/>
      <c r="B462" s="13"/>
      <c r="C462" s="16"/>
      <c r="D462" s="16"/>
      <c r="E462" s="16"/>
      <c r="F462" s="16"/>
      <c r="G462" s="16"/>
      <c r="H462" s="16"/>
      <c r="I462" s="125"/>
      <c r="J462" s="16"/>
      <c r="K462" s="13"/>
      <c r="L462" s="13"/>
      <c r="M462" s="13"/>
      <c r="N462" s="16"/>
      <c r="O462" s="16"/>
      <c r="P462" s="16"/>
      <c r="Q462" s="16"/>
      <c r="R462" s="96"/>
      <c r="S462" s="96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6"/>
      <c r="B463" s="13"/>
      <c r="C463" s="16"/>
      <c r="D463" s="16"/>
      <c r="E463" s="16"/>
      <c r="F463" s="16"/>
      <c r="G463" s="16"/>
      <c r="H463" s="16"/>
      <c r="I463" s="125"/>
      <c r="J463" s="16"/>
      <c r="K463" s="13"/>
      <c r="L463" s="13"/>
      <c r="M463" s="13"/>
      <c r="N463" s="16"/>
      <c r="O463" s="16"/>
      <c r="P463" s="16"/>
      <c r="Q463" s="16"/>
      <c r="R463" s="96"/>
      <c r="S463" s="96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6"/>
      <c r="B464" s="13"/>
      <c r="C464" s="16"/>
      <c r="D464" s="16"/>
      <c r="E464" s="16"/>
      <c r="F464" s="16"/>
      <c r="G464" s="16"/>
      <c r="H464" s="16"/>
      <c r="I464" s="125"/>
      <c r="J464" s="16"/>
      <c r="K464" s="13"/>
      <c r="L464" s="13"/>
      <c r="M464" s="13"/>
      <c r="N464" s="16"/>
      <c r="O464" s="16"/>
      <c r="P464" s="16"/>
      <c r="Q464" s="16"/>
      <c r="R464" s="96"/>
      <c r="S464" s="96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6"/>
      <c r="B465" s="13"/>
      <c r="C465" s="16"/>
      <c r="D465" s="16"/>
      <c r="E465" s="16"/>
      <c r="F465" s="16"/>
      <c r="G465" s="16"/>
      <c r="H465" s="16"/>
      <c r="I465" s="125"/>
      <c r="J465" s="16"/>
      <c r="K465" s="13"/>
      <c r="L465" s="13"/>
      <c r="M465" s="13"/>
      <c r="N465" s="16"/>
      <c r="O465" s="16"/>
      <c r="P465" s="16"/>
      <c r="Q465" s="16"/>
      <c r="R465" s="96"/>
      <c r="S465" s="96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6"/>
      <c r="B466" s="13"/>
      <c r="C466" s="16"/>
      <c r="D466" s="16"/>
      <c r="E466" s="16"/>
      <c r="F466" s="16"/>
      <c r="G466" s="16"/>
      <c r="H466" s="16"/>
      <c r="I466" s="125"/>
      <c r="J466" s="16"/>
      <c r="K466" s="13"/>
      <c r="L466" s="13"/>
      <c r="M466" s="13"/>
      <c r="N466" s="16"/>
      <c r="O466" s="16"/>
      <c r="P466" s="16"/>
      <c r="Q466" s="16"/>
      <c r="R466" s="96"/>
      <c r="S466" s="96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6"/>
      <c r="B467" s="13"/>
      <c r="C467" s="16"/>
      <c r="D467" s="16"/>
      <c r="E467" s="16"/>
      <c r="F467" s="16"/>
      <c r="G467" s="16"/>
      <c r="H467" s="16"/>
      <c r="I467" s="125"/>
      <c r="J467" s="16"/>
      <c r="K467" s="13"/>
      <c r="L467" s="13"/>
      <c r="M467" s="13"/>
      <c r="N467" s="16"/>
      <c r="O467" s="16"/>
      <c r="P467" s="16"/>
      <c r="Q467" s="16"/>
      <c r="R467" s="96"/>
      <c r="S467" s="96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6"/>
      <c r="B468" s="13"/>
      <c r="C468" s="16"/>
      <c r="D468" s="16"/>
      <c r="E468" s="16"/>
      <c r="F468" s="16"/>
      <c r="G468" s="16"/>
      <c r="H468" s="16"/>
      <c r="I468" s="125"/>
      <c r="J468" s="16"/>
      <c r="K468" s="13"/>
      <c r="L468" s="13"/>
      <c r="M468" s="13"/>
      <c r="N468" s="16"/>
      <c r="O468" s="16"/>
      <c r="P468" s="16"/>
      <c r="Q468" s="16"/>
      <c r="R468" s="96"/>
      <c r="S468" s="96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6"/>
      <c r="B469" s="13"/>
      <c r="C469" s="16"/>
      <c r="D469" s="16"/>
      <c r="E469" s="16"/>
      <c r="F469" s="16"/>
      <c r="G469" s="16"/>
      <c r="H469" s="16"/>
      <c r="I469" s="125"/>
      <c r="J469" s="16"/>
      <c r="K469" s="13"/>
      <c r="L469" s="13"/>
      <c r="M469" s="13"/>
      <c r="N469" s="16"/>
      <c r="O469" s="16"/>
      <c r="P469" s="16"/>
      <c r="Q469" s="16"/>
      <c r="R469" s="96"/>
      <c r="S469" s="96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6"/>
      <c r="B470" s="13"/>
      <c r="C470" s="16"/>
      <c r="D470" s="16"/>
      <c r="E470" s="16"/>
      <c r="F470" s="16"/>
      <c r="G470" s="16"/>
      <c r="H470" s="16"/>
      <c r="I470" s="125"/>
      <c r="J470" s="16"/>
      <c r="K470" s="13"/>
      <c r="L470" s="13"/>
      <c r="M470" s="13"/>
      <c r="N470" s="16"/>
      <c r="O470" s="16"/>
      <c r="P470" s="16"/>
      <c r="Q470" s="16"/>
      <c r="R470" s="96"/>
      <c r="S470" s="96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6"/>
      <c r="B471" s="13"/>
      <c r="C471" s="16"/>
      <c r="D471" s="16"/>
      <c r="E471" s="16"/>
      <c r="F471" s="16"/>
      <c r="G471" s="16"/>
      <c r="H471" s="16"/>
      <c r="I471" s="125"/>
      <c r="J471" s="16"/>
      <c r="K471" s="13"/>
      <c r="L471" s="13"/>
      <c r="M471" s="13"/>
      <c r="N471" s="16"/>
      <c r="O471" s="16"/>
      <c r="P471" s="16"/>
      <c r="Q471" s="16"/>
      <c r="R471" s="96"/>
      <c r="S471" s="96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6"/>
      <c r="B472" s="13"/>
      <c r="C472" s="16"/>
      <c r="D472" s="16"/>
      <c r="E472" s="16"/>
      <c r="F472" s="16"/>
      <c r="G472" s="16"/>
      <c r="H472" s="16"/>
      <c r="I472" s="125"/>
      <c r="J472" s="16"/>
      <c r="K472" s="13"/>
      <c r="L472" s="13"/>
      <c r="M472" s="13"/>
      <c r="N472" s="16"/>
      <c r="O472" s="16"/>
      <c r="P472" s="16"/>
      <c r="Q472" s="16"/>
      <c r="R472" s="96"/>
      <c r="S472" s="96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6"/>
      <c r="B473" s="13"/>
      <c r="C473" s="16"/>
      <c r="D473" s="16"/>
      <c r="E473" s="16"/>
      <c r="F473" s="16"/>
      <c r="G473" s="16"/>
      <c r="H473" s="16"/>
      <c r="I473" s="125"/>
      <c r="J473" s="16"/>
      <c r="K473" s="13"/>
      <c r="L473" s="13"/>
      <c r="M473" s="13"/>
      <c r="N473" s="16"/>
      <c r="O473" s="16"/>
      <c r="P473" s="16"/>
      <c r="Q473" s="16"/>
      <c r="R473" s="96"/>
      <c r="S473" s="96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6"/>
      <c r="B474" s="13"/>
      <c r="C474" s="16"/>
      <c r="D474" s="16"/>
      <c r="E474" s="16"/>
      <c r="F474" s="16"/>
      <c r="G474" s="16"/>
      <c r="H474" s="16"/>
      <c r="I474" s="125"/>
      <c r="J474" s="16"/>
      <c r="K474" s="13"/>
      <c r="L474" s="13"/>
      <c r="M474" s="13"/>
      <c r="N474" s="16"/>
      <c r="O474" s="16"/>
      <c r="P474" s="16"/>
      <c r="Q474" s="16"/>
      <c r="R474" s="96"/>
      <c r="S474" s="96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6"/>
      <c r="B475" s="13"/>
      <c r="C475" s="16"/>
      <c r="D475" s="16"/>
      <c r="E475" s="16"/>
      <c r="F475" s="16"/>
      <c r="G475" s="16"/>
      <c r="H475" s="16"/>
      <c r="I475" s="125"/>
      <c r="J475" s="16"/>
      <c r="K475" s="13"/>
      <c r="L475" s="13"/>
      <c r="M475" s="13"/>
      <c r="N475" s="16"/>
      <c r="O475" s="16"/>
      <c r="P475" s="16"/>
      <c r="Q475" s="16"/>
      <c r="R475" s="96"/>
      <c r="S475" s="96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6"/>
      <c r="B476" s="13"/>
      <c r="C476" s="16"/>
      <c r="D476" s="16"/>
      <c r="E476" s="16"/>
      <c r="F476" s="16"/>
      <c r="G476" s="16"/>
      <c r="H476" s="16"/>
      <c r="I476" s="125"/>
      <c r="J476" s="16"/>
      <c r="K476" s="13"/>
      <c r="L476" s="13"/>
      <c r="M476" s="13"/>
      <c r="N476" s="16"/>
      <c r="O476" s="16"/>
      <c r="P476" s="16"/>
      <c r="Q476" s="16"/>
      <c r="R476" s="96"/>
      <c r="S476" s="96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6"/>
      <c r="B477" s="13"/>
      <c r="C477" s="16"/>
      <c r="D477" s="16"/>
      <c r="E477" s="16"/>
      <c r="F477" s="16"/>
      <c r="G477" s="16"/>
      <c r="H477" s="16"/>
      <c r="I477" s="125"/>
      <c r="J477" s="16"/>
      <c r="K477" s="13"/>
      <c r="L477" s="13"/>
      <c r="M477" s="13"/>
      <c r="N477" s="16"/>
      <c r="O477" s="16"/>
      <c r="P477" s="16"/>
      <c r="Q477" s="16"/>
      <c r="R477" s="96"/>
      <c r="S477" s="96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6"/>
      <c r="B478" s="13"/>
      <c r="C478" s="16"/>
      <c r="D478" s="16"/>
      <c r="E478" s="16"/>
      <c r="F478" s="16"/>
      <c r="G478" s="16"/>
      <c r="H478" s="16"/>
      <c r="I478" s="125"/>
      <c r="J478" s="16"/>
      <c r="K478" s="13"/>
      <c r="L478" s="13"/>
      <c r="M478" s="13"/>
      <c r="N478" s="16"/>
      <c r="O478" s="16"/>
      <c r="P478" s="16"/>
      <c r="Q478" s="16"/>
      <c r="R478" s="96"/>
      <c r="S478" s="96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6"/>
      <c r="B479" s="13"/>
      <c r="C479" s="16"/>
      <c r="D479" s="16"/>
      <c r="E479" s="16"/>
      <c r="F479" s="16"/>
      <c r="G479" s="16"/>
      <c r="H479" s="16"/>
      <c r="I479" s="125"/>
      <c r="J479" s="16"/>
      <c r="K479" s="13"/>
      <c r="L479" s="13"/>
      <c r="M479" s="13"/>
      <c r="N479" s="16"/>
      <c r="O479" s="16"/>
      <c r="P479" s="16"/>
      <c r="Q479" s="16"/>
      <c r="R479" s="96"/>
      <c r="S479" s="96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6"/>
      <c r="B480" s="13"/>
      <c r="C480" s="16"/>
      <c r="D480" s="16"/>
      <c r="E480" s="16"/>
      <c r="F480" s="16"/>
      <c r="G480" s="16"/>
      <c r="H480" s="16"/>
      <c r="I480" s="125"/>
      <c r="J480" s="16"/>
      <c r="K480" s="13"/>
      <c r="L480" s="13"/>
      <c r="M480" s="13"/>
      <c r="N480" s="16"/>
      <c r="O480" s="16"/>
      <c r="P480" s="16"/>
      <c r="Q480" s="16"/>
      <c r="R480" s="96"/>
      <c r="S480" s="96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6"/>
      <c r="B481" s="13"/>
      <c r="C481" s="16"/>
      <c r="D481" s="16"/>
      <c r="E481" s="16"/>
      <c r="F481" s="16"/>
      <c r="G481" s="16"/>
      <c r="H481" s="16"/>
      <c r="I481" s="125"/>
      <c r="J481" s="16"/>
      <c r="K481" s="13"/>
      <c r="L481" s="13"/>
      <c r="M481" s="13"/>
      <c r="N481" s="16"/>
      <c r="O481" s="16"/>
      <c r="P481" s="16"/>
      <c r="Q481" s="16"/>
      <c r="R481" s="96"/>
      <c r="S481" s="96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6"/>
      <c r="B482" s="13"/>
      <c r="C482" s="16"/>
      <c r="D482" s="16"/>
      <c r="E482" s="16"/>
      <c r="F482" s="16"/>
      <c r="G482" s="16"/>
      <c r="H482" s="16"/>
      <c r="I482" s="125"/>
      <c r="J482" s="16"/>
      <c r="K482" s="13"/>
      <c r="L482" s="13"/>
      <c r="M482" s="13"/>
      <c r="N482" s="16"/>
      <c r="O482" s="16"/>
      <c r="P482" s="16"/>
      <c r="Q482" s="16"/>
      <c r="R482" s="96"/>
      <c r="S482" s="96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6"/>
      <c r="B483" s="13"/>
      <c r="C483" s="16"/>
      <c r="D483" s="16"/>
      <c r="E483" s="16"/>
      <c r="F483" s="16"/>
      <c r="G483" s="16"/>
      <c r="H483" s="16"/>
      <c r="I483" s="125"/>
      <c r="J483" s="16"/>
      <c r="K483" s="13"/>
      <c r="L483" s="13"/>
      <c r="M483" s="13"/>
      <c r="N483" s="16"/>
      <c r="O483" s="16"/>
      <c r="P483" s="16"/>
      <c r="Q483" s="16"/>
      <c r="R483" s="96"/>
      <c r="S483" s="96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6"/>
      <c r="B484" s="13"/>
      <c r="C484" s="16"/>
      <c r="D484" s="16"/>
      <c r="E484" s="16"/>
      <c r="F484" s="16"/>
      <c r="G484" s="16"/>
      <c r="H484" s="16"/>
      <c r="I484" s="125"/>
      <c r="J484" s="16"/>
      <c r="K484" s="13"/>
      <c r="L484" s="13"/>
      <c r="M484" s="13"/>
      <c r="N484" s="16"/>
      <c r="O484" s="16"/>
      <c r="P484" s="16"/>
      <c r="Q484" s="16"/>
      <c r="R484" s="96"/>
      <c r="S484" s="96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6"/>
      <c r="B485" s="13"/>
      <c r="C485" s="16"/>
      <c r="D485" s="16"/>
      <c r="E485" s="16"/>
      <c r="F485" s="16"/>
      <c r="G485" s="16"/>
      <c r="H485" s="16"/>
      <c r="I485" s="125"/>
      <c r="J485" s="16"/>
      <c r="K485" s="13"/>
      <c r="L485" s="13"/>
      <c r="M485" s="13"/>
      <c r="N485" s="16"/>
      <c r="O485" s="16"/>
      <c r="P485" s="16"/>
      <c r="Q485" s="16"/>
      <c r="R485" s="96"/>
      <c r="S485" s="96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6"/>
      <c r="B486" s="13"/>
      <c r="C486" s="16"/>
      <c r="D486" s="16"/>
      <c r="E486" s="16"/>
      <c r="F486" s="16"/>
      <c r="G486" s="16"/>
      <c r="H486" s="16"/>
      <c r="I486" s="125"/>
      <c r="J486" s="16"/>
      <c r="K486" s="13"/>
      <c r="L486" s="13"/>
      <c r="M486" s="13"/>
      <c r="N486" s="16"/>
      <c r="O486" s="16"/>
      <c r="P486" s="16"/>
      <c r="Q486" s="16"/>
      <c r="R486" s="96"/>
      <c r="S486" s="96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6"/>
      <c r="B487" s="13"/>
      <c r="C487" s="16"/>
      <c r="D487" s="16"/>
      <c r="E487" s="16"/>
      <c r="F487" s="16"/>
      <c r="G487" s="16"/>
      <c r="H487" s="16"/>
      <c r="I487" s="125"/>
      <c r="J487" s="16"/>
      <c r="K487" s="13"/>
      <c r="L487" s="13"/>
      <c r="M487" s="13"/>
      <c r="N487" s="16"/>
      <c r="O487" s="16"/>
      <c r="P487" s="16"/>
      <c r="Q487" s="16"/>
      <c r="R487" s="96"/>
      <c r="S487" s="96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6"/>
      <c r="B488" s="13"/>
      <c r="C488" s="16"/>
      <c r="D488" s="16"/>
      <c r="E488" s="16"/>
      <c r="F488" s="16"/>
      <c r="G488" s="16"/>
      <c r="H488" s="16"/>
      <c r="I488" s="125"/>
      <c r="J488" s="16"/>
      <c r="K488" s="13"/>
      <c r="L488" s="13"/>
      <c r="M488" s="13"/>
      <c r="N488" s="16"/>
      <c r="O488" s="16"/>
      <c r="P488" s="16"/>
      <c r="Q488" s="16"/>
      <c r="R488" s="96"/>
      <c r="S488" s="96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6"/>
      <c r="B489" s="13"/>
      <c r="C489" s="16"/>
      <c r="D489" s="16"/>
      <c r="E489" s="16"/>
      <c r="F489" s="16"/>
      <c r="G489" s="16"/>
      <c r="H489" s="16"/>
      <c r="I489" s="125"/>
      <c r="J489" s="16"/>
      <c r="K489" s="13"/>
      <c r="L489" s="13"/>
      <c r="M489" s="13"/>
      <c r="N489" s="16"/>
      <c r="O489" s="16"/>
      <c r="P489" s="16"/>
      <c r="Q489" s="16"/>
      <c r="R489" s="96"/>
      <c r="S489" s="96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6"/>
      <c r="B490" s="13"/>
      <c r="C490" s="16"/>
      <c r="D490" s="16"/>
      <c r="E490" s="16"/>
      <c r="F490" s="16"/>
      <c r="G490" s="16"/>
      <c r="H490" s="16"/>
      <c r="I490" s="125"/>
      <c r="J490" s="16"/>
      <c r="K490" s="13"/>
      <c r="L490" s="13"/>
      <c r="M490" s="13"/>
      <c r="N490" s="16"/>
      <c r="O490" s="16"/>
      <c r="P490" s="16"/>
      <c r="Q490" s="16"/>
      <c r="R490" s="96"/>
      <c r="S490" s="96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6"/>
      <c r="B491" s="13"/>
      <c r="C491" s="16"/>
      <c r="D491" s="16"/>
      <c r="E491" s="16"/>
      <c r="F491" s="16"/>
      <c r="G491" s="16"/>
      <c r="H491" s="16"/>
      <c r="I491" s="125"/>
      <c r="J491" s="16"/>
      <c r="K491" s="13"/>
      <c r="L491" s="13"/>
      <c r="M491" s="13"/>
      <c r="N491" s="16"/>
      <c r="O491" s="16"/>
      <c r="P491" s="16"/>
      <c r="Q491" s="16"/>
      <c r="R491" s="96"/>
      <c r="S491" s="96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6"/>
      <c r="B492" s="13"/>
      <c r="C492" s="16"/>
      <c r="D492" s="16"/>
      <c r="E492" s="16"/>
      <c r="F492" s="16"/>
      <c r="G492" s="16"/>
      <c r="H492" s="16"/>
      <c r="I492" s="125"/>
      <c r="J492" s="16"/>
      <c r="K492" s="13"/>
      <c r="L492" s="13"/>
      <c r="M492" s="13"/>
      <c r="N492" s="16"/>
      <c r="O492" s="16"/>
      <c r="P492" s="16"/>
      <c r="Q492" s="16"/>
      <c r="R492" s="96"/>
      <c r="S492" s="96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6"/>
      <c r="B493" s="13"/>
      <c r="C493" s="16"/>
      <c r="D493" s="16"/>
      <c r="E493" s="16"/>
      <c r="F493" s="16"/>
      <c r="G493" s="16"/>
      <c r="H493" s="16"/>
      <c r="I493" s="125"/>
      <c r="J493" s="16"/>
      <c r="K493" s="13"/>
      <c r="L493" s="13"/>
      <c r="M493" s="13"/>
      <c r="N493" s="16"/>
      <c r="O493" s="16"/>
      <c r="P493" s="16"/>
      <c r="Q493" s="16"/>
      <c r="R493" s="96"/>
      <c r="S493" s="96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6"/>
      <c r="B494" s="13"/>
      <c r="C494" s="16"/>
      <c r="D494" s="16"/>
      <c r="E494" s="16"/>
      <c r="F494" s="16"/>
      <c r="G494" s="16"/>
      <c r="H494" s="16"/>
      <c r="I494" s="125"/>
      <c r="J494" s="16"/>
      <c r="K494" s="13"/>
      <c r="L494" s="13"/>
      <c r="M494" s="13"/>
      <c r="N494" s="16"/>
      <c r="O494" s="16"/>
      <c r="P494" s="16"/>
      <c r="Q494" s="16"/>
      <c r="R494" s="96"/>
      <c r="S494" s="96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6"/>
      <c r="B495" s="13"/>
      <c r="C495" s="16"/>
      <c r="D495" s="16"/>
      <c r="E495" s="16"/>
      <c r="F495" s="16"/>
      <c r="G495" s="16"/>
      <c r="H495" s="16"/>
      <c r="I495" s="125"/>
      <c r="J495" s="16"/>
      <c r="K495" s="13"/>
      <c r="L495" s="13"/>
      <c r="M495" s="13"/>
      <c r="N495" s="16"/>
      <c r="O495" s="16"/>
      <c r="P495" s="16"/>
      <c r="Q495" s="16"/>
      <c r="R495" s="96"/>
      <c r="S495" s="96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6"/>
      <c r="B496" s="13"/>
      <c r="C496" s="16"/>
      <c r="D496" s="16"/>
      <c r="E496" s="16"/>
      <c r="F496" s="16"/>
      <c r="G496" s="16"/>
      <c r="H496" s="16"/>
      <c r="I496" s="125"/>
      <c r="J496" s="16"/>
      <c r="K496" s="13"/>
      <c r="L496" s="13"/>
      <c r="M496" s="13"/>
      <c r="N496" s="16"/>
      <c r="O496" s="16"/>
      <c r="P496" s="16"/>
      <c r="Q496" s="16"/>
      <c r="R496" s="96"/>
      <c r="S496" s="96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6"/>
      <c r="B497" s="13"/>
      <c r="C497" s="16"/>
      <c r="D497" s="16"/>
      <c r="E497" s="16"/>
      <c r="F497" s="16"/>
      <c r="G497" s="16"/>
      <c r="H497" s="16"/>
      <c r="I497" s="125"/>
      <c r="J497" s="16"/>
      <c r="K497" s="13"/>
      <c r="L497" s="13"/>
      <c r="M497" s="13"/>
      <c r="N497" s="16"/>
      <c r="O497" s="16"/>
      <c r="P497" s="16"/>
      <c r="Q497" s="16"/>
      <c r="R497" s="96"/>
      <c r="S497" s="96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6"/>
      <c r="B498" s="13"/>
      <c r="C498" s="16"/>
      <c r="D498" s="16"/>
      <c r="E498" s="16"/>
      <c r="F498" s="16"/>
      <c r="G498" s="16"/>
      <c r="H498" s="16"/>
      <c r="I498" s="125"/>
      <c r="J498" s="16"/>
      <c r="K498" s="13"/>
      <c r="L498" s="13"/>
      <c r="M498" s="13"/>
      <c r="N498" s="16"/>
      <c r="O498" s="16"/>
      <c r="P498" s="16"/>
      <c r="Q498" s="16"/>
      <c r="R498" s="96"/>
      <c r="S498" s="96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6"/>
      <c r="B499" s="13"/>
      <c r="C499" s="16"/>
      <c r="D499" s="16"/>
      <c r="E499" s="16"/>
      <c r="F499" s="16"/>
      <c r="G499" s="16"/>
      <c r="H499" s="16"/>
      <c r="I499" s="125"/>
      <c r="J499" s="16"/>
      <c r="K499" s="13"/>
      <c r="L499" s="13"/>
      <c r="M499" s="13"/>
      <c r="N499" s="16"/>
      <c r="O499" s="16"/>
      <c r="P499" s="16"/>
      <c r="Q499" s="16"/>
      <c r="R499" s="96"/>
      <c r="S499" s="96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6"/>
      <c r="B500" s="13"/>
      <c r="C500" s="16"/>
      <c r="D500" s="16"/>
      <c r="E500" s="16"/>
      <c r="F500" s="16"/>
      <c r="G500" s="16"/>
      <c r="H500" s="16"/>
      <c r="I500" s="125"/>
      <c r="J500" s="16"/>
      <c r="K500" s="13"/>
      <c r="L500" s="13"/>
      <c r="M500" s="13"/>
      <c r="N500" s="16"/>
      <c r="O500" s="16"/>
      <c r="P500" s="16"/>
      <c r="Q500" s="16"/>
      <c r="R500" s="96"/>
      <c r="S500" s="96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6"/>
      <c r="B501" s="13"/>
      <c r="C501" s="16"/>
      <c r="D501" s="16"/>
      <c r="E501" s="16"/>
      <c r="F501" s="16"/>
      <c r="G501" s="16"/>
      <c r="H501" s="16"/>
      <c r="I501" s="125"/>
      <c r="J501" s="16"/>
      <c r="K501" s="13"/>
      <c r="L501" s="13"/>
      <c r="M501" s="13"/>
      <c r="N501" s="16"/>
      <c r="O501" s="16"/>
      <c r="P501" s="16"/>
      <c r="Q501" s="16"/>
      <c r="R501" s="96"/>
      <c r="S501" s="96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6"/>
      <c r="B502" s="13"/>
      <c r="C502" s="16"/>
      <c r="D502" s="16"/>
      <c r="E502" s="16"/>
      <c r="F502" s="16"/>
      <c r="G502" s="16"/>
      <c r="H502" s="16"/>
      <c r="I502" s="125"/>
      <c r="J502" s="16"/>
      <c r="K502" s="13"/>
      <c r="L502" s="13"/>
      <c r="M502" s="13"/>
      <c r="N502" s="16"/>
      <c r="O502" s="16"/>
      <c r="P502" s="16"/>
      <c r="Q502" s="16"/>
      <c r="R502" s="96"/>
      <c r="S502" s="96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6"/>
      <c r="B503" s="13"/>
      <c r="C503" s="16"/>
      <c r="D503" s="16"/>
      <c r="E503" s="16"/>
      <c r="F503" s="16"/>
      <c r="G503" s="16"/>
      <c r="H503" s="16"/>
      <c r="I503" s="125"/>
      <c r="J503" s="16"/>
      <c r="K503" s="13"/>
      <c r="L503" s="13"/>
      <c r="M503" s="13"/>
      <c r="N503" s="16"/>
      <c r="O503" s="16"/>
      <c r="P503" s="16"/>
      <c r="Q503" s="16"/>
      <c r="R503" s="96"/>
      <c r="S503" s="96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6"/>
      <c r="B504" s="13"/>
      <c r="C504" s="16"/>
      <c r="D504" s="16"/>
      <c r="E504" s="16"/>
      <c r="F504" s="16"/>
      <c r="G504" s="16"/>
      <c r="H504" s="16"/>
      <c r="I504" s="125"/>
      <c r="J504" s="16"/>
      <c r="K504" s="13"/>
      <c r="L504" s="13"/>
      <c r="M504" s="13"/>
      <c r="N504" s="16"/>
      <c r="O504" s="16"/>
      <c r="P504" s="16"/>
      <c r="Q504" s="16"/>
      <c r="R504" s="96"/>
      <c r="S504" s="96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6"/>
      <c r="B505" s="13"/>
      <c r="C505" s="16"/>
      <c r="D505" s="16"/>
      <c r="E505" s="16"/>
      <c r="F505" s="16"/>
      <c r="G505" s="16"/>
      <c r="H505" s="16"/>
      <c r="I505" s="125"/>
      <c r="J505" s="16"/>
      <c r="K505" s="13"/>
      <c r="L505" s="13"/>
      <c r="M505" s="13"/>
      <c r="N505" s="16"/>
      <c r="O505" s="16"/>
      <c r="P505" s="16"/>
      <c r="Q505" s="16"/>
      <c r="R505" s="96"/>
      <c r="S505" s="96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6"/>
      <c r="B506" s="13"/>
      <c r="C506" s="16"/>
      <c r="D506" s="16"/>
      <c r="E506" s="16"/>
      <c r="F506" s="16"/>
      <c r="G506" s="16"/>
      <c r="H506" s="16"/>
      <c r="I506" s="125"/>
      <c r="J506" s="16"/>
      <c r="K506" s="13"/>
      <c r="L506" s="13"/>
      <c r="M506" s="13"/>
      <c r="N506" s="16"/>
      <c r="O506" s="16"/>
      <c r="P506" s="16"/>
      <c r="Q506" s="16"/>
      <c r="R506" s="96"/>
      <c r="S506" s="96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6"/>
      <c r="B507" s="13"/>
      <c r="C507" s="16"/>
      <c r="D507" s="16"/>
      <c r="E507" s="16"/>
      <c r="F507" s="16"/>
      <c r="G507" s="16"/>
      <c r="H507" s="16"/>
      <c r="I507" s="125"/>
      <c r="J507" s="16"/>
      <c r="K507" s="13"/>
      <c r="L507" s="13"/>
      <c r="M507" s="13"/>
      <c r="N507" s="16"/>
      <c r="O507" s="16"/>
      <c r="P507" s="16"/>
      <c r="Q507" s="16"/>
      <c r="R507" s="96"/>
      <c r="S507" s="96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6"/>
      <c r="B508" s="13"/>
      <c r="C508" s="16"/>
      <c r="D508" s="16"/>
      <c r="E508" s="16"/>
      <c r="F508" s="16"/>
      <c r="G508" s="16"/>
      <c r="H508" s="16"/>
      <c r="I508" s="125"/>
      <c r="J508" s="16"/>
      <c r="K508" s="13"/>
      <c r="L508" s="13"/>
      <c r="M508" s="13"/>
      <c r="N508" s="16"/>
      <c r="O508" s="16"/>
      <c r="P508" s="16"/>
      <c r="Q508" s="16"/>
      <c r="R508" s="96"/>
      <c r="S508" s="96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6"/>
      <c r="B509" s="13"/>
      <c r="C509" s="16"/>
      <c r="D509" s="16"/>
      <c r="E509" s="16"/>
      <c r="F509" s="16"/>
      <c r="G509" s="16"/>
      <c r="H509" s="16"/>
      <c r="I509" s="125"/>
      <c r="J509" s="16"/>
      <c r="K509" s="13"/>
      <c r="L509" s="13"/>
      <c r="M509" s="13"/>
      <c r="N509" s="16"/>
      <c r="O509" s="16"/>
      <c r="P509" s="16"/>
      <c r="Q509" s="16"/>
      <c r="R509" s="96"/>
      <c r="S509" s="96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6"/>
      <c r="B510" s="13"/>
      <c r="C510" s="16"/>
      <c r="D510" s="16"/>
      <c r="E510" s="16"/>
      <c r="F510" s="16"/>
      <c r="G510" s="16"/>
      <c r="H510" s="16"/>
      <c r="I510" s="125"/>
      <c r="J510" s="16"/>
      <c r="K510" s="13"/>
      <c r="L510" s="13"/>
      <c r="M510" s="13"/>
      <c r="N510" s="16"/>
      <c r="O510" s="16"/>
      <c r="P510" s="16"/>
      <c r="Q510" s="16"/>
      <c r="R510" s="96"/>
      <c r="S510" s="96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6"/>
      <c r="B511" s="13"/>
      <c r="C511" s="16"/>
      <c r="D511" s="16"/>
      <c r="E511" s="16"/>
      <c r="F511" s="16"/>
      <c r="G511" s="16"/>
      <c r="H511" s="16"/>
      <c r="I511" s="125"/>
      <c r="J511" s="16"/>
      <c r="K511" s="13"/>
      <c r="L511" s="13"/>
      <c r="M511" s="13"/>
      <c r="N511" s="16"/>
      <c r="O511" s="16"/>
      <c r="P511" s="16"/>
      <c r="Q511" s="16"/>
      <c r="R511" s="96"/>
      <c r="S511" s="96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6"/>
      <c r="B512" s="13"/>
      <c r="C512" s="16"/>
      <c r="D512" s="16"/>
      <c r="E512" s="16"/>
      <c r="F512" s="16"/>
      <c r="G512" s="16"/>
      <c r="H512" s="16"/>
      <c r="I512" s="125"/>
      <c r="J512" s="16"/>
      <c r="K512" s="13"/>
      <c r="L512" s="13"/>
      <c r="M512" s="13"/>
      <c r="N512" s="16"/>
      <c r="O512" s="16"/>
      <c r="P512" s="16"/>
      <c r="Q512" s="16"/>
      <c r="R512" s="96"/>
      <c r="S512" s="96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6"/>
      <c r="B513" s="13"/>
      <c r="C513" s="16"/>
      <c r="D513" s="16"/>
      <c r="E513" s="16"/>
      <c r="F513" s="16"/>
      <c r="G513" s="16"/>
      <c r="H513" s="16"/>
      <c r="I513" s="125"/>
      <c r="J513" s="16"/>
      <c r="K513" s="13"/>
      <c r="L513" s="13"/>
      <c r="M513" s="13"/>
      <c r="N513" s="16"/>
      <c r="O513" s="16"/>
      <c r="P513" s="16"/>
      <c r="Q513" s="16"/>
      <c r="R513" s="96"/>
      <c r="S513" s="96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6"/>
      <c r="B514" s="13"/>
      <c r="C514" s="16"/>
      <c r="D514" s="16"/>
      <c r="E514" s="16"/>
      <c r="F514" s="16"/>
      <c r="G514" s="16"/>
      <c r="H514" s="16"/>
      <c r="I514" s="125"/>
      <c r="J514" s="16"/>
      <c r="K514" s="13"/>
      <c r="L514" s="13"/>
      <c r="M514" s="13"/>
      <c r="N514" s="16"/>
      <c r="O514" s="16"/>
      <c r="P514" s="16"/>
      <c r="Q514" s="16"/>
      <c r="R514" s="96"/>
      <c r="S514" s="96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6"/>
      <c r="B515" s="13"/>
      <c r="C515" s="16"/>
      <c r="D515" s="16"/>
      <c r="E515" s="16"/>
      <c r="F515" s="16"/>
      <c r="G515" s="16"/>
      <c r="H515" s="16"/>
      <c r="I515" s="125"/>
      <c r="J515" s="16"/>
      <c r="K515" s="13"/>
      <c r="L515" s="13"/>
      <c r="M515" s="13"/>
      <c r="N515" s="16"/>
      <c r="O515" s="16"/>
      <c r="P515" s="16"/>
      <c r="Q515" s="16"/>
      <c r="R515" s="96"/>
      <c r="S515" s="96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6"/>
      <c r="B516" s="13"/>
      <c r="C516" s="16"/>
      <c r="D516" s="16"/>
      <c r="E516" s="16"/>
      <c r="F516" s="16"/>
      <c r="G516" s="16"/>
      <c r="H516" s="16"/>
      <c r="I516" s="125"/>
      <c r="J516" s="16"/>
      <c r="K516" s="13"/>
      <c r="L516" s="13"/>
      <c r="M516" s="13"/>
      <c r="N516" s="16"/>
      <c r="O516" s="16"/>
      <c r="P516" s="16"/>
      <c r="Q516" s="16"/>
      <c r="R516" s="96"/>
      <c r="S516" s="96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6"/>
      <c r="B517" s="13"/>
      <c r="C517" s="16"/>
      <c r="D517" s="16"/>
      <c r="E517" s="16"/>
      <c r="F517" s="16"/>
      <c r="G517" s="16"/>
      <c r="H517" s="16"/>
      <c r="I517" s="125"/>
      <c r="J517" s="16"/>
      <c r="K517" s="13"/>
      <c r="L517" s="13"/>
      <c r="M517" s="13"/>
      <c r="N517" s="16"/>
      <c r="O517" s="16"/>
      <c r="P517" s="16"/>
      <c r="Q517" s="16"/>
      <c r="R517" s="96"/>
      <c r="S517" s="96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6"/>
      <c r="B518" s="13"/>
      <c r="C518" s="16"/>
      <c r="D518" s="16"/>
      <c r="E518" s="16"/>
      <c r="F518" s="16"/>
      <c r="G518" s="16"/>
      <c r="H518" s="16"/>
      <c r="I518" s="125"/>
      <c r="J518" s="16"/>
      <c r="K518" s="13"/>
      <c r="L518" s="13"/>
      <c r="M518" s="13"/>
      <c r="N518" s="16"/>
      <c r="O518" s="16"/>
      <c r="P518" s="16"/>
      <c r="Q518" s="16"/>
      <c r="R518" s="96"/>
      <c r="S518" s="96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6"/>
      <c r="B519" s="13"/>
      <c r="C519" s="16"/>
      <c r="D519" s="16"/>
      <c r="E519" s="16"/>
      <c r="F519" s="16"/>
      <c r="G519" s="16"/>
      <c r="H519" s="16"/>
      <c r="I519" s="125"/>
      <c r="J519" s="16"/>
      <c r="K519" s="13"/>
      <c r="L519" s="13"/>
      <c r="M519" s="13"/>
      <c r="N519" s="16"/>
      <c r="O519" s="16"/>
      <c r="P519" s="16"/>
      <c r="Q519" s="16"/>
      <c r="R519" s="96"/>
      <c r="S519" s="96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6"/>
      <c r="B520" s="13"/>
      <c r="C520" s="16"/>
      <c r="D520" s="16"/>
      <c r="E520" s="16"/>
      <c r="F520" s="16"/>
      <c r="G520" s="16"/>
      <c r="H520" s="16"/>
      <c r="I520" s="125"/>
      <c r="J520" s="16"/>
      <c r="K520" s="13"/>
      <c r="L520" s="13"/>
      <c r="M520" s="13"/>
      <c r="N520" s="16"/>
      <c r="O520" s="16"/>
      <c r="P520" s="16"/>
      <c r="Q520" s="16"/>
      <c r="R520" s="96"/>
      <c r="S520" s="96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6"/>
      <c r="B521" s="13"/>
      <c r="C521" s="16"/>
      <c r="D521" s="16"/>
      <c r="E521" s="16"/>
      <c r="F521" s="16"/>
      <c r="G521" s="16"/>
      <c r="H521" s="16"/>
      <c r="I521" s="125"/>
      <c r="J521" s="16"/>
      <c r="K521" s="13"/>
      <c r="L521" s="13"/>
      <c r="M521" s="13"/>
      <c r="N521" s="16"/>
      <c r="O521" s="16"/>
      <c r="P521" s="16"/>
      <c r="Q521" s="16"/>
      <c r="R521" s="96"/>
      <c r="S521" s="96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6"/>
      <c r="B522" s="13"/>
      <c r="C522" s="16"/>
      <c r="D522" s="16"/>
      <c r="E522" s="16"/>
      <c r="F522" s="16"/>
      <c r="G522" s="16"/>
      <c r="H522" s="16"/>
      <c r="I522" s="125"/>
      <c r="J522" s="16"/>
      <c r="K522" s="13"/>
      <c r="L522" s="13"/>
      <c r="M522" s="13"/>
      <c r="N522" s="16"/>
      <c r="O522" s="16"/>
      <c r="P522" s="16"/>
      <c r="Q522" s="16"/>
      <c r="R522" s="96"/>
      <c r="S522" s="96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6"/>
      <c r="B523" s="13"/>
      <c r="C523" s="16"/>
      <c r="D523" s="16"/>
      <c r="E523" s="16"/>
      <c r="F523" s="16"/>
      <c r="G523" s="16"/>
      <c r="H523" s="16"/>
      <c r="I523" s="125"/>
      <c r="J523" s="16"/>
      <c r="K523" s="13"/>
      <c r="L523" s="13"/>
      <c r="M523" s="13"/>
      <c r="N523" s="16"/>
      <c r="O523" s="16"/>
      <c r="P523" s="16"/>
      <c r="Q523" s="16"/>
      <c r="R523" s="96"/>
      <c r="S523" s="96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6"/>
      <c r="B524" s="13"/>
      <c r="C524" s="16"/>
      <c r="D524" s="16"/>
      <c r="E524" s="16"/>
      <c r="F524" s="16"/>
      <c r="G524" s="16"/>
      <c r="H524" s="16"/>
      <c r="I524" s="125"/>
      <c r="J524" s="16"/>
      <c r="K524" s="13"/>
      <c r="L524" s="13"/>
      <c r="M524" s="13"/>
      <c r="N524" s="16"/>
      <c r="O524" s="16"/>
      <c r="P524" s="16"/>
      <c r="Q524" s="16"/>
      <c r="R524" s="96"/>
      <c r="S524" s="96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6"/>
      <c r="B525" s="13"/>
      <c r="C525" s="16"/>
      <c r="D525" s="16"/>
      <c r="E525" s="16"/>
      <c r="F525" s="16"/>
      <c r="G525" s="16"/>
      <c r="H525" s="16"/>
      <c r="I525" s="125"/>
      <c r="J525" s="16"/>
      <c r="K525" s="13"/>
      <c r="L525" s="13"/>
      <c r="M525" s="13"/>
      <c r="N525" s="16"/>
      <c r="O525" s="16"/>
      <c r="P525" s="16"/>
      <c r="Q525" s="16"/>
      <c r="R525" s="96"/>
      <c r="S525" s="96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6"/>
      <c r="B526" s="13"/>
      <c r="C526" s="16"/>
      <c r="D526" s="16"/>
      <c r="E526" s="16"/>
      <c r="F526" s="16"/>
      <c r="G526" s="16"/>
      <c r="H526" s="16"/>
      <c r="I526" s="125"/>
      <c r="J526" s="16"/>
      <c r="K526" s="13"/>
      <c r="L526" s="13"/>
      <c r="M526" s="13"/>
      <c r="N526" s="16"/>
      <c r="O526" s="16"/>
      <c r="P526" s="16"/>
      <c r="Q526" s="16"/>
      <c r="R526" s="96"/>
      <c r="S526" s="96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6"/>
      <c r="B527" s="13"/>
      <c r="C527" s="16"/>
      <c r="D527" s="16"/>
      <c r="E527" s="16"/>
      <c r="F527" s="16"/>
      <c r="G527" s="16"/>
      <c r="H527" s="16"/>
      <c r="I527" s="125"/>
      <c r="J527" s="16"/>
      <c r="K527" s="13"/>
      <c r="L527" s="13"/>
      <c r="M527" s="13"/>
      <c r="N527" s="16"/>
      <c r="O527" s="16"/>
      <c r="P527" s="16"/>
      <c r="Q527" s="16"/>
      <c r="R527" s="96"/>
      <c r="S527" s="96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6"/>
      <c r="B528" s="13"/>
      <c r="C528" s="16"/>
      <c r="D528" s="16"/>
      <c r="E528" s="16"/>
      <c r="F528" s="16"/>
      <c r="G528" s="16"/>
      <c r="H528" s="16"/>
      <c r="I528" s="125"/>
      <c r="J528" s="16"/>
      <c r="K528" s="13"/>
      <c r="L528" s="13"/>
      <c r="M528" s="13"/>
      <c r="N528" s="16"/>
      <c r="O528" s="16"/>
      <c r="P528" s="16"/>
      <c r="Q528" s="16"/>
      <c r="R528" s="96"/>
      <c r="S528" s="96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6"/>
      <c r="B529" s="13"/>
      <c r="C529" s="16"/>
      <c r="D529" s="16"/>
      <c r="E529" s="16"/>
      <c r="F529" s="16"/>
      <c r="G529" s="16"/>
      <c r="H529" s="16"/>
      <c r="I529" s="125"/>
      <c r="J529" s="16"/>
      <c r="K529" s="13"/>
      <c r="L529" s="13"/>
      <c r="M529" s="13"/>
      <c r="N529" s="16"/>
      <c r="O529" s="16"/>
      <c r="P529" s="16"/>
      <c r="Q529" s="16"/>
      <c r="R529" s="96"/>
      <c r="S529" s="96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6"/>
      <c r="B530" s="13"/>
      <c r="C530" s="16"/>
      <c r="D530" s="16"/>
      <c r="E530" s="16"/>
      <c r="F530" s="16"/>
      <c r="G530" s="16"/>
      <c r="H530" s="16"/>
      <c r="I530" s="125"/>
      <c r="J530" s="16"/>
      <c r="K530" s="13"/>
      <c r="L530" s="13"/>
      <c r="M530" s="13"/>
      <c r="N530" s="16"/>
      <c r="O530" s="16"/>
      <c r="P530" s="16"/>
      <c r="Q530" s="16"/>
      <c r="R530" s="96"/>
      <c r="S530" s="96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6"/>
      <c r="B531" s="13"/>
      <c r="C531" s="16"/>
      <c r="D531" s="16"/>
      <c r="E531" s="16"/>
      <c r="F531" s="16"/>
      <c r="G531" s="16"/>
      <c r="H531" s="16"/>
      <c r="I531" s="125"/>
      <c r="J531" s="16"/>
      <c r="K531" s="13"/>
      <c r="L531" s="13"/>
      <c r="M531" s="13"/>
      <c r="N531" s="16"/>
      <c r="O531" s="16"/>
      <c r="P531" s="16"/>
      <c r="Q531" s="16"/>
      <c r="R531" s="96"/>
      <c r="S531" s="96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6"/>
      <c r="B532" s="13"/>
      <c r="C532" s="16"/>
      <c r="D532" s="16"/>
      <c r="E532" s="16"/>
      <c r="F532" s="16"/>
      <c r="G532" s="16"/>
      <c r="H532" s="16"/>
      <c r="I532" s="125"/>
      <c r="J532" s="16"/>
      <c r="K532" s="13"/>
      <c r="L532" s="13"/>
      <c r="M532" s="13"/>
      <c r="N532" s="16"/>
      <c r="O532" s="16"/>
      <c r="P532" s="16"/>
      <c r="Q532" s="16"/>
      <c r="R532" s="96"/>
      <c r="S532" s="96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6"/>
      <c r="B533" s="13"/>
      <c r="C533" s="16"/>
      <c r="D533" s="16"/>
      <c r="E533" s="16"/>
      <c r="F533" s="16"/>
      <c r="G533" s="16"/>
      <c r="H533" s="16"/>
      <c r="I533" s="125"/>
      <c r="J533" s="16"/>
      <c r="K533" s="13"/>
      <c r="L533" s="13"/>
      <c r="M533" s="13"/>
      <c r="N533" s="16"/>
      <c r="O533" s="16"/>
      <c r="P533" s="16"/>
      <c r="Q533" s="16"/>
      <c r="R533" s="96"/>
      <c r="S533" s="96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6"/>
      <c r="B534" s="13"/>
      <c r="C534" s="16"/>
      <c r="D534" s="16"/>
      <c r="E534" s="16"/>
      <c r="F534" s="16"/>
      <c r="G534" s="16"/>
      <c r="H534" s="16"/>
      <c r="I534" s="125"/>
      <c r="J534" s="16"/>
      <c r="K534" s="13"/>
      <c r="L534" s="13"/>
      <c r="M534" s="13"/>
      <c r="N534" s="16"/>
      <c r="O534" s="16"/>
      <c r="P534" s="16"/>
      <c r="Q534" s="16"/>
      <c r="R534" s="96"/>
      <c r="S534" s="96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6"/>
      <c r="B535" s="13"/>
      <c r="C535" s="16"/>
      <c r="D535" s="16"/>
      <c r="E535" s="16"/>
      <c r="F535" s="16"/>
      <c r="G535" s="16"/>
      <c r="H535" s="16"/>
      <c r="I535" s="125"/>
      <c r="J535" s="16"/>
      <c r="K535" s="13"/>
      <c r="L535" s="13"/>
      <c r="M535" s="13"/>
      <c r="N535" s="16"/>
      <c r="O535" s="16"/>
      <c r="P535" s="16"/>
      <c r="Q535" s="16"/>
      <c r="R535" s="96"/>
      <c r="S535" s="96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6"/>
      <c r="B536" s="13"/>
      <c r="C536" s="16"/>
      <c r="D536" s="16"/>
      <c r="E536" s="16"/>
      <c r="F536" s="16"/>
      <c r="G536" s="16"/>
      <c r="H536" s="16"/>
      <c r="I536" s="125"/>
      <c r="J536" s="16"/>
      <c r="K536" s="13"/>
      <c r="L536" s="13"/>
      <c r="M536" s="13"/>
      <c r="N536" s="16"/>
      <c r="O536" s="16"/>
      <c r="P536" s="16"/>
      <c r="Q536" s="16"/>
      <c r="R536" s="96"/>
      <c r="S536" s="96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6"/>
      <c r="B537" s="13"/>
      <c r="C537" s="16"/>
      <c r="D537" s="16"/>
      <c r="E537" s="16"/>
      <c r="F537" s="16"/>
      <c r="G537" s="16"/>
      <c r="H537" s="16"/>
      <c r="I537" s="125"/>
      <c r="J537" s="16"/>
      <c r="K537" s="13"/>
      <c r="L537" s="13"/>
      <c r="M537" s="13"/>
      <c r="N537" s="16"/>
      <c r="O537" s="16"/>
      <c r="P537" s="16"/>
      <c r="Q537" s="16"/>
      <c r="R537" s="96"/>
      <c r="S537" s="96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6"/>
      <c r="B538" s="13"/>
      <c r="C538" s="16"/>
      <c r="D538" s="16"/>
      <c r="E538" s="16"/>
      <c r="F538" s="16"/>
      <c r="G538" s="16"/>
      <c r="H538" s="16"/>
      <c r="I538" s="125"/>
      <c r="J538" s="16"/>
      <c r="K538" s="13"/>
      <c r="L538" s="13"/>
      <c r="M538" s="13"/>
      <c r="N538" s="16"/>
      <c r="O538" s="16"/>
      <c r="P538" s="16"/>
      <c r="Q538" s="16"/>
      <c r="R538" s="96"/>
      <c r="S538" s="96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6"/>
      <c r="B539" s="13"/>
      <c r="C539" s="16"/>
      <c r="D539" s="16"/>
      <c r="E539" s="16"/>
      <c r="F539" s="16"/>
      <c r="G539" s="16"/>
      <c r="H539" s="16"/>
      <c r="I539" s="125"/>
      <c r="J539" s="16"/>
      <c r="K539" s="13"/>
      <c r="L539" s="13"/>
      <c r="M539" s="13"/>
      <c r="N539" s="16"/>
      <c r="O539" s="16"/>
      <c r="P539" s="16"/>
      <c r="Q539" s="16"/>
      <c r="R539" s="96"/>
      <c r="S539" s="96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6"/>
      <c r="B540" s="13"/>
      <c r="C540" s="16"/>
      <c r="D540" s="16"/>
      <c r="E540" s="16"/>
      <c r="F540" s="16"/>
      <c r="G540" s="16"/>
      <c r="H540" s="16"/>
      <c r="I540" s="125"/>
      <c r="J540" s="16"/>
      <c r="K540" s="13"/>
      <c r="L540" s="13"/>
      <c r="M540" s="13"/>
      <c r="N540" s="16"/>
      <c r="O540" s="16"/>
      <c r="P540" s="16"/>
      <c r="Q540" s="16"/>
      <c r="R540" s="96"/>
      <c r="S540" s="96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6"/>
      <c r="B541" s="13"/>
      <c r="C541" s="16"/>
      <c r="D541" s="16"/>
      <c r="E541" s="16"/>
      <c r="F541" s="16"/>
      <c r="G541" s="16"/>
      <c r="H541" s="16"/>
      <c r="I541" s="125"/>
      <c r="J541" s="16"/>
      <c r="K541" s="13"/>
      <c r="L541" s="13"/>
      <c r="M541" s="13"/>
      <c r="N541" s="16"/>
      <c r="O541" s="16"/>
      <c r="P541" s="16"/>
      <c r="Q541" s="16"/>
      <c r="R541" s="96"/>
      <c r="S541" s="96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6"/>
      <c r="B542" s="13"/>
      <c r="C542" s="16"/>
      <c r="D542" s="16"/>
      <c r="E542" s="16"/>
      <c r="F542" s="16"/>
      <c r="G542" s="16"/>
      <c r="H542" s="16"/>
      <c r="I542" s="125"/>
      <c r="J542" s="16"/>
      <c r="K542" s="13"/>
      <c r="L542" s="13"/>
      <c r="M542" s="13"/>
      <c r="N542" s="16"/>
      <c r="O542" s="16"/>
      <c r="P542" s="16"/>
      <c r="Q542" s="16"/>
      <c r="R542" s="96"/>
      <c r="S542" s="96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6"/>
      <c r="B543" s="13"/>
      <c r="C543" s="16"/>
      <c r="D543" s="16"/>
      <c r="E543" s="16"/>
      <c r="F543" s="16"/>
      <c r="G543" s="16"/>
      <c r="H543" s="16"/>
      <c r="I543" s="125"/>
      <c r="J543" s="16"/>
      <c r="K543" s="13"/>
      <c r="L543" s="13"/>
      <c r="M543" s="13"/>
      <c r="N543" s="16"/>
      <c r="O543" s="16"/>
      <c r="P543" s="16"/>
      <c r="Q543" s="16"/>
      <c r="R543" s="96"/>
      <c r="S543" s="96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6"/>
      <c r="B544" s="13"/>
      <c r="C544" s="16"/>
      <c r="D544" s="16"/>
      <c r="E544" s="16"/>
      <c r="F544" s="16"/>
      <c r="G544" s="16"/>
      <c r="H544" s="16"/>
      <c r="I544" s="125"/>
      <c r="J544" s="16"/>
      <c r="K544" s="13"/>
      <c r="L544" s="13"/>
      <c r="M544" s="13"/>
      <c r="N544" s="16"/>
      <c r="O544" s="16"/>
      <c r="P544" s="16"/>
      <c r="Q544" s="16"/>
      <c r="R544" s="96"/>
      <c r="S544" s="96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6"/>
      <c r="B545" s="13"/>
      <c r="C545" s="16"/>
      <c r="D545" s="16"/>
      <c r="E545" s="16"/>
      <c r="F545" s="16"/>
      <c r="G545" s="16"/>
      <c r="H545" s="16"/>
      <c r="I545" s="125"/>
      <c r="J545" s="16"/>
      <c r="K545" s="13"/>
      <c r="L545" s="13"/>
      <c r="M545" s="13"/>
      <c r="N545" s="16"/>
      <c r="O545" s="16"/>
      <c r="P545" s="16"/>
      <c r="Q545" s="16"/>
      <c r="R545" s="96"/>
      <c r="S545" s="96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6"/>
      <c r="B546" s="13"/>
      <c r="C546" s="16"/>
      <c r="D546" s="16"/>
      <c r="E546" s="16"/>
      <c r="F546" s="16"/>
      <c r="G546" s="16"/>
      <c r="H546" s="16"/>
      <c r="I546" s="125"/>
      <c r="J546" s="16"/>
      <c r="K546" s="13"/>
      <c r="L546" s="13"/>
      <c r="M546" s="13"/>
      <c r="N546" s="16"/>
      <c r="O546" s="16"/>
      <c r="P546" s="16"/>
      <c r="Q546" s="16"/>
      <c r="R546" s="96"/>
      <c r="S546" s="96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6"/>
      <c r="B547" s="13"/>
      <c r="C547" s="16"/>
      <c r="D547" s="16"/>
      <c r="E547" s="16"/>
      <c r="F547" s="16"/>
      <c r="G547" s="16"/>
      <c r="H547" s="16"/>
      <c r="I547" s="125"/>
      <c r="J547" s="16"/>
      <c r="K547" s="13"/>
      <c r="L547" s="13"/>
      <c r="M547" s="13"/>
      <c r="N547" s="16"/>
      <c r="O547" s="16"/>
      <c r="P547" s="16"/>
      <c r="Q547" s="16"/>
      <c r="R547" s="96"/>
      <c r="S547" s="96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6"/>
      <c r="B548" s="13"/>
      <c r="C548" s="16"/>
      <c r="D548" s="16"/>
      <c r="E548" s="16"/>
      <c r="F548" s="16"/>
      <c r="G548" s="16"/>
      <c r="H548" s="16"/>
      <c r="I548" s="125"/>
      <c r="J548" s="16"/>
      <c r="K548" s="13"/>
      <c r="L548" s="13"/>
      <c r="M548" s="13"/>
      <c r="N548" s="16"/>
      <c r="O548" s="16"/>
      <c r="P548" s="16"/>
      <c r="Q548" s="16"/>
      <c r="R548" s="96"/>
      <c r="S548" s="96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6"/>
      <c r="B549" s="13"/>
      <c r="C549" s="16"/>
      <c r="D549" s="16"/>
      <c r="E549" s="16"/>
      <c r="F549" s="16"/>
      <c r="G549" s="16"/>
      <c r="H549" s="16"/>
      <c r="I549" s="125"/>
      <c r="J549" s="16"/>
      <c r="K549" s="13"/>
      <c r="L549" s="13"/>
      <c r="M549" s="13"/>
      <c r="N549" s="16"/>
      <c r="O549" s="16"/>
      <c r="P549" s="16"/>
      <c r="Q549" s="16"/>
      <c r="R549" s="96"/>
      <c r="S549" s="96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6"/>
      <c r="B550" s="13"/>
      <c r="C550" s="16"/>
      <c r="D550" s="16"/>
      <c r="E550" s="16"/>
      <c r="F550" s="16"/>
      <c r="G550" s="16"/>
      <c r="H550" s="16"/>
      <c r="I550" s="125"/>
      <c r="J550" s="16"/>
      <c r="K550" s="13"/>
      <c r="L550" s="13"/>
      <c r="M550" s="13"/>
      <c r="N550" s="16"/>
      <c r="O550" s="16"/>
      <c r="P550" s="16"/>
      <c r="Q550" s="16"/>
      <c r="R550" s="96"/>
      <c r="S550" s="96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6"/>
      <c r="B551" s="13"/>
      <c r="C551" s="16"/>
      <c r="D551" s="16"/>
      <c r="E551" s="16"/>
      <c r="F551" s="16"/>
      <c r="G551" s="16"/>
      <c r="H551" s="16"/>
      <c r="I551" s="125"/>
      <c r="J551" s="16"/>
      <c r="K551" s="13"/>
      <c r="L551" s="13"/>
      <c r="M551" s="13"/>
      <c r="N551" s="16"/>
      <c r="O551" s="16"/>
      <c r="P551" s="16"/>
      <c r="Q551" s="16"/>
      <c r="R551" s="96"/>
      <c r="S551" s="96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6"/>
      <c r="B552" s="13"/>
      <c r="C552" s="16"/>
      <c r="D552" s="16"/>
      <c r="E552" s="16"/>
      <c r="F552" s="16"/>
      <c r="G552" s="16"/>
      <c r="H552" s="16"/>
      <c r="I552" s="125"/>
      <c r="J552" s="16"/>
      <c r="K552" s="13"/>
      <c r="L552" s="13"/>
      <c r="M552" s="13"/>
      <c r="N552" s="16"/>
      <c r="O552" s="16"/>
      <c r="P552" s="16"/>
      <c r="Q552" s="16"/>
      <c r="R552" s="96"/>
      <c r="S552" s="96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6"/>
      <c r="B553" s="13"/>
      <c r="C553" s="16"/>
      <c r="D553" s="16"/>
      <c r="E553" s="16"/>
      <c r="F553" s="16"/>
      <c r="G553" s="16"/>
      <c r="H553" s="16"/>
      <c r="I553" s="125"/>
      <c r="J553" s="16"/>
      <c r="K553" s="13"/>
      <c r="L553" s="13"/>
      <c r="M553" s="13"/>
      <c r="N553" s="16"/>
      <c r="O553" s="16"/>
      <c r="P553" s="16"/>
      <c r="Q553" s="16"/>
      <c r="R553" s="96"/>
      <c r="S553" s="96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6"/>
      <c r="B554" s="13"/>
      <c r="C554" s="16"/>
      <c r="D554" s="16"/>
      <c r="E554" s="16"/>
      <c r="F554" s="16"/>
      <c r="G554" s="16"/>
      <c r="H554" s="16"/>
      <c r="I554" s="125"/>
      <c r="J554" s="16"/>
      <c r="K554" s="13"/>
      <c r="L554" s="13"/>
      <c r="M554" s="13"/>
      <c r="N554" s="16"/>
      <c r="O554" s="16"/>
      <c r="P554" s="16"/>
      <c r="Q554" s="16"/>
      <c r="R554" s="96"/>
      <c r="S554" s="96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6"/>
      <c r="B555" s="13"/>
      <c r="C555" s="16"/>
      <c r="D555" s="16"/>
      <c r="E555" s="16"/>
      <c r="F555" s="16"/>
      <c r="G555" s="16"/>
      <c r="H555" s="16"/>
      <c r="I555" s="125"/>
      <c r="J555" s="16"/>
      <c r="K555" s="13"/>
      <c r="L555" s="13"/>
      <c r="M555" s="13"/>
      <c r="N555" s="16"/>
      <c r="O555" s="16"/>
      <c r="P555" s="16"/>
      <c r="Q555" s="16"/>
      <c r="R555" s="96"/>
      <c r="S555" s="96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6"/>
      <c r="B556" s="13"/>
      <c r="C556" s="16"/>
      <c r="D556" s="16"/>
      <c r="E556" s="16"/>
      <c r="F556" s="16"/>
      <c r="G556" s="16"/>
      <c r="H556" s="16"/>
      <c r="I556" s="125"/>
      <c r="J556" s="16"/>
      <c r="K556" s="13"/>
      <c r="L556" s="13"/>
      <c r="M556" s="13"/>
      <c r="N556" s="16"/>
      <c r="O556" s="16"/>
      <c r="P556" s="16"/>
      <c r="Q556" s="16"/>
      <c r="R556" s="96"/>
      <c r="S556" s="96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6"/>
      <c r="B557" s="13"/>
      <c r="C557" s="16"/>
      <c r="D557" s="16"/>
      <c r="E557" s="16"/>
      <c r="F557" s="16"/>
      <c r="G557" s="16"/>
      <c r="H557" s="16"/>
      <c r="I557" s="125"/>
      <c r="J557" s="16"/>
      <c r="K557" s="13"/>
      <c r="L557" s="13"/>
      <c r="M557" s="13"/>
      <c r="N557" s="16"/>
      <c r="O557" s="16"/>
      <c r="P557" s="16"/>
      <c r="Q557" s="16"/>
      <c r="R557" s="96"/>
      <c r="S557" s="96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6"/>
      <c r="B558" s="13"/>
      <c r="C558" s="16"/>
      <c r="D558" s="16"/>
      <c r="E558" s="16"/>
      <c r="F558" s="16"/>
      <c r="G558" s="16"/>
      <c r="H558" s="16"/>
      <c r="I558" s="125"/>
      <c r="J558" s="16"/>
      <c r="K558" s="13"/>
      <c r="L558" s="13"/>
      <c r="M558" s="13"/>
      <c r="N558" s="16"/>
      <c r="O558" s="16"/>
      <c r="P558" s="16"/>
      <c r="Q558" s="16"/>
      <c r="R558" s="96"/>
      <c r="S558" s="96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6"/>
      <c r="B559" s="13"/>
      <c r="C559" s="16"/>
      <c r="D559" s="16"/>
      <c r="E559" s="16"/>
      <c r="F559" s="16"/>
      <c r="G559" s="16"/>
      <c r="H559" s="16"/>
      <c r="I559" s="125"/>
      <c r="J559" s="16"/>
      <c r="K559" s="13"/>
      <c r="L559" s="13"/>
      <c r="M559" s="13"/>
      <c r="N559" s="16"/>
      <c r="O559" s="16"/>
      <c r="P559" s="16"/>
      <c r="Q559" s="16"/>
      <c r="R559" s="96"/>
      <c r="S559" s="96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6"/>
      <c r="B560" s="13"/>
      <c r="C560" s="16"/>
      <c r="D560" s="16"/>
      <c r="E560" s="16"/>
      <c r="F560" s="16"/>
      <c r="G560" s="16"/>
      <c r="H560" s="16"/>
      <c r="I560" s="125"/>
      <c r="J560" s="16"/>
      <c r="K560" s="13"/>
      <c r="L560" s="13"/>
      <c r="M560" s="13"/>
      <c r="N560" s="16"/>
      <c r="O560" s="16"/>
      <c r="P560" s="16"/>
      <c r="Q560" s="16"/>
      <c r="R560" s="96"/>
      <c r="S560" s="96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6"/>
      <c r="B561" s="13"/>
      <c r="C561" s="16"/>
      <c r="D561" s="16"/>
      <c r="E561" s="16"/>
      <c r="F561" s="16"/>
      <c r="G561" s="16"/>
      <c r="H561" s="16"/>
      <c r="I561" s="125"/>
      <c r="J561" s="16"/>
      <c r="K561" s="13"/>
      <c r="L561" s="13"/>
      <c r="M561" s="13"/>
      <c r="N561" s="16"/>
      <c r="O561" s="16"/>
      <c r="P561" s="16"/>
      <c r="Q561" s="16"/>
      <c r="R561" s="96"/>
      <c r="S561" s="96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6"/>
      <c r="B562" s="13"/>
      <c r="C562" s="16"/>
      <c r="D562" s="16"/>
      <c r="E562" s="16"/>
      <c r="F562" s="16"/>
      <c r="G562" s="16"/>
      <c r="H562" s="16"/>
      <c r="I562" s="125"/>
      <c r="J562" s="16"/>
      <c r="K562" s="13"/>
      <c r="L562" s="13"/>
      <c r="M562" s="13"/>
      <c r="N562" s="16"/>
      <c r="O562" s="16"/>
      <c r="P562" s="16"/>
      <c r="Q562" s="16"/>
      <c r="R562" s="96"/>
      <c r="S562" s="96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6"/>
      <c r="B563" s="13"/>
      <c r="C563" s="16"/>
      <c r="D563" s="16"/>
      <c r="E563" s="16"/>
      <c r="F563" s="16"/>
      <c r="G563" s="16"/>
      <c r="H563" s="16"/>
      <c r="I563" s="125"/>
      <c r="J563" s="16"/>
      <c r="K563" s="13"/>
      <c r="L563" s="13"/>
      <c r="M563" s="13"/>
      <c r="N563" s="16"/>
      <c r="O563" s="16"/>
      <c r="P563" s="16"/>
      <c r="Q563" s="16"/>
      <c r="R563" s="96"/>
      <c r="S563" s="96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6"/>
      <c r="B564" s="13"/>
      <c r="C564" s="16"/>
      <c r="D564" s="16"/>
      <c r="E564" s="16"/>
      <c r="F564" s="16"/>
      <c r="G564" s="16"/>
      <c r="H564" s="16"/>
      <c r="I564" s="125"/>
      <c r="J564" s="16"/>
      <c r="K564" s="13"/>
      <c r="L564" s="13"/>
      <c r="M564" s="13"/>
      <c r="N564" s="16"/>
      <c r="O564" s="16"/>
      <c r="P564" s="16"/>
      <c r="Q564" s="16"/>
      <c r="R564" s="96"/>
      <c r="S564" s="96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6"/>
      <c r="B565" s="13"/>
      <c r="C565" s="16"/>
      <c r="D565" s="16"/>
      <c r="E565" s="16"/>
      <c r="F565" s="16"/>
      <c r="G565" s="16"/>
      <c r="H565" s="16"/>
      <c r="I565" s="125"/>
      <c r="J565" s="16"/>
      <c r="K565" s="13"/>
      <c r="L565" s="13"/>
      <c r="M565" s="13"/>
      <c r="N565" s="16"/>
      <c r="O565" s="16"/>
      <c r="P565" s="16"/>
      <c r="Q565" s="16"/>
      <c r="R565" s="96"/>
      <c r="S565" s="96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6"/>
      <c r="B566" s="13"/>
      <c r="C566" s="16"/>
      <c r="D566" s="16"/>
      <c r="E566" s="16"/>
      <c r="F566" s="16"/>
      <c r="G566" s="16"/>
      <c r="H566" s="16"/>
      <c r="I566" s="125"/>
      <c r="J566" s="16"/>
      <c r="K566" s="13"/>
      <c r="L566" s="13"/>
      <c r="M566" s="13"/>
      <c r="N566" s="16"/>
      <c r="O566" s="16"/>
      <c r="P566" s="16"/>
      <c r="Q566" s="16"/>
      <c r="R566" s="96"/>
      <c r="S566" s="96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6"/>
      <c r="B567" s="13"/>
      <c r="C567" s="16"/>
      <c r="D567" s="16"/>
      <c r="E567" s="16"/>
      <c r="F567" s="16"/>
      <c r="G567" s="16"/>
      <c r="H567" s="16"/>
      <c r="I567" s="125"/>
      <c r="J567" s="16"/>
      <c r="K567" s="13"/>
      <c r="L567" s="13"/>
      <c r="M567" s="13"/>
      <c r="N567" s="16"/>
      <c r="O567" s="16"/>
      <c r="P567" s="16"/>
      <c r="Q567" s="16"/>
      <c r="R567" s="96"/>
      <c r="S567" s="96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6"/>
      <c r="B568" s="13"/>
      <c r="C568" s="16"/>
      <c r="D568" s="16"/>
      <c r="E568" s="16"/>
      <c r="F568" s="16"/>
      <c r="G568" s="16"/>
      <c r="H568" s="16"/>
      <c r="I568" s="125"/>
      <c r="J568" s="16"/>
      <c r="K568" s="13"/>
      <c r="L568" s="13"/>
      <c r="M568" s="13"/>
      <c r="N568" s="16"/>
      <c r="O568" s="16"/>
      <c r="P568" s="16"/>
      <c r="Q568" s="16"/>
      <c r="R568" s="96"/>
      <c r="S568" s="96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6"/>
      <c r="B569" s="13"/>
      <c r="C569" s="16"/>
      <c r="D569" s="16"/>
      <c r="E569" s="16"/>
      <c r="F569" s="16"/>
      <c r="G569" s="16"/>
      <c r="H569" s="16"/>
      <c r="I569" s="125"/>
      <c r="J569" s="16"/>
      <c r="K569" s="13"/>
      <c r="L569" s="13"/>
      <c r="M569" s="13"/>
      <c r="N569" s="16"/>
      <c r="O569" s="16"/>
      <c r="P569" s="16"/>
      <c r="Q569" s="16"/>
      <c r="R569" s="96"/>
      <c r="S569" s="96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6"/>
      <c r="B570" s="13"/>
      <c r="C570" s="16"/>
      <c r="D570" s="16"/>
      <c r="E570" s="16"/>
      <c r="F570" s="16"/>
      <c r="G570" s="16"/>
      <c r="H570" s="16"/>
      <c r="I570" s="125"/>
      <c r="J570" s="16"/>
      <c r="K570" s="13"/>
      <c r="L570" s="13"/>
      <c r="M570" s="13"/>
      <c r="N570" s="16"/>
      <c r="O570" s="16"/>
      <c r="P570" s="16"/>
      <c r="Q570" s="16"/>
      <c r="R570" s="96"/>
      <c r="S570" s="96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6"/>
      <c r="B571" s="13"/>
      <c r="C571" s="16"/>
      <c r="D571" s="16"/>
      <c r="E571" s="16"/>
      <c r="F571" s="16"/>
      <c r="G571" s="16"/>
      <c r="H571" s="16"/>
      <c r="I571" s="125"/>
      <c r="J571" s="16"/>
      <c r="K571" s="13"/>
      <c r="L571" s="13"/>
      <c r="M571" s="13"/>
      <c r="N571" s="16"/>
      <c r="O571" s="16"/>
      <c r="P571" s="16"/>
      <c r="Q571" s="16"/>
      <c r="R571" s="96"/>
      <c r="S571" s="96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6"/>
      <c r="B572" s="13"/>
      <c r="C572" s="16"/>
      <c r="D572" s="16"/>
      <c r="E572" s="16"/>
      <c r="F572" s="16"/>
      <c r="G572" s="16"/>
      <c r="H572" s="16"/>
      <c r="I572" s="125"/>
      <c r="J572" s="16"/>
      <c r="K572" s="13"/>
      <c r="L572" s="13"/>
      <c r="M572" s="13"/>
      <c r="N572" s="16"/>
      <c r="O572" s="16"/>
      <c r="P572" s="16"/>
      <c r="Q572" s="16"/>
      <c r="R572" s="96"/>
      <c r="S572" s="96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6"/>
      <c r="B573" s="13"/>
      <c r="C573" s="16"/>
      <c r="D573" s="16"/>
      <c r="E573" s="16"/>
      <c r="F573" s="16"/>
      <c r="G573" s="16"/>
      <c r="H573" s="16"/>
      <c r="I573" s="125"/>
      <c r="J573" s="16"/>
      <c r="K573" s="13"/>
      <c r="L573" s="13"/>
      <c r="M573" s="13"/>
      <c r="N573" s="16"/>
      <c r="O573" s="16"/>
      <c r="P573" s="16"/>
      <c r="Q573" s="16"/>
      <c r="R573" s="96"/>
      <c r="S573" s="96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6"/>
      <c r="B574" s="13"/>
      <c r="C574" s="16"/>
      <c r="D574" s="16"/>
      <c r="E574" s="16"/>
      <c r="F574" s="16"/>
      <c r="G574" s="16"/>
      <c r="H574" s="16"/>
      <c r="I574" s="125"/>
      <c r="J574" s="16"/>
      <c r="K574" s="13"/>
      <c r="L574" s="13"/>
      <c r="M574" s="13"/>
      <c r="N574" s="16"/>
      <c r="O574" s="16"/>
      <c r="P574" s="16"/>
      <c r="Q574" s="16"/>
      <c r="R574" s="96"/>
      <c r="S574" s="96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6"/>
      <c r="B575" s="13"/>
      <c r="C575" s="16"/>
      <c r="D575" s="16"/>
      <c r="E575" s="16"/>
      <c r="F575" s="16"/>
      <c r="G575" s="16"/>
      <c r="H575" s="16"/>
      <c r="I575" s="125"/>
      <c r="J575" s="16"/>
      <c r="K575" s="13"/>
      <c r="L575" s="13"/>
      <c r="M575" s="13"/>
      <c r="N575" s="16"/>
      <c r="O575" s="16"/>
      <c r="P575" s="16"/>
      <c r="Q575" s="16"/>
      <c r="R575" s="96"/>
      <c r="S575" s="96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6"/>
      <c r="B576" s="13"/>
      <c r="C576" s="16"/>
      <c r="D576" s="16"/>
      <c r="E576" s="16"/>
      <c r="F576" s="16"/>
      <c r="G576" s="16"/>
      <c r="H576" s="16"/>
      <c r="I576" s="125"/>
      <c r="J576" s="16"/>
      <c r="K576" s="13"/>
      <c r="L576" s="13"/>
      <c r="M576" s="13"/>
      <c r="N576" s="16"/>
      <c r="O576" s="16"/>
      <c r="P576" s="16"/>
      <c r="Q576" s="16"/>
      <c r="R576" s="96"/>
      <c r="S576" s="96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6"/>
      <c r="B577" s="13"/>
      <c r="C577" s="16"/>
      <c r="D577" s="16"/>
      <c r="E577" s="16"/>
      <c r="F577" s="16"/>
      <c r="G577" s="16"/>
      <c r="H577" s="16"/>
      <c r="I577" s="125"/>
      <c r="J577" s="16"/>
      <c r="K577" s="13"/>
      <c r="L577" s="13"/>
      <c r="M577" s="13"/>
      <c r="N577" s="16"/>
      <c r="O577" s="16"/>
      <c r="P577" s="16"/>
      <c r="Q577" s="16"/>
      <c r="R577" s="96"/>
      <c r="S577" s="96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6"/>
      <c r="B578" s="13"/>
      <c r="C578" s="16"/>
      <c r="D578" s="16"/>
      <c r="E578" s="16"/>
      <c r="F578" s="16"/>
      <c r="G578" s="16"/>
      <c r="H578" s="16"/>
      <c r="I578" s="125"/>
      <c r="J578" s="16"/>
      <c r="K578" s="13"/>
      <c r="L578" s="13"/>
      <c r="M578" s="13"/>
      <c r="N578" s="16"/>
      <c r="O578" s="16"/>
      <c r="P578" s="16"/>
      <c r="Q578" s="16"/>
      <c r="R578" s="96"/>
      <c r="S578" s="96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6"/>
      <c r="B579" s="13"/>
      <c r="C579" s="16"/>
      <c r="D579" s="16"/>
      <c r="E579" s="16"/>
      <c r="F579" s="16"/>
      <c r="G579" s="16"/>
      <c r="H579" s="16"/>
      <c r="I579" s="125"/>
      <c r="J579" s="16"/>
      <c r="K579" s="13"/>
      <c r="L579" s="13"/>
      <c r="M579" s="13"/>
      <c r="N579" s="16"/>
      <c r="O579" s="16"/>
      <c r="P579" s="16"/>
      <c r="Q579" s="16"/>
      <c r="R579" s="96"/>
      <c r="S579" s="96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6"/>
      <c r="B580" s="13"/>
      <c r="C580" s="16"/>
      <c r="D580" s="16"/>
      <c r="E580" s="16"/>
      <c r="F580" s="16"/>
      <c r="G580" s="16"/>
      <c r="H580" s="16"/>
      <c r="I580" s="125"/>
      <c r="J580" s="16"/>
      <c r="K580" s="13"/>
      <c r="L580" s="13"/>
      <c r="M580" s="13"/>
      <c r="N580" s="16"/>
      <c r="O580" s="16"/>
      <c r="P580" s="16"/>
      <c r="Q580" s="16"/>
      <c r="R580" s="96"/>
      <c r="S580" s="96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6"/>
      <c r="B581" s="13"/>
      <c r="C581" s="16"/>
      <c r="D581" s="16"/>
      <c r="E581" s="16"/>
      <c r="F581" s="16"/>
      <c r="G581" s="16"/>
      <c r="H581" s="16"/>
      <c r="I581" s="125"/>
      <c r="J581" s="16"/>
      <c r="K581" s="13"/>
      <c r="L581" s="13"/>
      <c r="M581" s="13"/>
      <c r="N581" s="16"/>
      <c r="O581" s="16"/>
      <c r="P581" s="16"/>
      <c r="Q581" s="16"/>
      <c r="R581" s="96"/>
      <c r="S581" s="96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6"/>
      <c r="B582" s="13"/>
      <c r="C582" s="16"/>
      <c r="D582" s="16"/>
      <c r="E582" s="16"/>
      <c r="F582" s="16"/>
      <c r="G582" s="16"/>
      <c r="H582" s="16"/>
      <c r="I582" s="125"/>
      <c r="J582" s="16"/>
      <c r="K582" s="13"/>
      <c r="L582" s="13"/>
      <c r="M582" s="13"/>
      <c r="N582" s="16"/>
      <c r="O582" s="16"/>
      <c r="P582" s="16"/>
      <c r="Q582" s="16"/>
      <c r="R582" s="96"/>
      <c r="S582" s="96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6"/>
      <c r="B583" s="13"/>
      <c r="C583" s="16"/>
      <c r="D583" s="16"/>
      <c r="E583" s="16"/>
      <c r="F583" s="16"/>
      <c r="G583" s="16"/>
      <c r="H583" s="16"/>
      <c r="I583" s="125"/>
      <c r="J583" s="16"/>
      <c r="K583" s="13"/>
      <c r="L583" s="13"/>
      <c r="M583" s="13"/>
      <c r="N583" s="16"/>
      <c r="O583" s="16"/>
      <c r="P583" s="16"/>
      <c r="Q583" s="16"/>
      <c r="R583" s="96"/>
      <c r="S583" s="96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6"/>
      <c r="B584" s="13"/>
      <c r="C584" s="16"/>
      <c r="D584" s="16"/>
      <c r="E584" s="16"/>
      <c r="F584" s="16"/>
      <c r="G584" s="16"/>
      <c r="H584" s="16"/>
      <c r="I584" s="125"/>
      <c r="J584" s="16"/>
      <c r="K584" s="13"/>
      <c r="L584" s="13"/>
      <c r="M584" s="13"/>
      <c r="N584" s="16"/>
      <c r="O584" s="16"/>
      <c r="P584" s="16"/>
      <c r="Q584" s="16"/>
      <c r="R584" s="96"/>
      <c r="S584" s="96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6"/>
      <c r="B585" s="13"/>
      <c r="C585" s="16"/>
      <c r="D585" s="16"/>
      <c r="E585" s="16"/>
      <c r="F585" s="16"/>
      <c r="G585" s="16"/>
      <c r="H585" s="16"/>
      <c r="I585" s="125"/>
      <c r="J585" s="16"/>
      <c r="K585" s="13"/>
      <c r="L585" s="13"/>
      <c r="M585" s="13"/>
      <c r="N585" s="16"/>
      <c r="O585" s="16"/>
      <c r="P585" s="16"/>
      <c r="Q585" s="16"/>
      <c r="R585" s="96"/>
      <c r="S585" s="96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6"/>
      <c r="B586" s="13"/>
      <c r="C586" s="16"/>
      <c r="D586" s="16"/>
      <c r="E586" s="16"/>
      <c r="F586" s="16"/>
      <c r="G586" s="16"/>
      <c r="H586" s="16"/>
      <c r="I586" s="125"/>
      <c r="J586" s="16"/>
      <c r="K586" s="13"/>
      <c r="L586" s="13"/>
      <c r="M586" s="13"/>
      <c r="N586" s="16"/>
      <c r="O586" s="16"/>
      <c r="P586" s="16"/>
      <c r="Q586" s="16"/>
      <c r="R586" s="96"/>
      <c r="S586" s="96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6"/>
      <c r="B587" s="13"/>
      <c r="C587" s="16"/>
      <c r="D587" s="16"/>
      <c r="E587" s="16"/>
      <c r="F587" s="16"/>
      <c r="G587" s="16"/>
      <c r="H587" s="16"/>
      <c r="I587" s="125"/>
      <c r="J587" s="16"/>
      <c r="K587" s="13"/>
      <c r="L587" s="13"/>
      <c r="M587" s="13"/>
      <c r="N587" s="16"/>
      <c r="O587" s="16"/>
      <c r="P587" s="16"/>
      <c r="Q587" s="16"/>
      <c r="R587" s="96"/>
      <c r="S587" s="96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6"/>
      <c r="B588" s="13"/>
      <c r="C588" s="16"/>
      <c r="D588" s="16"/>
      <c r="E588" s="16"/>
      <c r="F588" s="16"/>
      <c r="G588" s="16"/>
      <c r="H588" s="16"/>
      <c r="I588" s="125"/>
      <c r="J588" s="16"/>
      <c r="K588" s="13"/>
      <c r="L588" s="13"/>
      <c r="M588" s="13"/>
      <c r="N588" s="16"/>
      <c r="O588" s="16"/>
      <c r="P588" s="16"/>
      <c r="Q588" s="16"/>
      <c r="R588" s="96"/>
      <c r="S588" s="96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6"/>
      <c r="B589" s="13"/>
      <c r="C589" s="16"/>
      <c r="D589" s="16"/>
      <c r="E589" s="16"/>
      <c r="F589" s="16"/>
      <c r="G589" s="16"/>
      <c r="H589" s="16"/>
      <c r="I589" s="125"/>
      <c r="J589" s="16"/>
      <c r="K589" s="13"/>
      <c r="L589" s="13"/>
      <c r="M589" s="13"/>
      <c r="N589" s="16"/>
      <c r="O589" s="16"/>
      <c r="P589" s="16"/>
      <c r="Q589" s="16"/>
      <c r="R589" s="96"/>
      <c r="S589" s="96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6"/>
      <c r="B590" s="13"/>
      <c r="C590" s="16"/>
      <c r="D590" s="16"/>
      <c r="E590" s="16"/>
      <c r="F590" s="16"/>
      <c r="G590" s="16"/>
      <c r="H590" s="16"/>
      <c r="I590" s="125"/>
      <c r="J590" s="16"/>
      <c r="K590" s="13"/>
      <c r="L590" s="13"/>
      <c r="M590" s="13"/>
      <c r="N590" s="16"/>
      <c r="O590" s="16"/>
      <c r="P590" s="16"/>
      <c r="Q590" s="16"/>
      <c r="R590" s="96"/>
      <c r="S590" s="96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6"/>
      <c r="B591" s="13"/>
      <c r="C591" s="16"/>
      <c r="D591" s="16"/>
      <c r="E591" s="16"/>
      <c r="F591" s="16"/>
      <c r="G591" s="16"/>
      <c r="H591" s="16"/>
      <c r="I591" s="125"/>
      <c r="J591" s="16"/>
      <c r="K591" s="13"/>
      <c r="L591" s="13"/>
      <c r="M591" s="13"/>
      <c r="N591" s="16"/>
      <c r="O591" s="16"/>
      <c r="P591" s="16"/>
      <c r="Q591" s="16"/>
      <c r="R591" s="96"/>
      <c r="S591" s="96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6"/>
      <c r="B592" s="13"/>
      <c r="C592" s="16"/>
      <c r="D592" s="16"/>
      <c r="E592" s="16"/>
      <c r="F592" s="16"/>
      <c r="G592" s="16"/>
      <c r="H592" s="16"/>
      <c r="I592" s="125"/>
      <c r="J592" s="16"/>
      <c r="K592" s="13"/>
      <c r="L592" s="13"/>
      <c r="M592" s="13"/>
      <c r="N592" s="16"/>
      <c r="O592" s="16"/>
      <c r="P592" s="16"/>
      <c r="Q592" s="16"/>
      <c r="R592" s="96"/>
      <c r="S592" s="96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6"/>
      <c r="B593" s="13"/>
      <c r="C593" s="16"/>
      <c r="D593" s="16"/>
      <c r="E593" s="16"/>
      <c r="F593" s="16"/>
      <c r="G593" s="16"/>
      <c r="H593" s="16"/>
      <c r="I593" s="125"/>
      <c r="J593" s="16"/>
      <c r="K593" s="13"/>
      <c r="L593" s="13"/>
      <c r="M593" s="13"/>
      <c r="N593" s="16"/>
      <c r="O593" s="16"/>
      <c r="P593" s="16"/>
      <c r="Q593" s="16"/>
      <c r="R593" s="96"/>
      <c r="S593" s="96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6"/>
      <c r="B594" s="13"/>
      <c r="C594" s="16"/>
      <c r="D594" s="16"/>
      <c r="E594" s="16"/>
      <c r="F594" s="16"/>
      <c r="G594" s="16"/>
      <c r="H594" s="16"/>
      <c r="I594" s="125"/>
      <c r="J594" s="16"/>
      <c r="K594" s="13"/>
      <c r="L594" s="13"/>
      <c r="M594" s="13"/>
      <c r="N594" s="16"/>
      <c r="O594" s="16"/>
      <c r="P594" s="16"/>
      <c r="Q594" s="16"/>
      <c r="R594" s="96"/>
      <c r="S594" s="96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6"/>
      <c r="B595" s="13"/>
      <c r="C595" s="16"/>
      <c r="D595" s="16"/>
      <c r="E595" s="16"/>
      <c r="F595" s="16"/>
      <c r="G595" s="16"/>
      <c r="H595" s="16"/>
      <c r="I595" s="125"/>
      <c r="J595" s="16"/>
      <c r="K595" s="13"/>
      <c r="L595" s="13"/>
      <c r="M595" s="13"/>
      <c r="N595" s="16"/>
      <c r="O595" s="16"/>
      <c r="P595" s="16"/>
      <c r="Q595" s="16"/>
      <c r="R595" s="96"/>
      <c r="S595" s="96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6"/>
      <c r="B596" s="13"/>
      <c r="C596" s="16"/>
      <c r="D596" s="16"/>
      <c r="E596" s="16"/>
      <c r="F596" s="16"/>
      <c r="G596" s="16"/>
      <c r="H596" s="16"/>
      <c r="I596" s="125"/>
      <c r="J596" s="16"/>
      <c r="K596" s="13"/>
      <c r="L596" s="13"/>
      <c r="M596" s="13"/>
      <c r="N596" s="16"/>
      <c r="O596" s="16"/>
      <c r="P596" s="16"/>
      <c r="Q596" s="16"/>
      <c r="R596" s="96"/>
      <c r="S596" s="96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6"/>
      <c r="B597" s="13"/>
      <c r="C597" s="16"/>
      <c r="D597" s="16"/>
      <c r="E597" s="16"/>
      <c r="F597" s="16"/>
      <c r="G597" s="16"/>
      <c r="H597" s="16"/>
      <c r="I597" s="125"/>
      <c r="J597" s="16"/>
      <c r="K597" s="13"/>
      <c r="L597" s="13"/>
      <c r="M597" s="13"/>
      <c r="N597" s="16"/>
      <c r="O597" s="16"/>
      <c r="P597" s="16"/>
      <c r="Q597" s="16"/>
      <c r="R597" s="96"/>
      <c r="S597" s="96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6"/>
      <c r="B598" s="13"/>
      <c r="C598" s="16"/>
      <c r="D598" s="16"/>
      <c r="E598" s="16"/>
      <c r="F598" s="16"/>
      <c r="G598" s="16"/>
      <c r="H598" s="16"/>
      <c r="I598" s="125"/>
      <c r="J598" s="16"/>
      <c r="K598" s="13"/>
      <c r="L598" s="13"/>
      <c r="M598" s="13"/>
      <c r="N598" s="16"/>
      <c r="O598" s="16"/>
      <c r="P598" s="16"/>
      <c r="Q598" s="16"/>
      <c r="R598" s="96"/>
      <c r="S598" s="96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6"/>
      <c r="B599" s="13"/>
      <c r="C599" s="16"/>
      <c r="D599" s="16"/>
      <c r="E599" s="16"/>
      <c r="F599" s="16"/>
      <c r="G599" s="16"/>
      <c r="H599" s="16"/>
      <c r="I599" s="125"/>
      <c r="J599" s="16"/>
      <c r="K599" s="13"/>
      <c r="L599" s="13"/>
      <c r="M599" s="13"/>
      <c r="N599" s="16"/>
      <c r="O599" s="16"/>
      <c r="P599" s="16"/>
      <c r="Q599" s="16"/>
      <c r="R599" s="96"/>
      <c r="S599" s="96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6"/>
      <c r="B600" s="13"/>
      <c r="C600" s="16"/>
      <c r="D600" s="16"/>
      <c r="E600" s="16"/>
      <c r="F600" s="16"/>
      <c r="G600" s="16"/>
      <c r="H600" s="16"/>
      <c r="I600" s="125"/>
      <c r="J600" s="16"/>
      <c r="K600" s="13"/>
      <c r="L600" s="13"/>
      <c r="M600" s="13"/>
      <c r="N600" s="16"/>
      <c r="O600" s="16"/>
      <c r="P600" s="16"/>
      <c r="Q600" s="16"/>
      <c r="R600" s="96"/>
      <c r="S600" s="96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6"/>
      <c r="B601" s="13"/>
      <c r="C601" s="16"/>
      <c r="D601" s="16"/>
      <c r="E601" s="16"/>
      <c r="F601" s="16"/>
      <c r="G601" s="16"/>
      <c r="H601" s="16"/>
      <c r="I601" s="125"/>
      <c r="J601" s="16"/>
      <c r="K601" s="13"/>
      <c r="L601" s="13"/>
      <c r="M601" s="13"/>
      <c r="N601" s="16"/>
      <c r="O601" s="16"/>
      <c r="P601" s="16"/>
      <c r="Q601" s="16"/>
      <c r="R601" s="96"/>
      <c r="S601" s="96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6"/>
      <c r="B602" s="13"/>
      <c r="C602" s="16"/>
      <c r="D602" s="16"/>
      <c r="E602" s="16"/>
      <c r="F602" s="16"/>
      <c r="G602" s="16"/>
      <c r="H602" s="16"/>
      <c r="I602" s="125"/>
      <c r="J602" s="16"/>
      <c r="K602" s="13"/>
      <c r="L602" s="13"/>
      <c r="M602" s="13"/>
      <c r="N602" s="16"/>
      <c r="O602" s="16"/>
      <c r="P602" s="16"/>
      <c r="Q602" s="16"/>
      <c r="R602" s="96"/>
      <c r="S602" s="96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6"/>
      <c r="B603" s="13"/>
      <c r="C603" s="16"/>
      <c r="D603" s="16"/>
      <c r="E603" s="16"/>
      <c r="F603" s="16"/>
      <c r="G603" s="16"/>
      <c r="H603" s="16"/>
      <c r="I603" s="125"/>
      <c r="J603" s="16"/>
      <c r="K603" s="13"/>
      <c r="L603" s="13"/>
      <c r="M603" s="13"/>
      <c r="N603" s="16"/>
      <c r="O603" s="16"/>
      <c r="P603" s="16"/>
      <c r="Q603" s="16"/>
      <c r="R603" s="96"/>
      <c r="S603" s="96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6"/>
      <c r="B604" s="13"/>
      <c r="C604" s="16"/>
      <c r="D604" s="16"/>
      <c r="E604" s="16"/>
      <c r="F604" s="16"/>
      <c r="G604" s="16"/>
      <c r="H604" s="16"/>
      <c r="I604" s="125"/>
      <c r="J604" s="16"/>
      <c r="K604" s="13"/>
      <c r="L604" s="13"/>
      <c r="M604" s="13"/>
      <c r="N604" s="16"/>
      <c r="O604" s="16"/>
      <c r="P604" s="16"/>
      <c r="Q604" s="16"/>
      <c r="R604" s="96"/>
      <c r="S604" s="96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6"/>
      <c r="B605" s="13"/>
      <c r="C605" s="16"/>
      <c r="D605" s="16"/>
      <c r="E605" s="16"/>
      <c r="F605" s="16"/>
      <c r="G605" s="16"/>
      <c r="H605" s="16"/>
      <c r="I605" s="125"/>
      <c r="J605" s="16"/>
      <c r="K605" s="13"/>
      <c r="L605" s="13"/>
      <c r="M605" s="13"/>
      <c r="N605" s="16"/>
      <c r="O605" s="16"/>
      <c r="P605" s="16"/>
      <c r="Q605" s="16"/>
      <c r="R605" s="96"/>
      <c r="S605" s="96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6"/>
      <c r="B606" s="13"/>
      <c r="C606" s="16"/>
      <c r="D606" s="16"/>
      <c r="E606" s="16"/>
      <c r="F606" s="16"/>
      <c r="G606" s="16"/>
      <c r="H606" s="16"/>
      <c r="I606" s="125"/>
      <c r="J606" s="16"/>
      <c r="K606" s="13"/>
      <c r="L606" s="13"/>
      <c r="M606" s="13"/>
      <c r="N606" s="16"/>
      <c r="O606" s="16"/>
      <c r="P606" s="16"/>
      <c r="Q606" s="16"/>
      <c r="R606" s="96"/>
      <c r="S606" s="96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6"/>
      <c r="B607" s="13"/>
      <c r="C607" s="16"/>
      <c r="D607" s="16"/>
      <c r="E607" s="16"/>
      <c r="F607" s="16"/>
      <c r="G607" s="16"/>
      <c r="H607" s="16"/>
      <c r="I607" s="125"/>
      <c r="J607" s="16"/>
      <c r="K607" s="13"/>
      <c r="L607" s="13"/>
      <c r="M607" s="13"/>
      <c r="N607" s="16"/>
      <c r="O607" s="16"/>
      <c r="P607" s="16"/>
      <c r="Q607" s="16"/>
      <c r="R607" s="96"/>
      <c r="S607" s="96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6"/>
      <c r="B608" s="13"/>
      <c r="C608" s="16"/>
      <c r="D608" s="16"/>
      <c r="E608" s="16"/>
      <c r="F608" s="16"/>
      <c r="G608" s="16"/>
      <c r="H608" s="16"/>
      <c r="I608" s="125"/>
      <c r="J608" s="16"/>
      <c r="K608" s="13"/>
      <c r="L608" s="13"/>
      <c r="M608" s="13"/>
      <c r="N608" s="16"/>
      <c r="O608" s="16"/>
      <c r="P608" s="16"/>
      <c r="Q608" s="16"/>
      <c r="R608" s="96"/>
      <c r="S608" s="96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6"/>
      <c r="B609" s="13"/>
      <c r="C609" s="16"/>
      <c r="D609" s="16"/>
      <c r="E609" s="16"/>
      <c r="F609" s="16"/>
      <c r="G609" s="16"/>
      <c r="H609" s="16"/>
      <c r="I609" s="125"/>
      <c r="J609" s="16"/>
      <c r="K609" s="13"/>
      <c r="L609" s="13"/>
      <c r="M609" s="13"/>
      <c r="N609" s="16"/>
      <c r="O609" s="16"/>
      <c r="P609" s="16"/>
      <c r="Q609" s="16"/>
      <c r="R609" s="96"/>
      <c r="S609" s="96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6"/>
      <c r="B610" s="13"/>
      <c r="C610" s="16"/>
      <c r="D610" s="16"/>
      <c r="E610" s="16"/>
      <c r="F610" s="16"/>
      <c r="G610" s="16"/>
      <c r="H610" s="16"/>
      <c r="I610" s="125"/>
      <c r="J610" s="16"/>
      <c r="K610" s="13"/>
      <c r="L610" s="13"/>
      <c r="M610" s="13"/>
      <c r="N610" s="16"/>
      <c r="O610" s="16"/>
      <c r="P610" s="16"/>
      <c r="Q610" s="16"/>
      <c r="R610" s="96"/>
      <c r="S610" s="96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6"/>
      <c r="B611" s="13"/>
      <c r="C611" s="16"/>
      <c r="D611" s="16"/>
      <c r="E611" s="16"/>
      <c r="F611" s="16"/>
      <c r="G611" s="16"/>
      <c r="H611" s="16"/>
      <c r="I611" s="125"/>
      <c r="J611" s="16"/>
      <c r="K611" s="13"/>
      <c r="L611" s="13"/>
      <c r="M611" s="13"/>
      <c r="N611" s="16"/>
      <c r="O611" s="16"/>
      <c r="P611" s="16"/>
      <c r="Q611" s="16"/>
      <c r="R611" s="96"/>
      <c r="S611" s="96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6"/>
      <c r="B612" s="13"/>
      <c r="C612" s="16"/>
      <c r="D612" s="16"/>
      <c r="E612" s="16"/>
      <c r="F612" s="16"/>
      <c r="G612" s="16"/>
      <c r="H612" s="16"/>
      <c r="I612" s="125"/>
      <c r="J612" s="16"/>
      <c r="K612" s="13"/>
      <c r="L612" s="13"/>
      <c r="M612" s="13"/>
      <c r="N612" s="16"/>
      <c r="O612" s="16"/>
      <c r="P612" s="16"/>
      <c r="Q612" s="16"/>
      <c r="R612" s="96"/>
      <c r="S612" s="96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6"/>
      <c r="B613" s="13"/>
      <c r="C613" s="16"/>
      <c r="D613" s="16"/>
      <c r="E613" s="16"/>
      <c r="F613" s="16"/>
      <c r="G613" s="16"/>
      <c r="H613" s="16"/>
      <c r="I613" s="125"/>
      <c r="J613" s="16"/>
      <c r="K613" s="13"/>
      <c r="L613" s="13"/>
      <c r="M613" s="13"/>
      <c r="N613" s="16"/>
      <c r="O613" s="16"/>
      <c r="P613" s="16"/>
      <c r="Q613" s="16"/>
      <c r="R613" s="96"/>
      <c r="S613" s="96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6"/>
      <c r="B614" s="13"/>
      <c r="C614" s="16"/>
      <c r="D614" s="16"/>
      <c r="E614" s="16"/>
      <c r="F614" s="16"/>
      <c r="G614" s="16"/>
      <c r="H614" s="16"/>
      <c r="I614" s="125"/>
      <c r="J614" s="16"/>
      <c r="K614" s="13"/>
      <c r="L614" s="13"/>
      <c r="M614" s="13"/>
      <c r="N614" s="16"/>
      <c r="O614" s="16"/>
      <c r="P614" s="16"/>
      <c r="Q614" s="16"/>
      <c r="R614" s="96"/>
      <c r="S614" s="96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6"/>
      <c r="B615" s="13"/>
      <c r="C615" s="16"/>
      <c r="D615" s="16"/>
      <c r="E615" s="16"/>
      <c r="F615" s="16"/>
      <c r="G615" s="16"/>
      <c r="H615" s="16"/>
      <c r="I615" s="125"/>
      <c r="J615" s="16"/>
      <c r="K615" s="13"/>
      <c r="L615" s="13"/>
      <c r="M615" s="13"/>
      <c r="N615" s="16"/>
      <c r="O615" s="16"/>
      <c r="P615" s="16"/>
      <c r="Q615" s="16"/>
      <c r="R615" s="96"/>
      <c r="S615" s="96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6"/>
      <c r="B616" s="13"/>
      <c r="C616" s="16"/>
      <c r="D616" s="16"/>
      <c r="E616" s="16"/>
      <c r="F616" s="16"/>
      <c r="G616" s="16"/>
      <c r="H616" s="16"/>
      <c r="I616" s="125"/>
      <c r="J616" s="16"/>
      <c r="K616" s="13"/>
      <c r="L616" s="13"/>
      <c r="M616" s="13"/>
      <c r="N616" s="16"/>
      <c r="O616" s="16"/>
      <c r="P616" s="16"/>
      <c r="Q616" s="16"/>
      <c r="R616" s="96"/>
      <c r="S616" s="96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6"/>
      <c r="B617" s="13"/>
      <c r="C617" s="16"/>
      <c r="D617" s="16"/>
      <c r="E617" s="16"/>
      <c r="F617" s="16"/>
      <c r="G617" s="16"/>
      <c r="H617" s="16"/>
      <c r="I617" s="125"/>
      <c r="J617" s="16"/>
      <c r="K617" s="13"/>
      <c r="L617" s="13"/>
      <c r="M617" s="13"/>
      <c r="N617" s="16"/>
      <c r="O617" s="16"/>
      <c r="P617" s="16"/>
      <c r="Q617" s="16"/>
      <c r="R617" s="96"/>
      <c r="S617" s="96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6"/>
      <c r="B618" s="13"/>
      <c r="C618" s="16"/>
      <c r="D618" s="16"/>
      <c r="E618" s="16"/>
      <c r="F618" s="16"/>
      <c r="G618" s="16"/>
      <c r="H618" s="16"/>
      <c r="I618" s="125"/>
      <c r="J618" s="16"/>
      <c r="K618" s="13"/>
      <c r="L618" s="13"/>
      <c r="M618" s="13"/>
      <c r="N618" s="16"/>
      <c r="O618" s="16"/>
      <c r="P618" s="16"/>
      <c r="Q618" s="16"/>
      <c r="R618" s="96"/>
      <c r="S618" s="96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6"/>
      <c r="B619" s="13"/>
      <c r="C619" s="16"/>
      <c r="D619" s="16"/>
      <c r="E619" s="16"/>
      <c r="F619" s="16"/>
      <c r="G619" s="16"/>
      <c r="H619" s="16"/>
      <c r="I619" s="125"/>
      <c r="J619" s="16"/>
      <c r="K619" s="13"/>
      <c r="L619" s="13"/>
      <c r="M619" s="13"/>
      <c r="N619" s="16"/>
      <c r="O619" s="16"/>
      <c r="P619" s="16"/>
      <c r="Q619" s="16"/>
      <c r="R619" s="96"/>
      <c r="S619" s="96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6"/>
      <c r="B620" s="13"/>
      <c r="C620" s="16"/>
      <c r="D620" s="16"/>
      <c r="E620" s="16"/>
      <c r="F620" s="16"/>
      <c r="G620" s="16"/>
      <c r="H620" s="16"/>
      <c r="I620" s="125"/>
      <c r="J620" s="16"/>
      <c r="K620" s="13"/>
      <c r="L620" s="13"/>
      <c r="M620" s="13"/>
      <c r="N620" s="16"/>
      <c r="O620" s="16"/>
      <c r="P620" s="16"/>
      <c r="Q620" s="16"/>
      <c r="R620" s="96"/>
      <c r="S620" s="96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6"/>
      <c r="B621" s="13"/>
      <c r="C621" s="16"/>
      <c r="D621" s="16"/>
      <c r="E621" s="16"/>
      <c r="F621" s="16"/>
      <c r="G621" s="16"/>
      <c r="H621" s="16"/>
      <c r="I621" s="125"/>
      <c r="J621" s="16"/>
      <c r="K621" s="13"/>
      <c r="L621" s="13"/>
      <c r="M621" s="13"/>
      <c r="N621" s="16"/>
      <c r="O621" s="16"/>
      <c r="P621" s="16"/>
      <c r="Q621" s="16"/>
      <c r="R621" s="96"/>
      <c r="S621" s="96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6"/>
      <c r="B622" s="13"/>
      <c r="C622" s="16"/>
      <c r="D622" s="16"/>
      <c r="E622" s="16"/>
      <c r="F622" s="16"/>
      <c r="G622" s="16"/>
      <c r="H622" s="16"/>
      <c r="I622" s="125"/>
      <c r="J622" s="16"/>
      <c r="K622" s="13"/>
      <c r="L622" s="13"/>
      <c r="M622" s="13"/>
      <c r="N622" s="16"/>
      <c r="O622" s="16"/>
      <c r="P622" s="16"/>
      <c r="Q622" s="16"/>
      <c r="R622" s="96"/>
      <c r="S622" s="96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6"/>
      <c r="B623" s="13"/>
      <c r="C623" s="16"/>
      <c r="D623" s="16"/>
      <c r="E623" s="16"/>
      <c r="F623" s="16"/>
      <c r="G623" s="16"/>
      <c r="H623" s="16"/>
      <c r="I623" s="125"/>
      <c r="J623" s="16"/>
      <c r="K623" s="13"/>
      <c r="L623" s="13"/>
      <c r="M623" s="13"/>
      <c r="N623" s="16"/>
      <c r="O623" s="16"/>
      <c r="P623" s="16"/>
      <c r="Q623" s="16"/>
      <c r="R623" s="96"/>
      <c r="S623" s="96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6"/>
      <c r="B624" s="13"/>
      <c r="C624" s="16"/>
      <c r="D624" s="16"/>
      <c r="E624" s="16"/>
      <c r="F624" s="16"/>
      <c r="G624" s="16"/>
      <c r="H624" s="16"/>
      <c r="I624" s="125"/>
      <c r="J624" s="16"/>
      <c r="K624" s="13"/>
      <c r="L624" s="13"/>
      <c r="M624" s="13"/>
      <c r="N624" s="16"/>
      <c r="O624" s="16"/>
      <c r="P624" s="16"/>
      <c r="Q624" s="16"/>
      <c r="R624" s="96"/>
      <c r="S624" s="96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6"/>
      <c r="B625" s="13"/>
      <c r="C625" s="16"/>
      <c r="D625" s="16"/>
      <c r="E625" s="16"/>
      <c r="F625" s="16"/>
      <c r="G625" s="16"/>
      <c r="H625" s="16"/>
      <c r="I625" s="125"/>
      <c r="J625" s="16"/>
      <c r="K625" s="13"/>
      <c r="L625" s="13"/>
      <c r="M625" s="13"/>
      <c r="N625" s="16"/>
      <c r="O625" s="16"/>
      <c r="P625" s="16"/>
      <c r="Q625" s="16"/>
      <c r="R625" s="96"/>
      <c r="S625" s="96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6"/>
      <c r="B626" s="13"/>
      <c r="C626" s="16"/>
      <c r="D626" s="16"/>
      <c r="E626" s="16"/>
      <c r="F626" s="16"/>
      <c r="G626" s="16"/>
      <c r="H626" s="16"/>
      <c r="I626" s="125"/>
      <c r="J626" s="16"/>
      <c r="K626" s="13"/>
      <c r="L626" s="13"/>
      <c r="M626" s="13"/>
      <c r="N626" s="16"/>
      <c r="O626" s="16"/>
      <c r="P626" s="16"/>
      <c r="Q626" s="16"/>
      <c r="R626" s="96"/>
      <c r="S626" s="96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6"/>
      <c r="B627" s="13"/>
      <c r="C627" s="16"/>
      <c r="D627" s="16"/>
      <c r="E627" s="16"/>
      <c r="F627" s="16"/>
      <c r="G627" s="16"/>
      <c r="H627" s="16"/>
      <c r="I627" s="125"/>
      <c r="J627" s="16"/>
      <c r="K627" s="13"/>
      <c r="L627" s="13"/>
      <c r="M627" s="13"/>
      <c r="N627" s="16"/>
      <c r="O627" s="16"/>
      <c r="P627" s="16"/>
      <c r="Q627" s="16"/>
      <c r="R627" s="96"/>
      <c r="S627" s="96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6"/>
      <c r="B628" s="13"/>
      <c r="C628" s="16"/>
      <c r="D628" s="16"/>
      <c r="E628" s="16"/>
      <c r="F628" s="16"/>
      <c r="G628" s="16"/>
      <c r="H628" s="16"/>
      <c r="I628" s="125"/>
      <c r="J628" s="16"/>
      <c r="K628" s="13"/>
      <c r="L628" s="13"/>
      <c r="M628" s="13"/>
      <c r="N628" s="16"/>
      <c r="O628" s="16"/>
      <c r="P628" s="16"/>
      <c r="Q628" s="16"/>
      <c r="R628" s="96"/>
      <c r="S628" s="96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6"/>
      <c r="B629" s="13"/>
      <c r="C629" s="16"/>
      <c r="D629" s="16"/>
      <c r="E629" s="16"/>
      <c r="F629" s="16"/>
      <c r="G629" s="16"/>
      <c r="H629" s="16"/>
      <c r="I629" s="125"/>
      <c r="J629" s="16"/>
      <c r="K629" s="13"/>
      <c r="L629" s="13"/>
      <c r="M629" s="13"/>
      <c r="N629" s="16"/>
      <c r="O629" s="16"/>
      <c r="P629" s="16"/>
      <c r="Q629" s="16"/>
      <c r="R629" s="96"/>
      <c r="S629" s="96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6"/>
      <c r="B630" s="13"/>
      <c r="C630" s="16"/>
      <c r="D630" s="16"/>
      <c r="E630" s="16"/>
      <c r="F630" s="16"/>
      <c r="G630" s="16"/>
      <c r="H630" s="16"/>
      <c r="I630" s="125"/>
      <c r="J630" s="16"/>
      <c r="K630" s="13"/>
      <c r="L630" s="13"/>
      <c r="M630" s="13"/>
      <c r="N630" s="16"/>
      <c r="O630" s="16"/>
      <c r="P630" s="16"/>
      <c r="Q630" s="16"/>
      <c r="R630" s="96"/>
      <c r="S630" s="96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6"/>
      <c r="B631" s="13"/>
      <c r="C631" s="16"/>
      <c r="D631" s="16"/>
      <c r="E631" s="16"/>
      <c r="F631" s="16"/>
      <c r="G631" s="16"/>
      <c r="H631" s="16"/>
      <c r="I631" s="125"/>
      <c r="J631" s="16"/>
      <c r="K631" s="13"/>
      <c r="L631" s="13"/>
      <c r="M631" s="13"/>
      <c r="N631" s="16"/>
      <c r="O631" s="16"/>
      <c r="P631" s="16"/>
      <c r="Q631" s="16"/>
      <c r="R631" s="96"/>
      <c r="S631" s="96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6"/>
      <c r="B632" s="13"/>
      <c r="C632" s="16"/>
      <c r="D632" s="16"/>
      <c r="E632" s="16"/>
      <c r="F632" s="16"/>
      <c r="G632" s="16"/>
      <c r="H632" s="16"/>
      <c r="I632" s="125"/>
      <c r="J632" s="16"/>
      <c r="K632" s="13"/>
      <c r="L632" s="13"/>
      <c r="M632" s="13"/>
      <c r="N632" s="16"/>
      <c r="O632" s="16"/>
      <c r="P632" s="16"/>
      <c r="Q632" s="16"/>
      <c r="R632" s="96"/>
      <c r="S632" s="96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6"/>
      <c r="B633" s="13"/>
      <c r="C633" s="16"/>
      <c r="D633" s="16"/>
      <c r="E633" s="16"/>
      <c r="F633" s="16"/>
      <c r="G633" s="16"/>
      <c r="H633" s="16"/>
      <c r="I633" s="125"/>
      <c r="J633" s="16"/>
      <c r="K633" s="13"/>
      <c r="L633" s="13"/>
      <c r="M633" s="13"/>
      <c r="N633" s="16"/>
      <c r="O633" s="16"/>
      <c r="P633" s="16"/>
      <c r="Q633" s="16"/>
      <c r="R633" s="96"/>
      <c r="S633" s="96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6"/>
      <c r="B634" s="13"/>
      <c r="C634" s="16"/>
      <c r="D634" s="16"/>
      <c r="E634" s="16"/>
      <c r="F634" s="16"/>
      <c r="G634" s="16"/>
      <c r="H634" s="16"/>
      <c r="I634" s="125"/>
      <c r="J634" s="16"/>
      <c r="K634" s="13"/>
      <c r="L634" s="13"/>
      <c r="M634" s="13"/>
      <c r="N634" s="16"/>
      <c r="O634" s="16"/>
      <c r="P634" s="16"/>
      <c r="Q634" s="16"/>
      <c r="R634" s="96"/>
      <c r="S634" s="96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6"/>
      <c r="B635" s="13"/>
      <c r="C635" s="16"/>
      <c r="D635" s="16"/>
      <c r="E635" s="16"/>
      <c r="F635" s="16"/>
      <c r="G635" s="16"/>
      <c r="H635" s="16"/>
      <c r="I635" s="125"/>
      <c r="J635" s="16"/>
      <c r="K635" s="13"/>
      <c r="L635" s="13"/>
      <c r="M635" s="13"/>
      <c r="N635" s="16"/>
      <c r="O635" s="16"/>
      <c r="P635" s="16"/>
      <c r="Q635" s="16"/>
      <c r="R635" s="96"/>
      <c r="S635" s="96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6"/>
      <c r="B636" s="13"/>
      <c r="C636" s="16"/>
      <c r="D636" s="16"/>
      <c r="E636" s="16"/>
      <c r="F636" s="16"/>
      <c r="G636" s="16"/>
      <c r="H636" s="16"/>
      <c r="I636" s="125"/>
      <c r="J636" s="16"/>
      <c r="K636" s="13"/>
      <c r="L636" s="13"/>
      <c r="M636" s="13"/>
      <c r="N636" s="16"/>
      <c r="O636" s="16"/>
      <c r="P636" s="16"/>
      <c r="Q636" s="16"/>
      <c r="R636" s="96"/>
      <c r="S636" s="96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6"/>
      <c r="B637" s="13"/>
      <c r="C637" s="16"/>
      <c r="D637" s="16"/>
      <c r="E637" s="16"/>
      <c r="F637" s="16"/>
      <c r="G637" s="16"/>
      <c r="H637" s="16"/>
      <c r="I637" s="125"/>
      <c r="J637" s="16"/>
      <c r="K637" s="13"/>
      <c r="L637" s="13"/>
      <c r="M637" s="13"/>
      <c r="N637" s="16"/>
      <c r="O637" s="16"/>
      <c r="P637" s="16"/>
      <c r="Q637" s="16"/>
      <c r="R637" s="96"/>
      <c r="S637" s="96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6"/>
      <c r="B638" s="13"/>
      <c r="C638" s="16"/>
      <c r="D638" s="16"/>
      <c r="E638" s="16"/>
      <c r="F638" s="16"/>
      <c r="G638" s="16"/>
      <c r="H638" s="16"/>
      <c r="I638" s="125"/>
      <c r="J638" s="16"/>
      <c r="K638" s="13"/>
      <c r="L638" s="13"/>
      <c r="M638" s="13"/>
      <c r="N638" s="16"/>
      <c r="O638" s="16"/>
      <c r="P638" s="16"/>
      <c r="Q638" s="16"/>
      <c r="R638" s="96"/>
      <c r="S638" s="96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6"/>
      <c r="B639" s="13"/>
      <c r="C639" s="16"/>
      <c r="D639" s="16"/>
      <c r="E639" s="16"/>
      <c r="F639" s="16"/>
      <c r="G639" s="16"/>
      <c r="H639" s="16"/>
      <c r="I639" s="125"/>
      <c r="J639" s="16"/>
      <c r="K639" s="13"/>
      <c r="L639" s="13"/>
      <c r="M639" s="13"/>
      <c r="N639" s="16"/>
      <c r="O639" s="16"/>
      <c r="P639" s="16"/>
      <c r="Q639" s="16"/>
      <c r="R639" s="96"/>
      <c r="S639" s="96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6"/>
      <c r="B640" s="13"/>
      <c r="C640" s="16"/>
      <c r="D640" s="16"/>
      <c r="E640" s="16"/>
      <c r="F640" s="16"/>
      <c r="G640" s="16"/>
      <c r="H640" s="16"/>
      <c r="I640" s="125"/>
      <c r="J640" s="16"/>
      <c r="K640" s="13"/>
      <c r="L640" s="13"/>
      <c r="M640" s="13"/>
      <c r="N640" s="16"/>
      <c r="O640" s="16"/>
      <c r="P640" s="16"/>
      <c r="Q640" s="16"/>
      <c r="R640" s="96"/>
      <c r="S640" s="96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6"/>
      <c r="B641" s="13"/>
      <c r="C641" s="16"/>
      <c r="D641" s="16"/>
      <c r="E641" s="16"/>
      <c r="F641" s="16"/>
      <c r="G641" s="16"/>
      <c r="H641" s="16"/>
      <c r="I641" s="125"/>
      <c r="J641" s="16"/>
      <c r="K641" s="13"/>
      <c r="L641" s="13"/>
      <c r="M641" s="13"/>
      <c r="N641" s="16"/>
      <c r="O641" s="16"/>
      <c r="P641" s="16"/>
      <c r="Q641" s="16"/>
      <c r="R641" s="96"/>
      <c r="S641" s="96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6"/>
      <c r="B642" s="13"/>
      <c r="C642" s="16"/>
      <c r="D642" s="16"/>
      <c r="E642" s="16"/>
      <c r="F642" s="16"/>
      <c r="G642" s="16"/>
      <c r="H642" s="16"/>
      <c r="I642" s="125"/>
      <c r="J642" s="16"/>
      <c r="K642" s="13"/>
      <c r="L642" s="13"/>
      <c r="M642" s="13"/>
      <c r="N642" s="16"/>
      <c r="O642" s="16"/>
      <c r="P642" s="16"/>
      <c r="Q642" s="16"/>
      <c r="R642" s="96"/>
      <c r="S642" s="96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6"/>
      <c r="B643" s="13"/>
      <c r="C643" s="16"/>
      <c r="D643" s="16"/>
      <c r="E643" s="16"/>
      <c r="F643" s="16"/>
      <c r="G643" s="16"/>
      <c r="H643" s="16"/>
      <c r="I643" s="125"/>
      <c r="J643" s="16"/>
      <c r="K643" s="13"/>
      <c r="L643" s="13"/>
      <c r="M643" s="13"/>
      <c r="N643" s="16"/>
      <c r="O643" s="16"/>
      <c r="P643" s="16"/>
      <c r="Q643" s="16"/>
      <c r="R643" s="96"/>
      <c r="S643" s="96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6"/>
      <c r="B644" s="13"/>
      <c r="C644" s="16"/>
      <c r="D644" s="16"/>
      <c r="E644" s="16"/>
      <c r="F644" s="16"/>
      <c r="G644" s="16"/>
      <c r="H644" s="16"/>
      <c r="I644" s="125"/>
      <c r="J644" s="16"/>
      <c r="K644" s="13"/>
      <c r="L644" s="13"/>
      <c r="M644" s="13"/>
      <c r="N644" s="16"/>
      <c r="O644" s="16"/>
      <c r="P644" s="16"/>
      <c r="Q644" s="16"/>
      <c r="R644" s="96"/>
      <c r="S644" s="96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6"/>
      <c r="B645" s="13"/>
      <c r="C645" s="16"/>
      <c r="D645" s="16"/>
      <c r="E645" s="16"/>
      <c r="F645" s="16"/>
      <c r="G645" s="16"/>
      <c r="H645" s="16"/>
      <c r="I645" s="125"/>
      <c r="J645" s="16"/>
      <c r="K645" s="13"/>
      <c r="L645" s="13"/>
      <c r="M645" s="13"/>
      <c r="N645" s="16"/>
      <c r="O645" s="16"/>
      <c r="P645" s="16"/>
      <c r="Q645" s="16"/>
      <c r="R645" s="96"/>
      <c r="S645" s="96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6"/>
      <c r="B646" s="13"/>
      <c r="C646" s="16"/>
      <c r="D646" s="16"/>
      <c r="E646" s="16"/>
      <c r="F646" s="16"/>
      <c r="G646" s="16"/>
      <c r="H646" s="16"/>
      <c r="I646" s="125"/>
      <c r="J646" s="16"/>
      <c r="K646" s="13"/>
      <c r="L646" s="13"/>
      <c r="M646" s="13"/>
      <c r="N646" s="16"/>
      <c r="O646" s="16"/>
      <c r="P646" s="16"/>
      <c r="Q646" s="16"/>
      <c r="R646" s="96"/>
      <c r="S646" s="96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6"/>
      <c r="B647" s="13"/>
      <c r="C647" s="16"/>
      <c r="D647" s="16"/>
      <c r="E647" s="16"/>
      <c r="F647" s="16"/>
      <c r="G647" s="16"/>
      <c r="H647" s="16"/>
      <c r="I647" s="125"/>
      <c r="J647" s="16"/>
      <c r="K647" s="13"/>
      <c r="L647" s="13"/>
      <c r="M647" s="13"/>
      <c r="N647" s="16"/>
      <c r="O647" s="16"/>
      <c r="P647" s="16"/>
      <c r="Q647" s="16"/>
      <c r="R647" s="96"/>
      <c r="S647" s="96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6"/>
      <c r="B648" s="13"/>
      <c r="C648" s="16"/>
      <c r="D648" s="16"/>
      <c r="E648" s="16"/>
      <c r="F648" s="16"/>
      <c r="G648" s="16"/>
      <c r="H648" s="16"/>
      <c r="I648" s="125"/>
      <c r="J648" s="16"/>
      <c r="K648" s="13"/>
      <c r="L648" s="13"/>
      <c r="M648" s="13"/>
      <c r="N648" s="16"/>
      <c r="O648" s="16"/>
      <c r="P648" s="16"/>
      <c r="Q648" s="16"/>
      <c r="R648" s="96"/>
      <c r="S648" s="96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6"/>
      <c r="B649" s="13"/>
      <c r="C649" s="16"/>
      <c r="D649" s="16"/>
      <c r="E649" s="16"/>
      <c r="F649" s="16"/>
      <c r="G649" s="16"/>
      <c r="H649" s="16"/>
      <c r="I649" s="125"/>
      <c r="J649" s="16"/>
      <c r="K649" s="13"/>
      <c r="L649" s="13"/>
      <c r="M649" s="13"/>
      <c r="N649" s="16"/>
      <c r="O649" s="16"/>
      <c r="P649" s="16"/>
      <c r="Q649" s="16"/>
      <c r="R649" s="96"/>
      <c r="S649" s="96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6"/>
      <c r="B650" s="13"/>
      <c r="C650" s="16"/>
      <c r="D650" s="16"/>
      <c r="E650" s="16"/>
      <c r="F650" s="16"/>
      <c r="G650" s="16"/>
      <c r="H650" s="16"/>
      <c r="I650" s="125"/>
      <c r="J650" s="16"/>
      <c r="K650" s="13"/>
      <c r="L650" s="13"/>
      <c r="M650" s="13"/>
      <c r="N650" s="16"/>
      <c r="O650" s="16"/>
      <c r="P650" s="16"/>
      <c r="Q650" s="16"/>
      <c r="R650" s="96"/>
      <c r="S650" s="96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6"/>
      <c r="B651" s="13"/>
      <c r="C651" s="16"/>
      <c r="D651" s="16"/>
      <c r="E651" s="16"/>
      <c r="F651" s="16"/>
      <c r="G651" s="16"/>
      <c r="H651" s="16"/>
      <c r="I651" s="125"/>
      <c r="J651" s="16"/>
      <c r="K651" s="13"/>
      <c r="L651" s="13"/>
      <c r="M651" s="13"/>
      <c r="N651" s="16"/>
      <c r="O651" s="16"/>
      <c r="P651" s="16"/>
      <c r="Q651" s="16"/>
      <c r="R651" s="96"/>
      <c r="S651" s="96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6"/>
      <c r="B652" s="13"/>
      <c r="C652" s="16"/>
      <c r="D652" s="16"/>
      <c r="E652" s="16"/>
      <c r="F652" s="16"/>
      <c r="G652" s="16"/>
      <c r="H652" s="16"/>
      <c r="I652" s="125"/>
      <c r="J652" s="16"/>
      <c r="K652" s="13"/>
      <c r="L652" s="13"/>
      <c r="M652" s="13"/>
      <c r="N652" s="16"/>
      <c r="O652" s="16"/>
      <c r="P652" s="16"/>
      <c r="Q652" s="16"/>
      <c r="R652" s="96"/>
      <c r="S652" s="96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6"/>
      <c r="B653" s="13"/>
      <c r="C653" s="16"/>
      <c r="D653" s="16"/>
      <c r="E653" s="16"/>
      <c r="F653" s="16"/>
      <c r="G653" s="16"/>
      <c r="H653" s="16"/>
      <c r="I653" s="125"/>
      <c r="J653" s="16"/>
      <c r="K653" s="13"/>
      <c r="L653" s="13"/>
      <c r="M653" s="13"/>
      <c r="N653" s="16"/>
      <c r="O653" s="16"/>
      <c r="P653" s="16"/>
      <c r="Q653" s="16"/>
      <c r="R653" s="96"/>
      <c r="S653" s="96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6"/>
      <c r="B654" s="13"/>
      <c r="C654" s="16"/>
      <c r="D654" s="16"/>
      <c r="E654" s="16"/>
      <c r="F654" s="16"/>
      <c r="G654" s="16"/>
      <c r="H654" s="16"/>
      <c r="I654" s="125"/>
      <c r="J654" s="16"/>
      <c r="K654" s="13"/>
      <c r="L654" s="13"/>
      <c r="M654" s="13"/>
      <c r="N654" s="16"/>
      <c r="O654" s="16"/>
      <c r="P654" s="16"/>
      <c r="Q654" s="16"/>
      <c r="R654" s="96"/>
      <c r="S654" s="96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6"/>
      <c r="B655" s="13"/>
      <c r="C655" s="16"/>
      <c r="D655" s="16"/>
      <c r="E655" s="16"/>
      <c r="F655" s="16"/>
      <c r="G655" s="16"/>
      <c r="H655" s="16"/>
      <c r="I655" s="125"/>
      <c r="J655" s="16"/>
      <c r="K655" s="13"/>
      <c r="L655" s="13"/>
      <c r="M655" s="13"/>
      <c r="N655" s="16"/>
      <c r="O655" s="16"/>
      <c r="P655" s="16"/>
      <c r="Q655" s="16"/>
      <c r="R655" s="96"/>
      <c r="S655" s="96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6"/>
      <c r="B656" s="13"/>
      <c r="C656" s="16"/>
      <c r="D656" s="16"/>
      <c r="E656" s="16"/>
      <c r="F656" s="16"/>
      <c r="G656" s="16"/>
      <c r="H656" s="16"/>
      <c r="I656" s="125"/>
      <c r="J656" s="16"/>
      <c r="K656" s="13"/>
      <c r="L656" s="13"/>
      <c r="M656" s="13"/>
      <c r="N656" s="16"/>
      <c r="O656" s="16"/>
      <c r="P656" s="16"/>
      <c r="Q656" s="16"/>
      <c r="R656" s="96"/>
      <c r="S656" s="96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6"/>
      <c r="B657" s="13"/>
      <c r="C657" s="16"/>
      <c r="D657" s="16"/>
      <c r="E657" s="16"/>
      <c r="F657" s="16"/>
      <c r="G657" s="16"/>
      <c r="H657" s="16"/>
      <c r="I657" s="125"/>
      <c r="J657" s="16"/>
      <c r="K657" s="13"/>
      <c r="L657" s="13"/>
      <c r="M657" s="13"/>
      <c r="N657" s="16"/>
      <c r="O657" s="16"/>
      <c r="P657" s="16"/>
      <c r="Q657" s="16"/>
      <c r="R657" s="96"/>
      <c r="S657" s="96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6"/>
      <c r="B658" s="13"/>
      <c r="C658" s="16"/>
      <c r="D658" s="16"/>
      <c r="E658" s="16"/>
      <c r="F658" s="16"/>
      <c r="G658" s="16"/>
      <c r="H658" s="16"/>
      <c r="I658" s="125"/>
      <c r="J658" s="16"/>
      <c r="K658" s="13"/>
      <c r="L658" s="13"/>
      <c r="M658" s="13"/>
      <c r="N658" s="16"/>
      <c r="O658" s="16"/>
      <c r="P658" s="16"/>
      <c r="Q658" s="16"/>
      <c r="R658" s="96"/>
      <c r="S658" s="96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6"/>
      <c r="B659" s="13"/>
      <c r="C659" s="16"/>
      <c r="D659" s="16"/>
      <c r="E659" s="16"/>
      <c r="F659" s="16"/>
      <c r="G659" s="16"/>
      <c r="H659" s="16"/>
      <c r="I659" s="125"/>
      <c r="J659" s="16"/>
      <c r="K659" s="13"/>
      <c r="L659" s="13"/>
      <c r="M659" s="13"/>
      <c r="N659" s="16"/>
      <c r="O659" s="16"/>
      <c r="P659" s="16"/>
      <c r="Q659" s="16"/>
      <c r="R659" s="96"/>
      <c r="S659" s="96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6"/>
      <c r="B660" s="13"/>
      <c r="C660" s="16"/>
      <c r="D660" s="16"/>
      <c r="E660" s="16"/>
      <c r="F660" s="16"/>
      <c r="G660" s="16"/>
      <c r="H660" s="16"/>
      <c r="I660" s="125"/>
      <c r="J660" s="16"/>
      <c r="K660" s="13"/>
      <c r="L660" s="13"/>
      <c r="M660" s="13"/>
      <c r="N660" s="16"/>
      <c r="O660" s="16"/>
      <c r="P660" s="16"/>
      <c r="Q660" s="16"/>
      <c r="R660" s="96"/>
      <c r="S660" s="96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6"/>
      <c r="B661" s="13"/>
      <c r="C661" s="16"/>
      <c r="D661" s="16"/>
      <c r="E661" s="16"/>
      <c r="F661" s="16"/>
      <c r="G661" s="16"/>
      <c r="H661" s="16"/>
      <c r="I661" s="125"/>
      <c r="J661" s="16"/>
      <c r="K661" s="13"/>
      <c r="L661" s="13"/>
      <c r="M661" s="13"/>
      <c r="N661" s="16"/>
      <c r="O661" s="16"/>
      <c r="P661" s="16"/>
      <c r="Q661" s="16"/>
      <c r="R661" s="96"/>
      <c r="S661" s="96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6"/>
      <c r="B662" s="13"/>
      <c r="C662" s="16"/>
      <c r="D662" s="16"/>
      <c r="E662" s="16"/>
      <c r="F662" s="16"/>
      <c r="G662" s="16"/>
      <c r="H662" s="16"/>
      <c r="I662" s="125"/>
      <c r="J662" s="16"/>
      <c r="K662" s="13"/>
      <c r="L662" s="13"/>
      <c r="M662" s="13"/>
      <c r="N662" s="16"/>
      <c r="O662" s="16"/>
      <c r="P662" s="16"/>
      <c r="Q662" s="16"/>
      <c r="R662" s="96"/>
      <c r="S662" s="96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6"/>
      <c r="B663" s="13"/>
      <c r="C663" s="16"/>
      <c r="D663" s="16"/>
      <c r="E663" s="16"/>
      <c r="F663" s="16"/>
      <c r="G663" s="16"/>
      <c r="H663" s="16"/>
      <c r="I663" s="125"/>
      <c r="J663" s="16"/>
      <c r="K663" s="13"/>
      <c r="L663" s="13"/>
      <c r="M663" s="13"/>
      <c r="N663" s="16"/>
      <c r="O663" s="16"/>
      <c r="P663" s="16"/>
      <c r="Q663" s="16"/>
      <c r="R663" s="96"/>
      <c r="S663" s="96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6"/>
      <c r="B664" s="13"/>
      <c r="C664" s="16"/>
      <c r="D664" s="16"/>
      <c r="E664" s="16"/>
      <c r="F664" s="16"/>
      <c r="G664" s="16"/>
      <c r="H664" s="16"/>
      <c r="I664" s="125"/>
      <c r="J664" s="16"/>
      <c r="K664" s="13"/>
      <c r="L664" s="13"/>
      <c r="M664" s="13"/>
      <c r="N664" s="16"/>
      <c r="O664" s="16"/>
      <c r="P664" s="16"/>
      <c r="Q664" s="16"/>
      <c r="R664" s="96"/>
      <c r="S664" s="96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6"/>
      <c r="B665" s="13"/>
      <c r="C665" s="16"/>
      <c r="D665" s="16"/>
      <c r="E665" s="16"/>
      <c r="F665" s="16"/>
      <c r="G665" s="16"/>
      <c r="H665" s="16"/>
      <c r="I665" s="125"/>
      <c r="J665" s="16"/>
      <c r="K665" s="13"/>
      <c r="L665" s="13"/>
      <c r="M665" s="13"/>
      <c r="N665" s="16"/>
      <c r="O665" s="16"/>
      <c r="P665" s="16"/>
      <c r="Q665" s="16"/>
      <c r="R665" s="96"/>
      <c r="S665" s="96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6"/>
      <c r="B666" s="13"/>
      <c r="C666" s="16"/>
      <c r="D666" s="16"/>
      <c r="E666" s="16"/>
      <c r="F666" s="16"/>
      <c r="G666" s="16"/>
      <c r="H666" s="16"/>
      <c r="I666" s="125"/>
      <c r="J666" s="16"/>
      <c r="K666" s="13"/>
      <c r="L666" s="13"/>
      <c r="M666" s="13"/>
      <c r="N666" s="16"/>
      <c r="O666" s="16"/>
      <c r="P666" s="16"/>
      <c r="Q666" s="16"/>
      <c r="R666" s="96"/>
      <c r="S666" s="96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6"/>
      <c r="B667" s="13"/>
      <c r="C667" s="16"/>
      <c r="D667" s="16"/>
      <c r="E667" s="16"/>
      <c r="F667" s="16"/>
      <c r="G667" s="16"/>
      <c r="H667" s="16"/>
      <c r="I667" s="125"/>
      <c r="J667" s="16"/>
      <c r="K667" s="13"/>
      <c r="L667" s="13"/>
      <c r="M667" s="13"/>
      <c r="N667" s="16"/>
      <c r="O667" s="16"/>
      <c r="P667" s="16"/>
      <c r="Q667" s="16"/>
      <c r="R667" s="96"/>
      <c r="S667" s="96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6"/>
      <c r="B668" s="13"/>
      <c r="C668" s="16"/>
      <c r="D668" s="16"/>
      <c r="E668" s="16"/>
      <c r="F668" s="16"/>
      <c r="G668" s="16"/>
      <c r="H668" s="16"/>
      <c r="I668" s="125"/>
      <c r="J668" s="16"/>
      <c r="K668" s="13"/>
      <c r="L668" s="13"/>
      <c r="M668" s="13"/>
      <c r="N668" s="16"/>
      <c r="O668" s="16"/>
      <c r="P668" s="16"/>
      <c r="Q668" s="16"/>
      <c r="R668" s="96"/>
      <c r="S668" s="96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6"/>
      <c r="B669" s="13"/>
      <c r="C669" s="16"/>
      <c r="D669" s="16"/>
      <c r="E669" s="16"/>
      <c r="F669" s="16"/>
      <c r="G669" s="16"/>
      <c r="H669" s="16"/>
      <c r="I669" s="125"/>
      <c r="J669" s="16"/>
      <c r="K669" s="13"/>
      <c r="L669" s="13"/>
      <c r="M669" s="13"/>
      <c r="N669" s="16"/>
      <c r="O669" s="16"/>
      <c r="P669" s="16"/>
      <c r="Q669" s="16"/>
      <c r="R669" s="96"/>
      <c r="S669" s="96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6"/>
      <c r="B670" s="13"/>
      <c r="C670" s="16"/>
      <c r="D670" s="16"/>
      <c r="E670" s="16"/>
      <c r="F670" s="16"/>
      <c r="G670" s="16"/>
      <c r="H670" s="16"/>
      <c r="I670" s="125"/>
      <c r="J670" s="16"/>
      <c r="K670" s="13"/>
      <c r="L670" s="13"/>
      <c r="M670" s="13"/>
      <c r="N670" s="16"/>
      <c r="O670" s="16"/>
      <c r="P670" s="16"/>
      <c r="Q670" s="16"/>
      <c r="R670" s="96"/>
      <c r="S670" s="96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6"/>
      <c r="B671" s="13"/>
      <c r="C671" s="16"/>
      <c r="D671" s="16"/>
      <c r="E671" s="16"/>
      <c r="F671" s="16"/>
      <c r="G671" s="16"/>
      <c r="H671" s="16"/>
      <c r="I671" s="125"/>
      <c r="J671" s="16"/>
      <c r="K671" s="13"/>
      <c r="L671" s="13"/>
      <c r="M671" s="13"/>
      <c r="N671" s="16"/>
      <c r="O671" s="16"/>
      <c r="P671" s="16"/>
      <c r="Q671" s="16"/>
      <c r="R671" s="96"/>
      <c r="S671" s="96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6"/>
      <c r="B672" s="13"/>
      <c r="C672" s="16"/>
      <c r="D672" s="16"/>
      <c r="E672" s="16"/>
      <c r="F672" s="16"/>
      <c r="G672" s="16"/>
      <c r="H672" s="16"/>
      <c r="I672" s="125"/>
      <c r="J672" s="16"/>
      <c r="K672" s="13"/>
      <c r="L672" s="13"/>
      <c r="M672" s="13"/>
      <c r="N672" s="16"/>
      <c r="O672" s="16"/>
      <c r="P672" s="16"/>
      <c r="Q672" s="16"/>
      <c r="R672" s="96"/>
      <c r="S672" s="96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6"/>
      <c r="B673" s="13"/>
      <c r="C673" s="16"/>
      <c r="D673" s="16"/>
      <c r="E673" s="16"/>
      <c r="F673" s="16"/>
      <c r="G673" s="16"/>
      <c r="H673" s="16"/>
      <c r="I673" s="125"/>
      <c r="J673" s="16"/>
      <c r="K673" s="13"/>
      <c r="L673" s="13"/>
      <c r="M673" s="13"/>
      <c r="N673" s="16"/>
      <c r="O673" s="16"/>
      <c r="P673" s="16"/>
      <c r="Q673" s="16"/>
      <c r="R673" s="96"/>
      <c r="S673" s="96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6"/>
      <c r="B674" s="13"/>
      <c r="C674" s="16"/>
      <c r="D674" s="16"/>
      <c r="E674" s="16"/>
      <c r="F674" s="16"/>
      <c r="G674" s="16"/>
      <c r="H674" s="16"/>
      <c r="I674" s="125"/>
      <c r="J674" s="16"/>
      <c r="K674" s="13"/>
      <c r="L674" s="13"/>
      <c r="M674" s="13"/>
      <c r="N674" s="16"/>
      <c r="O674" s="16"/>
      <c r="P674" s="16"/>
      <c r="Q674" s="16"/>
      <c r="R674" s="96"/>
      <c r="S674" s="96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6"/>
      <c r="B675" s="13"/>
      <c r="C675" s="16"/>
      <c r="D675" s="16"/>
      <c r="E675" s="16"/>
      <c r="F675" s="16"/>
      <c r="G675" s="16"/>
      <c r="H675" s="16"/>
      <c r="I675" s="125"/>
      <c r="J675" s="16"/>
      <c r="K675" s="13"/>
      <c r="L675" s="13"/>
      <c r="M675" s="13"/>
      <c r="N675" s="16"/>
      <c r="O675" s="16"/>
      <c r="P675" s="16"/>
      <c r="Q675" s="16"/>
      <c r="R675" s="96"/>
      <c r="S675" s="96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6"/>
      <c r="B676" s="13"/>
      <c r="C676" s="16"/>
      <c r="D676" s="16"/>
      <c r="E676" s="16"/>
      <c r="F676" s="16"/>
      <c r="G676" s="16"/>
      <c r="H676" s="16"/>
      <c r="I676" s="125"/>
      <c r="J676" s="16"/>
      <c r="K676" s="13"/>
      <c r="L676" s="13"/>
      <c r="M676" s="13"/>
      <c r="N676" s="16"/>
      <c r="O676" s="16"/>
      <c r="P676" s="16"/>
      <c r="Q676" s="16"/>
      <c r="R676" s="96"/>
      <c r="S676" s="96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6"/>
      <c r="B677" s="13"/>
      <c r="C677" s="16"/>
      <c r="D677" s="16"/>
      <c r="E677" s="16"/>
      <c r="F677" s="16"/>
      <c r="G677" s="16"/>
      <c r="H677" s="16"/>
      <c r="I677" s="125"/>
      <c r="J677" s="16"/>
      <c r="K677" s="13"/>
      <c r="L677" s="13"/>
      <c r="M677" s="13"/>
      <c r="N677" s="16"/>
      <c r="O677" s="16"/>
      <c r="P677" s="16"/>
      <c r="Q677" s="16"/>
      <c r="R677" s="96"/>
      <c r="S677" s="96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6"/>
      <c r="B678" s="13"/>
      <c r="C678" s="16"/>
      <c r="D678" s="16"/>
      <c r="E678" s="16"/>
      <c r="F678" s="16"/>
      <c r="G678" s="16"/>
      <c r="H678" s="16"/>
      <c r="I678" s="125"/>
      <c r="J678" s="16"/>
      <c r="K678" s="13"/>
      <c r="L678" s="13"/>
      <c r="M678" s="13"/>
      <c r="N678" s="16"/>
      <c r="O678" s="16"/>
      <c r="P678" s="16"/>
      <c r="Q678" s="16"/>
      <c r="R678" s="96"/>
      <c r="S678" s="96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6"/>
      <c r="B679" s="13"/>
      <c r="C679" s="16"/>
      <c r="D679" s="16"/>
      <c r="E679" s="16"/>
      <c r="F679" s="16"/>
      <c r="G679" s="16"/>
      <c r="H679" s="16"/>
      <c r="I679" s="125"/>
      <c r="J679" s="16"/>
      <c r="K679" s="13"/>
      <c r="L679" s="13"/>
      <c r="M679" s="13"/>
      <c r="N679" s="16"/>
      <c r="O679" s="16"/>
      <c r="P679" s="16"/>
      <c r="Q679" s="16"/>
      <c r="R679" s="96"/>
      <c r="S679" s="96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6"/>
      <c r="B680" s="13"/>
      <c r="C680" s="16"/>
      <c r="D680" s="16"/>
      <c r="E680" s="16"/>
      <c r="F680" s="16"/>
      <c r="G680" s="16"/>
      <c r="H680" s="16"/>
      <c r="I680" s="125"/>
      <c r="J680" s="16"/>
      <c r="K680" s="13"/>
      <c r="L680" s="13"/>
      <c r="M680" s="13"/>
      <c r="N680" s="16"/>
      <c r="O680" s="16"/>
      <c r="P680" s="16"/>
      <c r="Q680" s="16"/>
      <c r="R680" s="96"/>
      <c r="S680" s="96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6"/>
      <c r="B681" s="13"/>
      <c r="C681" s="16"/>
      <c r="D681" s="16"/>
      <c r="E681" s="16"/>
      <c r="F681" s="16"/>
      <c r="G681" s="16"/>
      <c r="H681" s="16"/>
      <c r="I681" s="125"/>
      <c r="J681" s="16"/>
      <c r="K681" s="13"/>
      <c r="L681" s="13"/>
      <c r="M681" s="13"/>
      <c r="N681" s="16"/>
      <c r="O681" s="16"/>
      <c r="P681" s="16"/>
      <c r="Q681" s="16"/>
      <c r="R681" s="96"/>
      <c r="S681" s="96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6"/>
      <c r="B682" s="13"/>
      <c r="C682" s="16"/>
      <c r="D682" s="16"/>
      <c r="E682" s="16"/>
      <c r="F682" s="16"/>
      <c r="G682" s="16"/>
      <c r="H682" s="16"/>
      <c r="I682" s="125"/>
      <c r="J682" s="16"/>
      <c r="K682" s="13"/>
      <c r="L682" s="13"/>
      <c r="M682" s="13"/>
      <c r="N682" s="16"/>
      <c r="O682" s="16"/>
      <c r="P682" s="16"/>
      <c r="Q682" s="16"/>
      <c r="R682" s="96"/>
      <c r="S682" s="96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6"/>
      <c r="B683" s="13"/>
      <c r="C683" s="16"/>
      <c r="D683" s="16"/>
      <c r="E683" s="16"/>
      <c r="F683" s="16"/>
      <c r="G683" s="16"/>
      <c r="H683" s="16"/>
      <c r="I683" s="125"/>
      <c r="J683" s="16"/>
      <c r="K683" s="13"/>
      <c r="L683" s="13"/>
      <c r="M683" s="13"/>
      <c r="N683" s="16"/>
      <c r="O683" s="16"/>
      <c r="P683" s="16"/>
      <c r="Q683" s="16"/>
      <c r="R683" s="96"/>
      <c r="S683" s="96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6"/>
      <c r="B684" s="13"/>
      <c r="C684" s="16"/>
      <c r="D684" s="16"/>
      <c r="E684" s="16"/>
      <c r="F684" s="16"/>
      <c r="G684" s="16"/>
      <c r="H684" s="16"/>
      <c r="I684" s="125"/>
      <c r="J684" s="16"/>
      <c r="K684" s="13"/>
      <c r="L684" s="13"/>
      <c r="M684" s="13"/>
      <c r="N684" s="16"/>
      <c r="O684" s="16"/>
      <c r="P684" s="16"/>
      <c r="Q684" s="16"/>
      <c r="R684" s="96"/>
      <c r="S684" s="96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6"/>
      <c r="B685" s="13"/>
      <c r="C685" s="16"/>
      <c r="D685" s="16"/>
      <c r="E685" s="16"/>
      <c r="F685" s="16"/>
      <c r="G685" s="16"/>
      <c r="H685" s="16"/>
      <c r="I685" s="125"/>
      <c r="J685" s="16"/>
      <c r="K685" s="13"/>
      <c r="L685" s="13"/>
      <c r="M685" s="13"/>
      <c r="N685" s="16"/>
      <c r="O685" s="16"/>
      <c r="P685" s="16"/>
      <c r="Q685" s="16"/>
      <c r="R685" s="96"/>
      <c r="S685" s="96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6"/>
      <c r="B686" s="13"/>
      <c r="C686" s="16"/>
      <c r="D686" s="16"/>
      <c r="E686" s="16"/>
      <c r="F686" s="16"/>
      <c r="G686" s="16"/>
      <c r="H686" s="16"/>
      <c r="I686" s="125"/>
      <c r="J686" s="16"/>
      <c r="K686" s="13"/>
      <c r="L686" s="13"/>
      <c r="M686" s="13"/>
      <c r="N686" s="16"/>
      <c r="O686" s="16"/>
      <c r="P686" s="16"/>
      <c r="Q686" s="16"/>
      <c r="R686" s="96"/>
      <c r="S686" s="96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6"/>
      <c r="B687" s="13"/>
      <c r="C687" s="16"/>
      <c r="D687" s="16"/>
      <c r="E687" s="16"/>
      <c r="F687" s="16"/>
      <c r="G687" s="16"/>
      <c r="H687" s="16"/>
      <c r="I687" s="125"/>
      <c r="J687" s="16"/>
      <c r="K687" s="13"/>
      <c r="L687" s="13"/>
      <c r="M687" s="13"/>
      <c r="N687" s="16"/>
      <c r="O687" s="16"/>
      <c r="P687" s="16"/>
      <c r="Q687" s="16"/>
      <c r="R687" s="96"/>
      <c r="S687" s="96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6"/>
      <c r="B688" s="13"/>
      <c r="C688" s="16"/>
      <c r="D688" s="16"/>
      <c r="E688" s="16"/>
      <c r="F688" s="16"/>
      <c r="G688" s="16"/>
      <c r="H688" s="16"/>
      <c r="I688" s="125"/>
      <c r="J688" s="16"/>
      <c r="K688" s="13"/>
      <c r="L688" s="13"/>
      <c r="M688" s="13"/>
      <c r="N688" s="16"/>
      <c r="O688" s="16"/>
      <c r="P688" s="16"/>
      <c r="Q688" s="16"/>
      <c r="R688" s="96"/>
      <c r="S688" s="96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6"/>
      <c r="B689" s="13"/>
      <c r="C689" s="16"/>
      <c r="D689" s="16"/>
      <c r="E689" s="16"/>
      <c r="F689" s="16"/>
      <c r="G689" s="16"/>
      <c r="H689" s="16"/>
      <c r="I689" s="125"/>
      <c r="J689" s="16"/>
      <c r="K689" s="13"/>
      <c r="L689" s="13"/>
      <c r="M689" s="13"/>
      <c r="N689" s="16"/>
      <c r="O689" s="16"/>
      <c r="P689" s="16"/>
      <c r="Q689" s="16"/>
      <c r="R689" s="96"/>
      <c r="S689" s="96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6"/>
      <c r="B690" s="13"/>
      <c r="C690" s="16"/>
      <c r="D690" s="16"/>
      <c r="E690" s="16"/>
      <c r="F690" s="16"/>
      <c r="G690" s="16"/>
      <c r="H690" s="16"/>
      <c r="I690" s="125"/>
      <c r="J690" s="16"/>
      <c r="K690" s="13"/>
      <c r="L690" s="13"/>
      <c r="M690" s="13"/>
      <c r="N690" s="16"/>
      <c r="O690" s="16"/>
      <c r="P690" s="16"/>
      <c r="Q690" s="16"/>
      <c r="R690" s="96"/>
      <c r="S690" s="96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6"/>
      <c r="B691" s="13"/>
      <c r="C691" s="16"/>
      <c r="D691" s="16"/>
      <c r="E691" s="16"/>
      <c r="F691" s="16"/>
      <c r="G691" s="16"/>
      <c r="H691" s="16"/>
      <c r="I691" s="125"/>
      <c r="J691" s="16"/>
      <c r="K691" s="13"/>
      <c r="L691" s="13"/>
      <c r="M691" s="13"/>
      <c r="N691" s="16"/>
      <c r="O691" s="16"/>
      <c r="P691" s="16"/>
      <c r="Q691" s="16"/>
      <c r="R691" s="96"/>
      <c r="S691" s="96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6"/>
      <c r="B692" s="13"/>
      <c r="C692" s="16"/>
      <c r="D692" s="16"/>
      <c r="E692" s="16"/>
      <c r="F692" s="16"/>
      <c r="G692" s="16"/>
      <c r="H692" s="16"/>
      <c r="I692" s="125"/>
      <c r="J692" s="16"/>
      <c r="K692" s="13"/>
      <c r="L692" s="13"/>
      <c r="M692" s="13"/>
      <c r="N692" s="16"/>
      <c r="O692" s="16"/>
      <c r="P692" s="16"/>
      <c r="Q692" s="16"/>
      <c r="R692" s="96"/>
      <c r="S692" s="96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6"/>
      <c r="B693" s="13"/>
      <c r="C693" s="16"/>
      <c r="D693" s="16"/>
      <c r="E693" s="16"/>
      <c r="F693" s="16"/>
      <c r="G693" s="16"/>
      <c r="H693" s="16"/>
      <c r="I693" s="125"/>
      <c r="J693" s="16"/>
      <c r="K693" s="13"/>
      <c r="L693" s="13"/>
      <c r="M693" s="13"/>
      <c r="N693" s="16"/>
      <c r="O693" s="16"/>
      <c r="P693" s="16"/>
      <c r="Q693" s="16"/>
      <c r="R693" s="96"/>
      <c r="S693" s="96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6"/>
      <c r="B694" s="13"/>
      <c r="C694" s="16"/>
      <c r="D694" s="16"/>
      <c r="E694" s="16"/>
      <c r="F694" s="16"/>
      <c r="G694" s="16"/>
      <c r="H694" s="16"/>
      <c r="I694" s="125"/>
      <c r="J694" s="16"/>
      <c r="K694" s="13"/>
      <c r="L694" s="13"/>
      <c r="M694" s="13"/>
      <c r="N694" s="16"/>
      <c r="O694" s="16"/>
      <c r="P694" s="16"/>
      <c r="Q694" s="16"/>
      <c r="R694" s="96"/>
      <c r="S694" s="96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6"/>
      <c r="B695" s="13"/>
      <c r="C695" s="16"/>
      <c r="D695" s="16"/>
      <c r="E695" s="16"/>
      <c r="F695" s="16"/>
      <c r="G695" s="16"/>
      <c r="H695" s="16"/>
      <c r="I695" s="125"/>
      <c r="J695" s="16"/>
      <c r="K695" s="13"/>
      <c r="L695" s="13"/>
      <c r="M695" s="13"/>
      <c r="N695" s="16"/>
      <c r="O695" s="16"/>
      <c r="P695" s="16"/>
      <c r="Q695" s="16"/>
      <c r="R695" s="96"/>
      <c r="S695" s="96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6"/>
      <c r="B696" s="13"/>
      <c r="C696" s="16"/>
      <c r="D696" s="16"/>
      <c r="E696" s="16"/>
      <c r="F696" s="16"/>
      <c r="G696" s="16"/>
      <c r="H696" s="16"/>
      <c r="I696" s="125"/>
      <c r="J696" s="16"/>
      <c r="K696" s="13"/>
      <c r="L696" s="13"/>
      <c r="M696" s="13"/>
      <c r="N696" s="16"/>
      <c r="O696" s="16"/>
      <c r="P696" s="16"/>
      <c r="Q696" s="16"/>
      <c r="R696" s="96"/>
      <c r="S696" s="96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6"/>
      <c r="B697" s="13"/>
      <c r="C697" s="16"/>
      <c r="D697" s="16"/>
      <c r="E697" s="16"/>
      <c r="F697" s="16"/>
      <c r="G697" s="16"/>
      <c r="H697" s="16"/>
      <c r="I697" s="125"/>
      <c r="J697" s="16"/>
      <c r="K697" s="13"/>
      <c r="L697" s="13"/>
      <c r="M697" s="13"/>
      <c r="N697" s="16"/>
      <c r="O697" s="16"/>
      <c r="P697" s="16"/>
      <c r="Q697" s="16"/>
      <c r="R697" s="96"/>
      <c r="S697" s="96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6"/>
      <c r="B698" s="13"/>
      <c r="C698" s="16"/>
      <c r="D698" s="16"/>
      <c r="E698" s="16"/>
      <c r="F698" s="16"/>
      <c r="G698" s="16"/>
      <c r="H698" s="16"/>
      <c r="I698" s="125"/>
      <c r="J698" s="16"/>
      <c r="K698" s="13"/>
      <c r="L698" s="13"/>
      <c r="M698" s="13"/>
      <c r="N698" s="16"/>
      <c r="O698" s="16"/>
      <c r="P698" s="16"/>
      <c r="Q698" s="16"/>
      <c r="R698" s="96"/>
      <c r="S698" s="96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6"/>
      <c r="B699" s="13"/>
      <c r="C699" s="16"/>
      <c r="D699" s="16"/>
      <c r="E699" s="16"/>
      <c r="F699" s="16"/>
      <c r="G699" s="16"/>
      <c r="H699" s="16"/>
      <c r="I699" s="125"/>
      <c r="J699" s="16"/>
      <c r="K699" s="13"/>
      <c r="L699" s="13"/>
      <c r="M699" s="13"/>
      <c r="N699" s="16"/>
      <c r="O699" s="16"/>
      <c r="P699" s="16"/>
      <c r="Q699" s="16"/>
      <c r="R699" s="96"/>
      <c r="S699" s="96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6"/>
      <c r="B700" s="13"/>
      <c r="C700" s="16"/>
      <c r="D700" s="16"/>
      <c r="E700" s="16"/>
      <c r="F700" s="16"/>
      <c r="G700" s="16"/>
      <c r="H700" s="16"/>
      <c r="I700" s="125"/>
      <c r="J700" s="16"/>
      <c r="K700" s="13"/>
      <c r="L700" s="13"/>
      <c r="M700" s="13"/>
      <c r="N700" s="16"/>
      <c r="O700" s="16"/>
      <c r="P700" s="16"/>
      <c r="Q700" s="16"/>
      <c r="R700" s="96"/>
      <c r="S700" s="96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6"/>
      <c r="B701" s="13"/>
      <c r="C701" s="16"/>
      <c r="D701" s="16"/>
      <c r="E701" s="16"/>
      <c r="F701" s="16"/>
      <c r="G701" s="16"/>
      <c r="H701" s="16"/>
      <c r="I701" s="125"/>
      <c r="J701" s="16"/>
      <c r="K701" s="13"/>
      <c r="L701" s="13"/>
      <c r="M701" s="13"/>
      <c r="N701" s="16"/>
      <c r="O701" s="16"/>
      <c r="P701" s="16"/>
      <c r="Q701" s="16"/>
      <c r="R701" s="96"/>
      <c r="S701" s="96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6"/>
      <c r="B702" s="13"/>
      <c r="C702" s="16"/>
      <c r="D702" s="16"/>
      <c r="E702" s="16"/>
      <c r="F702" s="16"/>
      <c r="G702" s="16"/>
      <c r="H702" s="16"/>
      <c r="I702" s="125"/>
      <c r="J702" s="16"/>
      <c r="K702" s="13"/>
      <c r="L702" s="13"/>
      <c r="M702" s="13"/>
      <c r="N702" s="16"/>
      <c r="O702" s="16"/>
      <c r="P702" s="16"/>
      <c r="Q702" s="16"/>
      <c r="R702" s="96"/>
      <c r="S702" s="96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6"/>
      <c r="B703" s="13"/>
      <c r="C703" s="16"/>
      <c r="D703" s="16"/>
      <c r="E703" s="16"/>
      <c r="F703" s="16"/>
      <c r="G703" s="16"/>
      <c r="H703" s="16"/>
      <c r="I703" s="125"/>
      <c r="J703" s="16"/>
      <c r="K703" s="13"/>
      <c r="L703" s="13"/>
      <c r="M703" s="13"/>
      <c r="N703" s="16"/>
      <c r="O703" s="16"/>
      <c r="P703" s="16"/>
      <c r="Q703" s="16"/>
      <c r="R703" s="96"/>
      <c r="S703" s="96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6"/>
      <c r="B704" s="13"/>
      <c r="C704" s="16"/>
      <c r="D704" s="16"/>
      <c r="E704" s="16"/>
      <c r="F704" s="16"/>
      <c r="G704" s="16"/>
      <c r="H704" s="16"/>
      <c r="I704" s="125"/>
      <c r="J704" s="16"/>
      <c r="K704" s="13"/>
      <c r="L704" s="13"/>
      <c r="M704" s="13"/>
      <c r="N704" s="16"/>
      <c r="O704" s="16"/>
      <c r="P704" s="16"/>
      <c r="Q704" s="16"/>
      <c r="R704" s="96"/>
      <c r="S704" s="96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6"/>
      <c r="B705" s="13"/>
      <c r="C705" s="16"/>
      <c r="D705" s="16"/>
      <c r="E705" s="16"/>
      <c r="F705" s="16"/>
      <c r="G705" s="16"/>
      <c r="H705" s="16"/>
      <c r="I705" s="125"/>
      <c r="J705" s="16"/>
      <c r="K705" s="13"/>
      <c r="L705" s="13"/>
      <c r="M705" s="13"/>
      <c r="N705" s="16"/>
      <c r="O705" s="16"/>
      <c r="P705" s="16"/>
      <c r="Q705" s="16"/>
      <c r="R705" s="96"/>
      <c r="S705" s="96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6"/>
      <c r="B706" s="13"/>
      <c r="C706" s="16"/>
      <c r="D706" s="16"/>
      <c r="E706" s="16"/>
      <c r="F706" s="16"/>
      <c r="G706" s="16"/>
      <c r="H706" s="16"/>
      <c r="I706" s="125"/>
      <c r="J706" s="16"/>
      <c r="K706" s="13"/>
      <c r="L706" s="13"/>
      <c r="M706" s="13"/>
      <c r="N706" s="16"/>
      <c r="O706" s="16"/>
      <c r="P706" s="16"/>
      <c r="Q706" s="16"/>
      <c r="R706" s="96"/>
      <c r="S706" s="96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6"/>
      <c r="B707" s="13"/>
      <c r="C707" s="16"/>
      <c r="D707" s="16"/>
      <c r="E707" s="16"/>
      <c r="F707" s="16"/>
      <c r="G707" s="16"/>
      <c r="H707" s="16"/>
      <c r="I707" s="125"/>
      <c r="J707" s="16"/>
      <c r="K707" s="13"/>
      <c r="L707" s="13"/>
      <c r="M707" s="13"/>
      <c r="N707" s="16"/>
      <c r="O707" s="16"/>
      <c r="P707" s="16"/>
      <c r="Q707" s="16"/>
      <c r="R707" s="96"/>
      <c r="S707" s="96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6"/>
      <c r="B708" s="13"/>
      <c r="C708" s="16"/>
      <c r="D708" s="16"/>
      <c r="E708" s="16"/>
      <c r="F708" s="16"/>
      <c r="G708" s="16"/>
      <c r="H708" s="16"/>
      <c r="I708" s="125"/>
      <c r="J708" s="16"/>
      <c r="K708" s="13"/>
      <c r="L708" s="13"/>
      <c r="M708" s="13"/>
      <c r="N708" s="16"/>
      <c r="O708" s="16"/>
      <c r="P708" s="16"/>
      <c r="Q708" s="16"/>
      <c r="R708" s="96"/>
      <c r="S708" s="96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6"/>
      <c r="B709" s="13"/>
      <c r="C709" s="16"/>
      <c r="D709" s="16"/>
      <c r="E709" s="16"/>
      <c r="F709" s="16"/>
      <c r="G709" s="16"/>
      <c r="H709" s="16"/>
      <c r="I709" s="125"/>
      <c r="J709" s="16"/>
      <c r="K709" s="13"/>
      <c r="L709" s="13"/>
      <c r="M709" s="13"/>
      <c r="N709" s="16"/>
      <c r="O709" s="16"/>
      <c r="P709" s="16"/>
      <c r="Q709" s="16"/>
      <c r="R709" s="96"/>
      <c r="S709" s="96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6"/>
      <c r="B710" s="13"/>
      <c r="C710" s="16"/>
      <c r="D710" s="16"/>
      <c r="E710" s="16"/>
      <c r="F710" s="16"/>
      <c r="G710" s="16"/>
      <c r="H710" s="16"/>
      <c r="I710" s="125"/>
      <c r="J710" s="16"/>
      <c r="K710" s="13"/>
      <c r="L710" s="13"/>
      <c r="M710" s="13"/>
      <c r="N710" s="16"/>
      <c r="O710" s="16"/>
      <c r="P710" s="16"/>
      <c r="Q710" s="16"/>
      <c r="R710" s="96"/>
      <c r="S710" s="96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6"/>
      <c r="B711" s="13"/>
      <c r="C711" s="16"/>
      <c r="D711" s="16"/>
      <c r="E711" s="16"/>
      <c r="F711" s="16"/>
      <c r="G711" s="16"/>
      <c r="H711" s="16"/>
      <c r="I711" s="125"/>
      <c r="J711" s="16"/>
      <c r="K711" s="13"/>
      <c r="L711" s="13"/>
      <c r="M711" s="13"/>
      <c r="N711" s="16"/>
      <c r="O711" s="16"/>
      <c r="P711" s="16"/>
      <c r="Q711" s="16"/>
      <c r="R711" s="96"/>
      <c r="S711" s="96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6"/>
      <c r="B712" s="13"/>
      <c r="C712" s="16"/>
      <c r="D712" s="16"/>
      <c r="E712" s="16"/>
      <c r="F712" s="16"/>
      <c r="G712" s="16"/>
      <c r="H712" s="16"/>
      <c r="I712" s="125"/>
      <c r="J712" s="16"/>
      <c r="K712" s="13"/>
      <c r="L712" s="13"/>
      <c r="M712" s="13"/>
      <c r="N712" s="16"/>
      <c r="O712" s="16"/>
      <c r="P712" s="16"/>
      <c r="Q712" s="16"/>
      <c r="R712" s="96"/>
      <c r="S712" s="96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6"/>
      <c r="B713" s="13"/>
      <c r="C713" s="16"/>
      <c r="D713" s="16"/>
      <c r="E713" s="16"/>
      <c r="F713" s="16"/>
      <c r="G713" s="16"/>
      <c r="H713" s="16"/>
      <c r="I713" s="125"/>
      <c r="J713" s="16"/>
      <c r="K713" s="13"/>
      <c r="L713" s="13"/>
      <c r="M713" s="13"/>
      <c r="N713" s="16"/>
      <c r="O713" s="16"/>
      <c r="P713" s="16"/>
      <c r="Q713" s="16"/>
      <c r="R713" s="96"/>
      <c r="S713" s="96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6"/>
      <c r="B714" s="13"/>
      <c r="C714" s="16"/>
      <c r="D714" s="16"/>
      <c r="E714" s="16"/>
      <c r="F714" s="16"/>
      <c r="G714" s="16"/>
      <c r="H714" s="16"/>
      <c r="I714" s="125"/>
      <c r="J714" s="16"/>
      <c r="K714" s="13"/>
      <c r="L714" s="13"/>
      <c r="M714" s="13"/>
      <c r="N714" s="16"/>
      <c r="O714" s="16"/>
      <c r="P714" s="16"/>
      <c r="Q714" s="16"/>
      <c r="R714" s="96"/>
      <c r="S714" s="96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6"/>
      <c r="B715" s="13"/>
      <c r="C715" s="16"/>
      <c r="D715" s="16"/>
      <c r="E715" s="16"/>
      <c r="F715" s="16"/>
      <c r="G715" s="16"/>
      <c r="H715" s="16"/>
      <c r="I715" s="125"/>
      <c r="J715" s="16"/>
      <c r="K715" s="13"/>
      <c r="L715" s="13"/>
      <c r="M715" s="13"/>
      <c r="N715" s="16"/>
      <c r="O715" s="16"/>
      <c r="P715" s="16"/>
      <c r="Q715" s="16"/>
      <c r="R715" s="96"/>
      <c r="S715" s="96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6"/>
      <c r="B716" s="13"/>
      <c r="C716" s="16"/>
      <c r="D716" s="16"/>
      <c r="E716" s="16"/>
      <c r="F716" s="16"/>
      <c r="G716" s="16"/>
      <c r="H716" s="16"/>
      <c r="I716" s="125"/>
      <c r="J716" s="16"/>
      <c r="K716" s="13"/>
      <c r="L716" s="13"/>
      <c r="M716" s="13"/>
      <c r="N716" s="16"/>
      <c r="O716" s="16"/>
      <c r="P716" s="16"/>
      <c r="Q716" s="16"/>
      <c r="R716" s="96"/>
      <c r="S716" s="96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6"/>
      <c r="B717" s="13"/>
      <c r="C717" s="16"/>
      <c r="D717" s="16"/>
      <c r="E717" s="16"/>
      <c r="F717" s="16"/>
      <c r="G717" s="16"/>
      <c r="H717" s="16"/>
      <c r="I717" s="125"/>
      <c r="J717" s="16"/>
      <c r="K717" s="13"/>
      <c r="L717" s="13"/>
      <c r="M717" s="13"/>
      <c r="N717" s="16"/>
      <c r="O717" s="16"/>
      <c r="P717" s="16"/>
      <c r="Q717" s="16"/>
      <c r="R717" s="96"/>
      <c r="S717" s="96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6"/>
      <c r="B718" s="13"/>
      <c r="C718" s="16"/>
      <c r="D718" s="16"/>
      <c r="E718" s="16"/>
      <c r="F718" s="16"/>
      <c r="G718" s="16"/>
      <c r="H718" s="16"/>
      <c r="I718" s="125"/>
      <c r="J718" s="16"/>
      <c r="K718" s="13"/>
      <c r="L718" s="13"/>
      <c r="M718" s="13"/>
      <c r="N718" s="16"/>
      <c r="O718" s="16"/>
      <c r="P718" s="16"/>
      <c r="Q718" s="16"/>
      <c r="R718" s="96"/>
      <c r="S718" s="96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6"/>
      <c r="B719" s="13"/>
      <c r="C719" s="16"/>
      <c r="D719" s="16"/>
      <c r="E719" s="16"/>
      <c r="F719" s="16"/>
      <c r="G719" s="16"/>
      <c r="H719" s="16"/>
      <c r="I719" s="125"/>
      <c r="J719" s="16"/>
      <c r="K719" s="13"/>
      <c r="L719" s="13"/>
      <c r="M719" s="13"/>
      <c r="N719" s="16"/>
      <c r="O719" s="16"/>
      <c r="P719" s="16"/>
      <c r="Q719" s="16"/>
      <c r="R719" s="96"/>
      <c r="S719" s="96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6"/>
      <c r="B720" s="13"/>
      <c r="C720" s="16"/>
      <c r="D720" s="16"/>
      <c r="E720" s="16"/>
      <c r="F720" s="16"/>
      <c r="G720" s="16"/>
      <c r="H720" s="16"/>
      <c r="I720" s="125"/>
      <c r="J720" s="16"/>
      <c r="K720" s="13"/>
      <c r="L720" s="13"/>
      <c r="M720" s="13"/>
      <c r="N720" s="16"/>
      <c r="O720" s="16"/>
      <c r="P720" s="16"/>
      <c r="Q720" s="16"/>
      <c r="R720" s="96"/>
      <c r="S720" s="96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6"/>
      <c r="B721" s="13"/>
      <c r="C721" s="16"/>
      <c r="D721" s="16"/>
      <c r="E721" s="16"/>
      <c r="F721" s="16"/>
      <c r="G721" s="16"/>
      <c r="H721" s="16"/>
      <c r="I721" s="125"/>
      <c r="J721" s="16"/>
      <c r="K721" s="13"/>
      <c r="L721" s="13"/>
      <c r="M721" s="13"/>
      <c r="N721" s="16"/>
      <c r="O721" s="16"/>
      <c r="P721" s="16"/>
      <c r="Q721" s="16"/>
      <c r="R721" s="96"/>
      <c r="S721" s="96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6"/>
      <c r="B722" s="13"/>
      <c r="C722" s="16"/>
      <c r="D722" s="16"/>
      <c r="E722" s="16"/>
      <c r="F722" s="16"/>
      <c r="G722" s="16"/>
      <c r="H722" s="16"/>
      <c r="I722" s="125"/>
      <c r="J722" s="16"/>
      <c r="K722" s="13"/>
      <c r="L722" s="13"/>
      <c r="M722" s="13"/>
      <c r="N722" s="16"/>
      <c r="O722" s="16"/>
      <c r="P722" s="16"/>
      <c r="Q722" s="16"/>
      <c r="R722" s="96"/>
      <c r="S722" s="96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6"/>
      <c r="B723" s="13"/>
      <c r="C723" s="16"/>
      <c r="D723" s="16"/>
      <c r="E723" s="16"/>
      <c r="F723" s="16"/>
      <c r="G723" s="16"/>
      <c r="H723" s="16"/>
      <c r="I723" s="125"/>
      <c r="J723" s="16"/>
      <c r="K723" s="13"/>
      <c r="L723" s="13"/>
      <c r="M723" s="13"/>
      <c r="N723" s="16"/>
      <c r="O723" s="16"/>
      <c r="P723" s="16"/>
      <c r="Q723" s="16"/>
      <c r="R723" s="96"/>
      <c r="S723" s="96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6"/>
      <c r="B724" s="13"/>
      <c r="C724" s="16"/>
      <c r="D724" s="16"/>
      <c r="E724" s="16"/>
      <c r="F724" s="16"/>
      <c r="G724" s="16"/>
      <c r="H724" s="16"/>
      <c r="I724" s="125"/>
      <c r="J724" s="16"/>
      <c r="K724" s="13"/>
      <c r="L724" s="13"/>
      <c r="M724" s="13"/>
      <c r="N724" s="16"/>
      <c r="O724" s="16"/>
      <c r="P724" s="16"/>
      <c r="Q724" s="16"/>
      <c r="R724" s="96"/>
      <c r="S724" s="96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6"/>
      <c r="B725" s="13"/>
      <c r="C725" s="16"/>
      <c r="D725" s="16"/>
      <c r="E725" s="16"/>
      <c r="F725" s="16"/>
      <c r="G725" s="16"/>
      <c r="H725" s="16"/>
      <c r="I725" s="125"/>
      <c r="J725" s="16"/>
      <c r="K725" s="13"/>
      <c r="L725" s="13"/>
      <c r="M725" s="13"/>
      <c r="N725" s="16"/>
      <c r="O725" s="16"/>
      <c r="P725" s="16"/>
      <c r="Q725" s="16"/>
      <c r="R725" s="96"/>
      <c r="S725" s="96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6"/>
      <c r="B726" s="13"/>
      <c r="C726" s="16"/>
      <c r="D726" s="16"/>
      <c r="E726" s="16"/>
      <c r="F726" s="16"/>
      <c r="G726" s="16"/>
      <c r="H726" s="16"/>
      <c r="I726" s="125"/>
      <c r="J726" s="16"/>
      <c r="K726" s="13"/>
      <c r="L726" s="13"/>
      <c r="M726" s="13"/>
      <c r="N726" s="16"/>
      <c r="O726" s="16"/>
      <c r="P726" s="16"/>
      <c r="Q726" s="16"/>
      <c r="R726" s="96"/>
      <c r="S726" s="96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6"/>
      <c r="B727" s="13"/>
      <c r="C727" s="16"/>
      <c r="D727" s="16"/>
      <c r="E727" s="16"/>
      <c r="F727" s="16"/>
      <c r="G727" s="16"/>
      <c r="H727" s="16"/>
      <c r="I727" s="125"/>
      <c r="J727" s="16"/>
      <c r="K727" s="13"/>
      <c r="L727" s="13"/>
      <c r="M727" s="13"/>
      <c r="N727" s="16"/>
      <c r="O727" s="16"/>
      <c r="P727" s="16"/>
      <c r="Q727" s="16"/>
      <c r="R727" s="96"/>
      <c r="S727" s="96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6"/>
      <c r="B728" s="13"/>
      <c r="C728" s="16"/>
      <c r="D728" s="16"/>
      <c r="E728" s="16"/>
      <c r="F728" s="16"/>
      <c r="G728" s="16"/>
      <c r="H728" s="16"/>
      <c r="I728" s="125"/>
      <c r="J728" s="16"/>
      <c r="K728" s="13"/>
      <c r="L728" s="13"/>
      <c r="M728" s="13"/>
      <c r="N728" s="16"/>
      <c r="O728" s="16"/>
      <c r="P728" s="16"/>
      <c r="Q728" s="16"/>
      <c r="R728" s="96"/>
      <c r="S728" s="96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6"/>
      <c r="B729" s="13"/>
      <c r="C729" s="16"/>
      <c r="D729" s="16"/>
      <c r="E729" s="16"/>
      <c r="F729" s="16"/>
      <c r="G729" s="16"/>
      <c r="H729" s="16"/>
      <c r="I729" s="125"/>
      <c r="J729" s="16"/>
      <c r="K729" s="13"/>
      <c r="L729" s="13"/>
      <c r="M729" s="13"/>
      <c r="N729" s="16"/>
      <c r="O729" s="16"/>
      <c r="P729" s="16"/>
      <c r="Q729" s="16"/>
      <c r="R729" s="96"/>
      <c r="S729" s="96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6"/>
      <c r="B730" s="13"/>
      <c r="C730" s="16"/>
      <c r="D730" s="16"/>
      <c r="E730" s="16"/>
      <c r="F730" s="16"/>
      <c r="G730" s="16"/>
      <c r="H730" s="16"/>
      <c r="I730" s="125"/>
      <c r="J730" s="16"/>
      <c r="K730" s="13"/>
      <c r="L730" s="13"/>
      <c r="M730" s="13"/>
      <c r="N730" s="16"/>
      <c r="O730" s="16"/>
      <c r="P730" s="16"/>
      <c r="Q730" s="16"/>
      <c r="R730" s="96"/>
      <c r="S730" s="96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6"/>
      <c r="B731" s="13"/>
      <c r="C731" s="16"/>
      <c r="D731" s="16"/>
      <c r="E731" s="16"/>
      <c r="F731" s="16"/>
      <c r="G731" s="16"/>
      <c r="H731" s="16"/>
      <c r="I731" s="125"/>
      <c r="J731" s="16"/>
      <c r="K731" s="13"/>
      <c r="L731" s="13"/>
      <c r="M731" s="13"/>
      <c r="N731" s="16"/>
      <c r="O731" s="16"/>
      <c r="P731" s="16"/>
      <c r="Q731" s="16"/>
      <c r="R731" s="96"/>
      <c r="S731" s="96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6"/>
      <c r="B732" s="13"/>
      <c r="C732" s="16"/>
      <c r="D732" s="16"/>
      <c r="E732" s="16"/>
      <c r="F732" s="16"/>
      <c r="G732" s="16"/>
      <c r="H732" s="16"/>
      <c r="I732" s="125"/>
      <c r="J732" s="16"/>
      <c r="K732" s="13"/>
      <c r="L732" s="13"/>
      <c r="M732" s="13"/>
      <c r="N732" s="16"/>
      <c r="O732" s="16"/>
      <c r="P732" s="16"/>
      <c r="Q732" s="16"/>
      <c r="R732" s="96"/>
      <c r="S732" s="96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6"/>
      <c r="B733" s="13"/>
      <c r="C733" s="16"/>
      <c r="D733" s="16"/>
      <c r="E733" s="16"/>
      <c r="F733" s="16"/>
      <c r="G733" s="16"/>
      <c r="H733" s="16"/>
      <c r="I733" s="125"/>
      <c r="J733" s="16"/>
      <c r="K733" s="13"/>
      <c r="L733" s="13"/>
      <c r="M733" s="13"/>
      <c r="N733" s="16"/>
      <c r="O733" s="16"/>
      <c r="P733" s="16"/>
      <c r="Q733" s="16"/>
      <c r="R733" s="96"/>
      <c r="S733" s="96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6"/>
      <c r="B734" s="13"/>
      <c r="C734" s="16"/>
      <c r="D734" s="16"/>
      <c r="E734" s="16"/>
      <c r="F734" s="16"/>
      <c r="G734" s="16"/>
      <c r="H734" s="16"/>
      <c r="I734" s="125"/>
      <c r="J734" s="16"/>
      <c r="K734" s="13"/>
      <c r="L734" s="13"/>
      <c r="M734" s="13"/>
      <c r="N734" s="16"/>
      <c r="O734" s="16"/>
      <c r="P734" s="16"/>
      <c r="Q734" s="16"/>
      <c r="R734" s="96"/>
      <c r="S734" s="96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6"/>
      <c r="B735" s="13"/>
      <c r="C735" s="16"/>
      <c r="D735" s="16"/>
      <c r="E735" s="16"/>
      <c r="F735" s="16"/>
      <c r="G735" s="16"/>
      <c r="H735" s="16"/>
      <c r="I735" s="125"/>
      <c r="J735" s="16"/>
      <c r="K735" s="13"/>
      <c r="L735" s="13"/>
      <c r="M735" s="13"/>
      <c r="N735" s="16"/>
      <c r="O735" s="16"/>
      <c r="P735" s="16"/>
      <c r="Q735" s="16"/>
      <c r="R735" s="96"/>
      <c r="S735" s="96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6"/>
      <c r="B736" s="13"/>
      <c r="C736" s="16"/>
      <c r="D736" s="16"/>
      <c r="E736" s="16"/>
      <c r="F736" s="16"/>
      <c r="G736" s="16"/>
      <c r="H736" s="16"/>
      <c r="I736" s="125"/>
      <c r="J736" s="16"/>
      <c r="K736" s="13"/>
      <c r="L736" s="13"/>
      <c r="M736" s="13"/>
      <c r="N736" s="16"/>
      <c r="O736" s="16"/>
      <c r="P736" s="16"/>
      <c r="Q736" s="16"/>
      <c r="R736" s="96"/>
      <c r="S736" s="96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6"/>
      <c r="B737" s="13"/>
      <c r="C737" s="16"/>
      <c r="D737" s="16"/>
      <c r="E737" s="16"/>
      <c r="F737" s="16"/>
      <c r="G737" s="16"/>
      <c r="H737" s="16"/>
      <c r="I737" s="125"/>
      <c r="J737" s="16"/>
      <c r="K737" s="13"/>
      <c r="L737" s="13"/>
      <c r="M737" s="13"/>
      <c r="N737" s="16"/>
      <c r="O737" s="16"/>
      <c r="P737" s="16"/>
      <c r="Q737" s="16"/>
      <c r="R737" s="96"/>
      <c r="S737" s="96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6"/>
      <c r="B738" s="13"/>
      <c r="C738" s="16"/>
      <c r="D738" s="16"/>
      <c r="E738" s="16"/>
      <c r="F738" s="16"/>
      <c r="G738" s="16"/>
      <c r="H738" s="16"/>
      <c r="I738" s="125"/>
      <c r="J738" s="16"/>
      <c r="K738" s="13"/>
      <c r="L738" s="13"/>
      <c r="M738" s="13"/>
      <c r="N738" s="16"/>
      <c r="O738" s="16"/>
      <c r="P738" s="16"/>
      <c r="Q738" s="16"/>
      <c r="R738" s="96"/>
      <c r="S738" s="96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6"/>
      <c r="B739" s="13"/>
      <c r="C739" s="16"/>
      <c r="D739" s="16"/>
      <c r="E739" s="16"/>
      <c r="F739" s="16"/>
      <c r="G739" s="16"/>
      <c r="H739" s="16"/>
      <c r="I739" s="125"/>
      <c r="J739" s="16"/>
      <c r="K739" s="13"/>
      <c r="L739" s="13"/>
      <c r="M739" s="13"/>
      <c r="N739" s="16"/>
      <c r="O739" s="16"/>
      <c r="P739" s="16"/>
      <c r="Q739" s="16"/>
      <c r="R739" s="96"/>
      <c r="S739" s="96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6"/>
      <c r="B740" s="13"/>
      <c r="C740" s="16"/>
      <c r="D740" s="16"/>
      <c r="E740" s="16"/>
      <c r="F740" s="16"/>
      <c r="G740" s="16"/>
      <c r="H740" s="16"/>
      <c r="I740" s="125"/>
      <c r="J740" s="16"/>
      <c r="K740" s="13"/>
      <c r="L740" s="13"/>
      <c r="M740" s="13"/>
      <c r="N740" s="16"/>
      <c r="O740" s="16"/>
      <c r="P740" s="16"/>
      <c r="Q740" s="16"/>
      <c r="R740" s="96"/>
      <c r="S740" s="96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6"/>
      <c r="B741" s="13"/>
      <c r="C741" s="16"/>
      <c r="D741" s="16"/>
      <c r="E741" s="16"/>
      <c r="F741" s="16"/>
      <c r="G741" s="16"/>
      <c r="H741" s="16"/>
      <c r="I741" s="125"/>
      <c r="J741" s="16"/>
      <c r="K741" s="13"/>
      <c r="L741" s="13"/>
      <c r="M741" s="13"/>
      <c r="N741" s="16"/>
      <c r="O741" s="16"/>
      <c r="P741" s="16"/>
      <c r="Q741" s="16"/>
      <c r="R741" s="96"/>
      <c r="S741" s="96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6"/>
      <c r="B742" s="13"/>
      <c r="C742" s="16"/>
      <c r="D742" s="16"/>
      <c r="E742" s="16"/>
      <c r="F742" s="16"/>
      <c r="G742" s="16"/>
      <c r="H742" s="16"/>
      <c r="I742" s="125"/>
      <c r="J742" s="16"/>
      <c r="K742" s="13"/>
      <c r="L742" s="13"/>
      <c r="M742" s="13"/>
      <c r="N742" s="16"/>
      <c r="O742" s="16"/>
      <c r="P742" s="16"/>
      <c r="Q742" s="16"/>
      <c r="R742" s="96"/>
      <c r="S742" s="96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6"/>
      <c r="B743" s="13"/>
      <c r="C743" s="16"/>
      <c r="D743" s="16"/>
      <c r="E743" s="16"/>
      <c r="F743" s="16"/>
      <c r="G743" s="16"/>
      <c r="H743" s="16"/>
      <c r="I743" s="125"/>
      <c r="J743" s="16"/>
      <c r="K743" s="13"/>
      <c r="L743" s="13"/>
      <c r="M743" s="13"/>
      <c r="N743" s="16"/>
      <c r="O743" s="16"/>
      <c r="P743" s="16"/>
      <c r="Q743" s="16"/>
      <c r="R743" s="96"/>
      <c r="S743" s="96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6"/>
      <c r="B744" s="13"/>
      <c r="C744" s="16"/>
      <c r="D744" s="16"/>
      <c r="E744" s="16"/>
      <c r="F744" s="16"/>
      <c r="G744" s="16"/>
      <c r="H744" s="16"/>
      <c r="I744" s="125"/>
      <c r="J744" s="16"/>
      <c r="K744" s="13"/>
      <c r="L744" s="13"/>
      <c r="M744" s="13"/>
      <c r="N744" s="16"/>
      <c r="O744" s="16"/>
      <c r="P744" s="16"/>
      <c r="Q744" s="16"/>
      <c r="R744" s="96"/>
      <c r="S744" s="96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6"/>
      <c r="B745" s="13"/>
      <c r="C745" s="16"/>
      <c r="D745" s="16"/>
      <c r="E745" s="16"/>
      <c r="F745" s="16"/>
      <c r="G745" s="16"/>
      <c r="H745" s="16"/>
      <c r="I745" s="125"/>
      <c r="J745" s="16"/>
      <c r="K745" s="13"/>
      <c r="L745" s="13"/>
      <c r="M745" s="13"/>
      <c r="N745" s="16"/>
      <c r="O745" s="16"/>
      <c r="P745" s="16"/>
      <c r="Q745" s="16"/>
      <c r="R745" s="96"/>
      <c r="S745" s="96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6"/>
      <c r="B746" s="13"/>
      <c r="C746" s="16"/>
      <c r="D746" s="16"/>
      <c r="E746" s="16"/>
      <c r="F746" s="16"/>
      <c r="G746" s="16"/>
      <c r="H746" s="16"/>
      <c r="I746" s="125"/>
      <c r="J746" s="16"/>
      <c r="K746" s="13"/>
      <c r="L746" s="13"/>
      <c r="M746" s="13"/>
      <c r="N746" s="16"/>
      <c r="O746" s="16"/>
      <c r="P746" s="16"/>
      <c r="Q746" s="16"/>
      <c r="R746" s="96"/>
      <c r="S746" s="96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6"/>
      <c r="B747" s="13"/>
      <c r="C747" s="16"/>
      <c r="D747" s="16"/>
      <c r="E747" s="16"/>
      <c r="F747" s="16"/>
      <c r="G747" s="16"/>
      <c r="H747" s="16"/>
      <c r="I747" s="125"/>
      <c r="J747" s="16"/>
      <c r="K747" s="13"/>
      <c r="L747" s="13"/>
      <c r="M747" s="13"/>
      <c r="N747" s="16"/>
      <c r="O747" s="16"/>
      <c r="P747" s="16"/>
      <c r="Q747" s="16"/>
      <c r="R747" s="96"/>
      <c r="S747" s="96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6"/>
      <c r="B748" s="13"/>
      <c r="C748" s="16"/>
      <c r="D748" s="16"/>
      <c r="E748" s="16"/>
      <c r="F748" s="16"/>
      <c r="G748" s="16"/>
      <c r="H748" s="16"/>
      <c r="I748" s="125"/>
      <c r="J748" s="16"/>
      <c r="K748" s="13"/>
      <c r="L748" s="13"/>
      <c r="M748" s="13"/>
      <c r="N748" s="16"/>
      <c r="O748" s="16"/>
      <c r="P748" s="16"/>
      <c r="Q748" s="16"/>
      <c r="R748" s="96"/>
      <c r="S748" s="96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6"/>
      <c r="B749" s="13"/>
      <c r="C749" s="16"/>
      <c r="D749" s="16"/>
      <c r="E749" s="16"/>
      <c r="F749" s="16"/>
      <c r="G749" s="16"/>
      <c r="H749" s="16"/>
      <c r="I749" s="125"/>
      <c r="J749" s="16"/>
      <c r="K749" s="13"/>
      <c r="L749" s="13"/>
      <c r="M749" s="13"/>
      <c r="N749" s="16"/>
      <c r="O749" s="16"/>
      <c r="P749" s="16"/>
      <c r="Q749" s="16"/>
      <c r="R749" s="96"/>
      <c r="S749" s="96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6"/>
      <c r="B750" s="13"/>
      <c r="C750" s="16"/>
      <c r="D750" s="16"/>
      <c r="E750" s="16"/>
      <c r="F750" s="16"/>
      <c r="G750" s="16"/>
      <c r="H750" s="16"/>
      <c r="I750" s="125"/>
      <c r="J750" s="16"/>
      <c r="K750" s="13"/>
      <c r="L750" s="13"/>
      <c r="M750" s="13"/>
      <c r="N750" s="16"/>
      <c r="O750" s="16"/>
      <c r="P750" s="16"/>
      <c r="Q750" s="16"/>
      <c r="R750" s="96"/>
      <c r="S750" s="96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6"/>
      <c r="B751" s="13"/>
      <c r="C751" s="16"/>
      <c r="D751" s="16"/>
      <c r="E751" s="16"/>
      <c r="F751" s="16"/>
      <c r="G751" s="16"/>
      <c r="H751" s="16"/>
      <c r="I751" s="125"/>
      <c r="J751" s="16"/>
      <c r="K751" s="13"/>
      <c r="L751" s="13"/>
      <c r="M751" s="13"/>
      <c r="N751" s="16"/>
      <c r="O751" s="16"/>
      <c r="P751" s="16"/>
      <c r="Q751" s="16"/>
      <c r="R751" s="96"/>
      <c r="S751" s="96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6"/>
      <c r="B752" s="13"/>
      <c r="C752" s="16"/>
      <c r="D752" s="16"/>
      <c r="E752" s="16"/>
      <c r="F752" s="16"/>
      <c r="G752" s="16"/>
      <c r="H752" s="16"/>
      <c r="I752" s="125"/>
      <c r="J752" s="16"/>
      <c r="K752" s="13"/>
      <c r="L752" s="13"/>
      <c r="M752" s="13"/>
      <c r="N752" s="16"/>
      <c r="O752" s="16"/>
      <c r="P752" s="16"/>
      <c r="Q752" s="16"/>
      <c r="R752" s="96"/>
      <c r="S752" s="96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6"/>
      <c r="B753" s="13"/>
      <c r="C753" s="16"/>
      <c r="D753" s="16"/>
      <c r="E753" s="16"/>
      <c r="F753" s="16"/>
      <c r="G753" s="16"/>
      <c r="H753" s="16"/>
      <c r="I753" s="125"/>
      <c r="J753" s="16"/>
      <c r="K753" s="13"/>
      <c r="L753" s="13"/>
      <c r="M753" s="13"/>
      <c r="N753" s="16"/>
      <c r="O753" s="16"/>
      <c r="P753" s="16"/>
      <c r="Q753" s="16"/>
      <c r="R753" s="96"/>
      <c r="S753" s="96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6"/>
      <c r="B754" s="13"/>
      <c r="C754" s="16"/>
      <c r="D754" s="16"/>
      <c r="E754" s="16"/>
      <c r="F754" s="16"/>
      <c r="G754" s="16"/>
      <c r="H754" s="16"/>
      <c r="I754" s="125"/>
      <c r="J754" s="16"/>
      <c r="K754" s="13"/>
      <c r="L754" s="13"/>
      <c r="M754" s="13"/>
      <c r="N754" s="16"/>
      <c r="O754" s="16"/>
      <c r="P754" s="16"/>
      <c r="Q754" s="16"/>
      <c r="R754" s="96"/>
      <c r="S754" s="96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6"/>
      <c r="B755" s="13"/>
      <c r="C755" s="16"/>
      <c r="D755" s="16"/>
      <c r="E755" s="16"/>
      <c r="F755" s="16"/>
      <c r="G755" s="16"/>
      <c r="H755" s="16"/>
      <c r="I755" s="125"/>
      <c r="J755" s="16"/>
      <c r="K755" s="13"/>
      <c r="L755" s="13"/>
      <c r="M755" s="13"/>
      <c r="N755" s="16"/>
      <c r="O755" s="16"/>
      <c r="P755" s="16"/>
      <c r="Q755" s="16"/>
      <c r="R755" s="96"/>
      <c r="S755" s="96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6"/>
      <c r="B756" s="13"/>
      <c r="C756" s="16"/>
      <c r="D756" s="16"/>
      <c r="E756" s="16"/>
      <c r="F756" s="16"/>
      <c r="G756" s="16"/>
      <c r="H756" s="16"/>
      <c r="I756" s="125"/>
      <c r="J756" s="16"/>
      <c r="K756" s="13"/>
      <c r="L756" s="13"/>
      <c r="M756" s="13"/>
      <c r="N756" s="16"/>
      <c r="O756" s="16"/>
      <c r="P756" s="16"/>
      <c r="Q756" s="16"/>
      <c r="R756" s="96"/>
      <c r="S756" s="96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6"/>
      <c r="B757" s="13"/>
      <c r="C757" s="16"/>
      <c r="D757" s="16"/>
      <c r="E757" s="16"/>
      <c r="F757" s="16"/>
      <c r="G757" s="16"/>
      <c r="H757" s="16"/>
      <c r="I757" s="125"/>
      <c r="J757" s="16"/>
      <c r="K757" s="13"/>
      <c r="L757" s="13"/>
      <c r="M757" s="13"/>
      <c r="N757" s="16"/>
      <c r="O757" s="16"/>
      <c r="P757" s="16"/>
      <c r="Q757" s="16"/>
      <c r="R757" s="96"/>
      <c r="S757" s="96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6"/>
      <c r="B758" s="13"/>
      <c r="C758" s="16"/>
      <c r="D758" s="16"/>
      <c r="E758" s="16"/>
      <c r="F758" s="16"/>
      <c r="G758" s="16"/>
      <c r="H758" s="16"/>
      <c r="I758" s="125"/>
      <c r="J758" s="16"/>
      <c r="K758" s="13"/>
      <c r="L758" s="13"/>
      <c r="M758" s="13"/>
      <c r="N758" s="16"/>
      <c r="O758" s="16"/>
      <c r="P758" s="16"/>
      <c r="Q758" s="16"/>
      <c r="R758" s="96"/>
      <c r="S758" s="96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6"/>
      <c r="B759" s="13"/>
      <c r="C759" s="16"/>
      <c r="D759" s="16"/>
      <c r="E759" s="16"/>
      <c r="F759" s="16"/>
      <c r="G759" s="16"/>
      <c r="H759" s="16"/>
      <c r="I759" s="125"/>
      <c r="J759" s="16"/>
      <c r="K759" s="13"/>
      <c r="L759" s="13"/>
      <c r="M759" s="13"/>
      <c r="N759" s="16"/>
      <c r="O759" s="16"/>
      <c r="P759" s="16"/>
      <c r="Q759" s="16"/>
      <c r="R759" s="96"/>
      <c r="S759" s="96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6"/>
      <c r="B760" s="13"/>
      <c r="C760" s="16"/>
      <c r="D760" s="16"/>
      <c r="E760" s="16"/>
      <c r="F760" s="16"/>
      <c r="G760" s="16"/>
      <c r="H760" s="16"/>
      <c r="I760" s="125"/>
      <c r="J760" s="16"/>
      <c r="K760" s="13"/>
      <c r="L760" s="13"/>
      <c r="M760" s="13"/>
      <c r="N760" s="16"/>
      <c r="O760" s="16"/>
      <c r="P760" s="16"/>
      <c r="Q760" s="16"/>
      <c r="R760" s="96"/>
      <c r="S760" s="96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6"/>
      <c r="B761" s="13"/>
      <c r="C761" s="16"/>
      <c r="D761" s="16"/>
      <c r="E761" s="16"/>
      <c r="F761" s="16"/>
      <c r="G761" s="16"/>
      <c r="H761" s="16"/>
      <c r="I761" s="125"/>
      <c r="J761" s="16"/>
      <c r="K761" s="13"/>
      <c r="L761" s="13"/>
      <c r="M761" s="13"/>
      <c r="N761" s="16"/>
      <c r="O761" s="16"/>
      <c r="P761" s="16"/>
      <c r="Q761" s="16"/>
      <c r="R761" s="96"/>
      <c r="S761" s="96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6"/>
      <c r="B762" s="13"/>
      <c r="C762" s="16"/>
      <c r="D762" s="16"/>
      <c r="E762" s="16"/>
      <c r="F762" s="16"/>
      <c r="G762" s="16"/>
      <c r="H762" s="16"/>
      <c r="I762" s="125"/>
      <c r="J762" s="16"/>
      <c r="K762" s="13"/>
      <c r="L762" s="13"/>
      <c r="M762" s="13"/>
      <c r="N762" s="16"/>
      <c r="O762" s="16"/>
      <c r="P762" s="16"/>
      <c r="Q762" s="16"/>
      <c r="R762" s="96"/>
      <c r="S762" s="96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6"/>
      <c r="B763" s="13"/>
      <c r="C763" s="16"/>
      <c r="D763" s="16"/>
      <c r="E763" s="16"/>
      <c r="F763" s="16"/>
      <c r="G763" s="16"/>
      <c r="H763" s="16"/>
      <c r="I763" s="125"/>
      <c r="J763" s="16"/>
      <c r="K763" s="13"/>
      <c r="L763" s="13"/>
      <c r="M763" s="13"/>
      <c r="N763" s="16"/>
      <c r="O763" s="16"/>
      <c r="P763" s="16"/>
      <c r="Q763" s="16"/>
      <c r="R763" s="96"/>
      <c r="S763" s="96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6"/>
      <c r="B764" s="13"/>
      <c r="C764" s="16"/>
      <c r="D764" s="16"/>
      <c r="E764" s="16"/>
      <c r="F764" s="16"/>
      <c r="G764" s="16"/>
      <c r="H764" s="16"/>
      <c r="I764" s="125"/>
      <c r="J764" s="16"/>
      <c r="K764" s="13"/>
      <c r="L764" s="13"/>
      <c r="M764" s="13"/>
      <c r="N764" s="16"/>
      <c r="O764" s="16"/>
      <c r="P764" s="16"/>
      <c r="Q764" s="16"/>
      <c r="R764" s="96"/>
      <c r="S764" s="96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6"/>
      <c r="B765" s="13"/>
      <c r="C765" s="16"/>
      <c r="D765" s="16"/>
      <c r="E765" s="16"/>
      <c r="F765" s="16"/>
      <c r="G765" s="16"/>
      <c r="H765" s="16"/>
      <c r="I765" s="125"/>
      <c r="J765" s="16"/>
      <c r="K765" s="13"/>
      <c r="L765" s="13"/>
      <c r="M765" s="13"/>
      <c r="N765" s="16"/>
      <c r="O765" s="16"/>
      <c r="P765" s="16"/>
      <c r="Q765" s="16"/>
      <c r="R765" s="96"/>
      <c r="S765" s="96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6"/>
      <c r="B766" s="13"/>
      <c r="C766" s="16"/>
      <c r="D766" s="16"/>
      <c r="E766" s="16"/>
      <c r="F766" s="16"/>
      <c r="G766" s="16"/>
      <c r="H766" s="16"/>
      <c r="I766" s="125"/>
      <c r="J766" s="16"/>
      <c r="K766" s="13"/>
      <c r="L766" s="13"/>
      <c r="M766" s="13"/>
      <c r="N766" s="16"/>
      <c r="O766" s="16"/>
      <c r="P766" s="16"/>
      <c r="Q766" s="16"/>
      <c r="R766" s="96"/>
      <c r="S766" s="96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6"/>
      <c r="B767" s="13"/>
      <c r="C767" s="16"/>
      <c r="D767" s="16"/>
      <c r="E767" s="16"/>
      <c r="F767" s="16"/>
      <c r="G767" s="16"/>
      <c r="H767" s="16"/>
      <c r="I767" s="125"/>
      <c r="J767" s="16"/>
      <c r="K767" s="13"/>
      <c r="L767" s="13"/>
      <c r="M767" s="13"/>
      <c r="N767" s="16"/>
      <c r="O767" s="16"/>
      <c r="P767" s="16"/>
      <c r="Q767" s="16"/>
      <c r="R767" s="96"/>
      <c r="S767" s="96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6"/>
      <c r="B768" s="13"/>
      <c r="C768" s="16"/>
      <c r="D768" s="16"/>
      <c r="E768" s="16"/>
      <c r="F768" s="16"/>
      <c r="G768" s="16"/>
      <c r="H768" s="16"/>
      <c r="I768" s="125"/>
      <c r="J768" s="16"/>
      <c r="K768" s="13"/>
      <c r="L768" s="13"/>
      <c r="M768" s="13"/>
      <c r="N768" s="16"/>
      <c r="O768" s="16"/>
      <c r="P768" s="16"/>
      <c r="Q768" s="16"/>
      <c r="R768" s="96"/>
      <c r="S768" s="96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6"/>
      <c r="B769" s="13"/>
      <c r="C769" s="16"/>
      <c r="D769" s="16"/>
      <c r="E769" s="16"/>
      <c r="F769" s="16"/>
      <c r="G769" s="16"/>
      <c r="H769" s="16"/>
      <c r="I769" s="125"/>
      <c r="J769" s="16"/>
      <c r="K769" s="13"/>
      <c r="L769" s="13"/>
      <c r="M769" s="13"/>
      <c r="N769" s="16"/>
      <c r="O769" s="16"/>
      <c r="P769" s="16"/>
      <c r="Q769" s="16"/>
      <c r="R769" s="96"/>
      <c r="S769" s="96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6"/>
      <c r="B770" s="13"/>
      <c r="C770" s="16"/>
      <c r="D770" s="16"/>
      <c r="E770" s="16"/>
      <c r="F770" s="16"/>
      <c r="G770" s="16"/>
      <c r="H770" s="16"/>
      <c r="I770" s="125"/>
      <c r="J770" s="16"/>
      <c r="K770" s="13"/>
      <c r="L770" s="13"/>
      <c r="M770" s="13"/>
      <c r="N770" s="16"/>
      <c r="O770" s="16"/>
      <c r="P770" s="16"/>
      <c r="Q770" s="16"/>
      <c r="R770" s="96"/>
      <c r="S770" s="96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6"/>
      <c r="B771" s="13"/>
      <c r="C771" s="16"/>
      <c r="D771" s="16"/>
      <c r="E771" s="16"/>
      <c r="F771" s="16"/>
      <c r="G771" s="16"/>
      <c r="H771" s="16"/>
      <c r="I771" s="125"/>
      <c r="J771" s="16"/>
      <c r="K771" s="13"/>
      <c r="L771" s="13"/>
      <c r="M771" s="13"/>
      <c r="N771" s="16"/>
      <c r="O771" s="16"/>
      <c r="P771" s="16"/>
      <c r="Q771" s="16"/>
      <c r="R771" s="96"/>
      <c r="S771" s="96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6"/>
      <c r="B772" s="13"/>
      <c r="C772" s="16"/>
      <c r="D772" s="16"/>
      <c r="E772" s="16"/>
      <c r="F772" s="16"/>
      <c r="G772" s="16"/>
      <c r="H772" s="16"/>
      <c r="I772" s="125"/>
      <c r="J772" s="16"/>
      <c r="K772" s="13"/>
      <c r="L772" s="13"/>
      <c r="M772" s="13"/>
      <c r="N772" s="16"/>
      <c r="O772" s="16"/>
      <c r="P772" s="16"/>
      <c r="Q772" s="16"/>
      <c r="R772" s="96"/>
      <c r="S772" s="96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6"/>
      <c r="B773" s="13"/>
      <c r="C773" s="16"/>
      <c r="D773" s="16"/>
      <c r="E773" s="16"/>
      <c r="F773" s="16"/>
      <c r="G773" s="16"/>
      <c r="H773" s="16"/>
      <c r="I773" s="125"/>
      <c r="J773" s="16"/>
      <c r="K773" s="13"/>
      <c r="L773" s="13"/>
      <c r="M773" s="13"/>
      <c r="N773" s="16"/>
      <c r="O773" s="16"/>
      <c r="P773" s="16"/>
      <c r="Q773" s="16"/>
      <c r="R773" s="96"/>
      <c r="S773" s="96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6"/>
      <c r="B774" s="13"/>
      <c r="C774" s="16"/>
      <c r="D774" s="16"/>
      <c r="E774" s="16"/>
      <c r="F774" s="16"/>
      <c r="G774" s="16"/>
      <c r="H774" s="16"/>
      <c r="I774" s="125"/>
      <c r="J774" s="16"/>
      <c r="K774" s="13"/>
      <c r="L774" s="13"/>
      <c r="M774" s="13"/>
      <c r="N774" s="16"/>
      <c r="O774" s="16"/>
      <c r="P774" s="16"/>
      <c r="Q774" s="16"/>
      <c r="R774" s="96"/>
      <c r="S774" s="96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6"/>
      <c r="B775" s="13"/>
      <c r="C775" s="16"/>
      <c r="D775" s="16"/>
      <c r="E775" s="16"/>
      <c r="F775" s="16"/>
      <c r="G775" s="16"/>
      <c r="H775" s="16"/>
      <c r="I775" s="125"/>
      <c r="J775" s="16"/>
      <c r="K775" s="13"/>
      <c r="L775" s="13"/>
      <c r="M775" s="13"/>
      <c r="N775" s="16"/>
      <c r="O775" s="16"/>
      <c r="P775" s="16"/>
      <c r="Q775" s="16"/>
      <c r="R775" s="96"/>
      <c r="S775" s="96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6"/>
      <c r="B776" s="13"/>
      <c r="C776" s="16"/>
      <c r="D776" s="16"/>
      <c r="E776" s="16"/>
      <c r="F776" s="16"/>
      <c r="G776" s="16"/>
      <c r="H776" s="16"/>
      <c r="I776" s="125"/>
      <c r="J776" s="16"/>
      <c r="K776" s="13"/>
      <c r="L776" s="13"/>
      <c r="M776" s="13"/>
      <c r="N776" s="16"/>
      <c r="O776" s="16"/>
      <c r="P776" s="16"/>
      <c r="Q776" s="16"/>
      <c r="R776" s="96"/>
      <c r="S776" s="96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6"/>
      <c r="B777" s="13"/>
      <c r="C777" s="16"/>
      <c r="D777" s="16"/>
      <c r="E777" s="16"/>
      <c r="F777" s="16"/>
      <c r="G777" s="16"/>
      <c r="H777" s="16"/>
      <c r="I777" s="125"/>
      <c r="J777" s="16"/>
      <c r="K777" s="13"/>
      <c r="L777" s="13"/>
      <c r="M777" s="13"/>
      <c r="N777" s="16"/>
      <c r="O777" s="16"/>
      <c r="P777" s="16"/>
      <c r="Q777" s="16"/>
      <c r="R777" s="96"/>
      <c r="S777" s="96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6"/>
      <c r="B778" s="13"/>
      <c r="C778" s="16"/>
      <c r="D778" s="16"/>
      <c r="E778" s="16"/>
      <c r="F778" s="16"/>
      <c r="G778" s="16"/>
      <c r="H778" s="16"/>
      <c r="I778" s="125"/>
      <c r="J778" s="16"/>
      <c r="K778" s="13"/>
      <c r="L778" s="13"/>
      <c r="M778" s="13"/>
      <c r="N778" s="16"/>
      <c r="O778" s="16"/>
      <c r="P778" s="16"/>
      <c r="Q778" s="16"/>
      <c r="R778" s="96"/>
      <c r="S778" s="96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6"/>
      <c r="B779" s="13"/>
      <c r="C779" s="16"/>
      <c r="D779" s="16"/>
      <c r="E779" s="16"/>
      <c r="F779" s="16"/>
      <c r="G779" s="16"/>
      <c r="H779" s="16"/>
      <c r="I779" s="125"/>
      <c r="J779" s="16"/>
      <c r="K779" s="13"/>
      <c r="L779" s="13"/>
      <c r="M779" s="13"/>
      <c r="N779" s="16"/>
      <c r="O779" s="16"/>
      <c r="P779" s="16"/>
      <c r="Q779" s="16"/>
      <c r="R779" s="96"/>
      <c r="S779" s="96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6"/>
      <c r="B780" s="13"/>
      <c r="C780" s="16"/>
      <c r="D780" s="16"/>
      <c r="E780" s="16"/>
      <c r="F780" s="16"/>
      <c r="G780" s="16"/>
      <c r="H780" s="16"/>
      <c r="I780" s="125"/>
      <c r="J780" s="16"/>
      <c r="K780" s="13"/>
      <c r="L780" s="13"/>
      <c r="M780" s="13"/>
      <c r="N780" s="16"/>
      <c r="O780" s="16"/>
      <c r="P780" s="16"/>
      <c r="Q780" s="16"/>
      <c r="R780" s="96"/>
      <c r="S780" s="96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6"/>
      <c r="B781" s="13"/>
      <c r="C781" s="16"/>
      <c r="D781" s="16"/>
      <c r="E781" s="16"/>
      <c r="F781" s="16"/>
      <c r="G781" s="16"/>
      <c r="H781" s="16"/>
      <c r="I781" s="125"/>
      <c r="J781" s="16"/>
      <c r="K781" s="13"/>
      <c r="L781" s="13"/>
      <c r="M781" s="13"/>
      <c r="N781" s="16"/>
      <c r="O781" s="16"/>
      <c r="P781" s="16"/>
      <c r="Q781" s="16"/>
      <c r="R781" s="96"/>
      <c r="S781" s="96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6"/>
      <c r="B782" s="13"/>
      <c r="C782" s="16"/>
      <c r="D782" s="16"/>
      <c r="E782" s="16"/>
      <c r="F782" s="16"/>
      <c r="G782" s="16"/>
      <c r="H782" s="16"/>
      <c r="I782" s="125"/>
      <c r="J782" s="16"/>
      <c r="K782" s="13"/>
      <c r="L782" s="13"/>
      <c r="M782" s="13"/>
      <c r="N782" s="16"/>
      <c r="O782" s="16"/>
      <c r="P782" s="16"/>
      <c r="Q782" s="16"/>
      <c r="R782" s="96"/>
      <c r="S782" s="96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6"/>
      <c r="B783" s="13"/>
      <c r="C783" s="16"/>
      <c r="D783" s="16"/>
      <c r="E783" s="16"/>
      <c r="F783" s="16"/>
      <c r="G783" s="16"/>
      <c r="H783" s="16"/>
      <c r="I783" s="125"/>
      <c r="J783" s="16"/>
      <c r="K783" s="13"/>
      <c r="L783" s="13"/>
      <c r="M783" s="13"/>
      <c r="N783" s="16"/>
      <c r="O783" s="16"/>
      <c r="P783" s="16"/>
      <c r="Q783" s="16"/>
      <c r="R783" s="96"/>
      <c r="S783" s="96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6"/>
      <c r="B784" s="13"/>
      <c r="C784" s="16"/>
      <c r="D784" s="16"/>
      <c r="E784" s="16"/>
      <c r="F784" s="16"/>
      <c r="G784" s="16"/>
      <c r="H784" s="16"/>
      <c r="I784" s="125"/>
      <c r="J784" s="16"/>
      <c r="K784" s="13"/>
      <c r="L784" s="13"/>
      <c r="M784" s="13"/>
      <c r="N784" s="16"/>
      <c r="O784" s="16"/>
      <c r="P784" s="16"/>
      <c r="Q784" s="16"/>
      <c r="R784" s="96"/>
      <c r="S784" s="96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6"/>
      <c r="B785" s="13"/>
      <c r="C785" s="16"/>
      <c r="D785" s="16"/>
      <c r="E785" s="16"/>
      <c r="F785" s="16"/>
      <c r="G785" s="16"/>
      <c r="H785" s="16"/>
      <c r="I785" s="125"/>
      <c r="J785" s="16"/>
      <c r="K785" s="13"/>
      <c r="L785" s="13"/>
      <c r="M785" s="13"/>
      <c r="N785" s="16"/>
      <c r="O785" s="16"/>
      <c r="P785" s="16"/>
      <c r="Q785" s="16"/>
      <c r="R785" s="96"/>
      <c r="S785" s="96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6"/>
      <c r="B786" s="13"/>
      <c r="C786" s="16"/>
      <c r="D786" s="16"/>
      <c r="E786" s="16"/>
      <c r="F786" s="16"/>
      <c r="G786" s="16"/>
      <c r="H786" s="16"/>
      <c r="I786" s="125"/>
      <c r="J786" s="16"/>
      <c r="K786" s="13"/>
      <c r="L786" s="13"/>
      <c r="M786" s="13"/>
      <c r="N786" s="16"/>
      <c r="O786" s="16"/>
      <c r="P786" s="16"/>
      <c r="Q786" s="16"/>
      <c r="R786" s="96"/>
      <c r="S786" s="96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6"/>
      <c r="B787" s="13"/>
      <c r="C787" s="16"/>
      <c r="D787" s="16"/>
      <c r="E787" s="16"/>
      <c r="F787" s="16"/>
      <c r="G787" s="16"/>
      <c r="H787" s="16"/>
      <c r="I787" s="125"/>
      <c r="J787" s="16"/>
      <c r="K787" s="13"/>
      <c r="L787" s="13"/>
      <c r="M787" s="13"/>
      <c r="N787" s="16"/>
      <c r="O787" s="16"/>
      <c r="P787" s="16"/>
      <c r="Q787" s="16"/>
      <c r="R787" s="96"/>
      <c r="S787" s="96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6"/>
      <c r="B788" s="13"/>
      <c r="C788" s="16"/>
      <c r="D788" s="16"/>
      <c r="E788" s="16"/>
      <c r="F788" s="16"/>
      <c r="G788" s="16"/>
      <c r="H788" s="16"/>
      <c r="I788" s="125"/>
      <c r="J788" s="16"/>
      <c r="K788" s="13"/>
      <c r="L788" s="13"/>
      <c r="M788" s="13"/>
      <c r="N788" s="16"/>
      <c r="O788" s="16"/>
      <c r="P788" s="16"/>
      <c r="Q788" s="16"/>
      <c r="R788" s="96"/>
      <c r="S788" s="96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6"/>
      <c r="B789" s="13"/>
      <c r="C789" s="16"/>
      <c r="D789" s="16"/>
      <c r="E789" s="16"/>
      <c r="F789" s="16"/>
      <c r="G789" s="16"/>
      <c r="H789" s="16"/>
      <c r="I789" s="125"/>
      <c r="J789" s="16"/>
      <c r="K789" s="13"/>
      <c r="L789" s="13"/>
      <c r="M789" s="13"/>
      <c r="N789" s="16"/>
      <c r="O789" s="16"/>
      <c r="P789" s="16"/>
      <c r="Q789" s="16"/>
      <c r="R789" s="96"/>
      <c r="S789" s="96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6"/>
      <c r="B790" s="13"/>
      <c r="C790" s="16"/>
      <c r="D790" s="16"/>
      <c r="E790" s="16"/>
      <c r="F790" s="16"/>
      <c r="G790" s="16"/>
      <c r="H790" s="16"/>
      <c r="I790" s="125"/>
      <c r="J790" s="16"/>
      <c r="K790" s="13"/>
      <c r="L790" s="13"/>
      <c r="M790" s="13"/>
      <c r="N790" s="16"/>
      <c r="O790" s="16"/>
      <c r="P790" s="16"/>
      <c r="Q790" s="16"/>
      <c r="R790" s="96"/>
      <c r="S790" s="96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6"/>
      <c r="B791" s="13"/>
      <c r="C791" s="16"/>
      <c r="D791" s="16"/>
      <c r="E791" s="16"/>
      <c r="F791" s="16"/>
      <c r="G791" s="16"/>
      <c r="H791" s="16"/>
      <c r="I791" s="125"/>
      <c r="J791" s="16"/>
      <c r="K791" s="13"/>
      <c r="L791" s="13"/>
      <c r="M791" s="13"/>
      <c r="N791" s="16"/>
      <c r="O791" s="16"/>
      <c r="P791" s="16"/>
      <c r="Q791" s="16"/>
      <c r="R791" s="96"/>
      <c r="S791" s="96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6"/>
      <c r="B792" s="13"/>
      <c r="C792" s="16"/>
      <c r="D792" s="16"/>
      <c r="E792" s="16"/>
      <c r="F792" s="16"/>
      <c r="G792" s="16"/>
      <c r="H792" s="16"/>
      <c r="I792" s="125"/>
      <c r="J792" s="16"/>
      <c r="K792" s="13"/>
      <c r="L792" s="13"/>
      <c r="M792" s="13"/>
      <c r="N792" s="16"/>
      <c r="O792" s="16"/>
      <c r="P792" s="16"/>
      <c r="Q792" s="16"/>
      <c r="R792" s="96"/>
      <c r="S792" s="96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6"/>
      <c r="B793" s="13"/>
      <c r="C793" s="16"/>
      <c r="D793" s="16"/>
      <c r="E793" s="16"/>
      <c r="F793" s="16"/>
      <c r="G793" s="16"/>
      <c r="H793" s="16"/>
      <c r="I793" s="125"/>
      <c r="J793" s="16"/>
      <c r="K793" s="13"/>
      <c r="L793" s="13"/>
      <c r="M793" s="13"/>
      <c r="N793" s="16"/>
      <c r="O793" s="16"/>
      <c r="P793" s="16"/>
      <c r="Q793" s="16"/>
      <c r="R793" s="96"/>
      <c r="S793" s="96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6"/>
      <c r="B794" s="13"/>
      <c r="C794" s="16"/>
      <c r="D794" s="16"/>
      <c r="E794" s="16"/>
      <c r="F794" s="16"/>
      <c r="G794" s="16"/>
      <c r="H794" s="16"/>
      <c r="I794" s="125"/>
      <c r="J794" s="16"/>
      <c r="K794" s="13"/>
      <c r="L794" s="13"/>
      <c r="M794" s="13"/>
      <c r="N794" s="16"/>
      <c r="O794" s="16"/>
      <c r="P794" s="16"/>
      <c r="Q794" s="16"/>
      <c r="R794" s="96"/>
      <c r="S794" s="96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6"/>
      <c r="B795" s="13"/>
      <c r="C795" s="16"/>
      <c r="D795" s="16"/>
      <c r="E795" s="16"/>
      <c r="F795" s="16"/>
      <c r="G795" s="16"/>
      <c r="H795" s="16"/>
      <c r="I795" s="125"/>
      <c r="J795" s="16"/>
      <c r="K795" s="13"/>
      <c r="L795" s="13"/>
      <c r="M795" s="13"/>
      <c r="N795" s="16"/>
      <c r="O795" s="16"/>
      <c r="P795" s="16"/>
      <c r="Q795" s="16"/>
      <c r="R795" s="96"/>
      <c r="S795" s="96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6"/>
      <c r="B796" s="13"/>
      <c r="C796" s="16"/>
      <c r="D796" s="16"/>
      <c r="E796" s="16"/>
      <c r="F796" s="16"/>
      <c r="G796" s="16"/>
      <c r="H796" s="16"/>
      <c r="I796" s="125"/>
      <c r="J796" s="16"/>
      <c r="K796" s="13"/>
      <c r="L796" s="13"/>
      <c r="M796" s="13"/>
      <c r="N796" s="16"/>
      <c r="O796" s="16"/>
      <c r="P796" s="16"/>
      <c r="Q796" s="16"/>
      <c r="R796" s="96"/>
      <c r="S796" s="96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6"/>
      <c r="B797" s="13"/>
      <c r="C797" s="16"/>
      <c r="D797" s="16"/>
      <c r="E797" s="16"/>
      <c r="F797" s="16"/>
      <c r="G797" s="16"/>
      <c r="H797" s="16"/>
      <c r="I797" s="125"/>
      <c r="J797" s="16"/>
      <c r="K797" s="13"/>
      <c r="L797" s="13"/>
      <c r="M797" s="13"/>
      <c r="N797" s="16"/>
      <c r="O797" s="16"/>
      <c r="P797" s="16"/>
      <c r="Q797" s="16"/>
      <c r="R797" s="96"/>
      <c r="S797" s="96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6"/>
      <c r="B798" s="13"/>
      <c r="C798" s="16"/>
      <c r="D798" s="16"/>
      <c r="E798" s="16"/>
      <c r="F798" s="16"/>
      <c r="G798" s="16"/>
      <c r="H798" s="16"/>
      <c r="I798" s="125"/>
      <c r="J798" s="16"/>
      <c r="K798" s="13"/>
      <c r="L798" s="13"/>
      <c r="M798" s="13"/>
      <c r="N798" s="16"/>
      <c r="O798" s="16"/>
      <c r="P798" s="16"/>
      <c r="Q798" s="16"/>
      <c r="R798" s="96"/>
      <c r="S798" s="96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6"/>
      <c r="B799" s="13"/>
      <c r="C799" s="16"/>
      <c r="D799" s="16"/>
      <c r="E799" s="16"/>
      <c r="F799" s="16"/>
      <c r="G799" s="16"/>
      <c r="H799" s="16"/>
      <c r="I799" s="125"/>
      <c r="J799" s="16"/>
      <c r="K799" s="13"/>
      <c r="L799" s="13"/>
      <c r="M799" s="13"/>
      <c r="N799" s="16"/>
      <c r="O799" s="16"/>
      <c r="P799" s="16"/>
      <c r="Q799" s="16"/>
      <c r="R799" s="96"/>
      <c r="S799" s="96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6"/>
      <c r="B800" s="13"/>
      <c r="C800" s="16"/>
      <c r="D800" s="16"/>
      <c r="E800" s="16"/>
      <c r="F800" s="16"/>
      <c r="G800" s="16"/>
      <c r="H800" s="16"/>
      <c r="I800" s="125"/>
      <c r="J800" s="16"/>
      <c r="K800" s="13"/>
      <c r="L800" s="13"/>
      <c r="M800" s="13"/>
      <c r="N800" s="16"/>
      <c r="O800" s="16"/>
      <c r="P800" s="16"/>
      <c r="Q800" s="16"/>
      <c r="R800" s="96"/>
      <c r="S800" s="96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6"/>
      <c r="B801" s="13"/>
      <c r="C801" s="16"/>
      <c r="D801" s="16"/>
      <c r="E801" s="16"/>
      <c r="F801" s="16"/>
      <c r="G801" s="16"/>
      <c r="H801" s="16"/>
      <c r="I801" s="125"/>
      <c r="J801" s="16"/>
      <c r="K801" s="13"/>
      <c r="L801" s="13"/>
      <c r="M801" s="13"/>
      <c r="N801" s="16"/>
      <c r="O801" s="16"/>
      <c r="P801" s="16"/>
      <c r="Q801" s="16"/>
      <c r="R801" s="96"/>
      <c r="S801" s="96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6"/>
      <c r="B802" s="13"/>
      <c r="C802" s="16"/>
      <c r="D802" s="16"/>
      <c r="E802" s="16"/>
      <c r="F802" s="16"/>
      <c r="G802" s="16"/>
      <c r="H802" s="16"/>
      <c r="I802" s="125"/>
      <c r="J802" s="16"/>
      <c r="K802" s="13"/>
      <c r="L802" s="13"/>
      <c r="M802" s="13"/>
      <c r="N802" s="16"/>
      <c r="O802" s="16"/>
      <c r="P802" s="16"/>
      <c r="Q802" s="16"/>
      <c r="R802" s="96"/>
      <c r="S802" s="96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6"/>
      <c r="B803" s="13"/>
      <c r="C803" s="16"/>
      <c r="D803" s="16"/>
      <c r="E803" s="16"/>
      <c r="F803" s="16"/>
      <c r="G803" s="16"/>
      <c r="H803" s="16"/>
      <c r="I803" s="125"/>
      <c r="J803" s="16"/>
      <c r="K803" s="13"/>
      <c r="L803" s="13"/>
      <c r="M803" s="13"/>
      <c r="N803" s="16"/>
      <c r="O803" s="16"/>
      <c r="P803" s="16"/>
      <c r="Q803" s="16"/>
      <c r="R803" s="96"/>
      <c r="S803" s="96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6"/>
      <c r="B804" s="13"/>
      <c r="C804" s="16"/>
      <c r="D804" s="16"/>
      <c r="E804" s="16"/>
      <c r="F804" s="16"/>
      <c r="G804" s="16"/>
      <c r="H804" s="16"/>
      <c r="I804" s="125"/>
      <c r="J804" s="16"/>
      <c r="K804" s="13"/>
      <c r="L804" s="13"/>
      <c r="M804" s="13"/>
      <c r="N804" s="16"/>
      <c r="O804" s="16"/>
      <c r="P804" s="16"/>
      <c r="Q804" s="16"/>
      <c r="R804" s="96"/>
      <c r="S804" s="96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6"/>
      <c r="B805" s="13"/>
      <c r="C805" s="16"/>
      <c r="D805" s="16"/>
      <c r="E805" s="16"/>
      <c r="F805" s="16"/>
      <c r="G805" s="16"/>
      <c r="H805" s="16"/>
      <c r="I805" s="125"/>
      <c r="J805" s="16"/>
      <c r="K805" s="13"/>
      <c r="L805" s="13"/>
      <c r="M805" s="13"/>
      <c r="N805" s="16"/>
      <c r="O805" s="16"/>
      <c r="P805" s="16"/>
      <c r="Q805" s="16"/>
      <c r="R805" s="96"/>
      <c r="S805" s="96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6"/>
      <c r="B806" s="13"/>
      <c r="C806" s="16"/>
      <c r="D806" s="16"/>
      <c r="E806" s="16"/>
      <c r="F806" s="16"/>
      <c r="G806" s="16"/>
      <c r="H806" s="16"/>
      <c r="I806" s="125"/>
      <c r="J806" s="16"/>
      <c r="K806" s="13"/>
      <c r="L806" s="13"/>
      <c r="M806" s="13"/>
      <c r="N806" s="16"/>
      <c r="O806" s="16"/>
      <c r="P806" s="16"/>
      <c r="Q806" s="16"/>
      <c r="R806" s="96"/>
      <c r="S806" s="96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6"/>
      <c r="B807" s="13"/>
      <c r="C807" s="16"/>
      <c r="D807" s="16"/>
      <c r="E807" s="16"/>
      <c r="F807" s="16"/>
      <c r="G807" s="16"/>
      <c r="H807" s="16"/>
      <c r="I807" s="125"/>
      <c r="J807" s="16"/>
      <c r="K807" s="13"/>
      <c r="L807" s="13"/>
      <c r="M807" s="13"/>
      <c r="N807" s="16"/>
      <c r="O807" s="16"/>
      <c r="P807" s="16"/>
      <c r="Q807" s="16"/>
      <c r="R807" s="96"/>
      <c r="S807" s="96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6"/>
      <c r="B808" s="13"/>
      <c r="C808" s="16"/>
      <c r="D808" s="16"/>
      <c r="E808" s="16"/>
      <c r="F808" s="16"/>
      <c r="G808" s="16"/>
      <c r="H808" s="16"/>
      <c r="I808" s="125"/>
      <c r="J808" s="16"/>
      <c r="K808" s="13"/>
      <c r="L808" s="13"/>
      <c r="M808" s="13"/>
      <c r="N808" s="16"/>
      <c r="O808" s="16"/>
      <c r="P808" s="16"/>
      <c r="Q808" s="16"/>
      <c r="R808" s="96"/>
      <c r="S808" s="96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6"/>
      <c r="B809" s="13"/>
      <c r="C809" s="16"/>
      <c r="D809" s="16"/>
      <c r="E809" s="16"/>
      <c r="F809" s="16"/>
      <c r="G809" s="16"/>
      <c r="H809" s="16"/>
      <c r="I809" s="125"/>
      <c r="J809" s="16"/>
      <c r="K809" s="13"/>
      <c r="L809" s="13"/>
      <c r="M809" s="13"/>
      <c r="N809" s="16"/>
      <c r="O809" s="16"/>
      <c r="P809" s="16"/>
      <c r="Q809" s="16"/>
      <c r="R809" s="96"/>
      <c r="S809" s="96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6"/>
      <c r="B810" s="13"/>
      <c r="C810" s="16"/>
      <c r="D810" s="16"/>
      <c r="E810" s="16"/>
      <c r="F810" s="16"/>
      <c r="G810" s="16"/>
      <c r="H810" s="16"/>
      <c r="I810" s="125"/>
      <c r="J810" s="16"/>
      <c r="K810" s="13"/>
      <c r="L810" s="13"/>
      <c r="M810" s="13"/>
      <c r="N810" s="16"/>
      <c r="O810" s="16"/>
      <c r="P810" s="16"/>
      <c r="Q810" s="16"/>
      <c r="R810" s="96"/>
      <c r="S810" s="96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6"/>
      <c r="B811" s="13"/>
      <c r="C811" s="16"/>
      <c r="D811" s="16"/>
      <c r="E811" s="16"/>
      <c r="F811" s="16"/>
      <c r="G811" s="16"/>
      <c r="H811" s="16"/>
      <c r="I811" s="125"/>
      <c r="J811" s="16"/>
      <c r="K811" s="13"/>
      <c r="L811" s="13"/>
      <c r="M811" s="13"/>
      <c r="N811" s="16"/>
      <c r="O811" s="16"/>
      <c r="P811" s="16"/>
      <c r="Q811" s="16"/>
      <c r="R811" s="96"/>
      <c r="S811" s="96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6"/>
      <c r="B812" s="13"/>
      <c r="C812" s="16"/>
      <c r="D812" s="16"/>
      <c r="E812" s="16"/>
      <c r="F812" s="16"/>
      <c r="G812" s="16"/>
      <c r="H812" s="16"/>
      <c r="I812" s="125"/>
      <c r="J812" s="16"/>
      <c r="K812" s="13"/>
      <c r="L812" s="13"/>
      <c r="M812" s="13"/>
      <c r="N812" s="16"/>
      <c r="O812" s="16"/>
      <c r="P812" s="16"/>
      <c r="Q812" s="16"/>
      <c r="R812" s="96"/>
      <c r="S812" s="96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6"/>
      <c r="B813" s="13"/>
      <c r="C813" s="16"/>
      <c r="D813" s="16"/>
      <c r="E813" s="16"/>
      <c r="F813" s="16"/>
      <c r="G813" s="16"/>
      <c r="H813" s="16"/>
      <c r="I813" s="125"/>
      <c r="J813" s="16"/>
      <c r="K813" s="13"/>
      <c r="L813" s="13"/>
      <c r="M813" s="13"/>
      <c r="N813" s="16"/>
      <c r="O813" s="16"/>
      <c r="P813" s="16"/>
      <c r="Q813" s="16"/>
      <c r="R813" s="96"/>
      <c r="S813" s="96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6"/>
      <c r="B814" s="13"/>
      <c r="C814" s="16"/>
      <c r="D814" s="16"/>
      <c r="E814" s="16"/>
      <c r="F814" s="16"/>
      <c r="G814" s="16"/>
      <c r="H814" s="16"/>
      <c r="I814" s="125"/>
      <c r="J814" s="16"/>
      <c r="K814" s="13"/>
      <c r="L814" s="13"/>
      <c r="M814" s="13"/>
      <c r="N814" s="16"/>
      <c r="O814" s="16"/>
      <c r="P814" s="16"/>
      <c r="Q814" s="16"/>
      <c r="R814" s="96"/>
      <c r="S814" s="96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6"/>
      <c r="B815" s="13"/>
      <c r="C815" s="16"/>
      <c r="D815" s="16"/>
      <c r="E815" s="16"/>
      <c r="F815" s="16"/>
      <c r="G815" s="16"/>
      <c r="H815" s="16"/>
      <c r="I815" s="125"/>
      <c r="J815" s="16"/>
      <c r="K815" s="13"/>
      <c r="L815" s="13"/>
      <c r="M815" s="13"/>
      <c r="N815" s="16"/>
      <c r="O815" s="16"/>
      <c r="P815" s="16"/>
      <c r="Q815" s="16"/>
      <c r="R815" s="96"/>
      <c r="S815" s="96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6"/>
      <c r="B816" s="13"/>
      <c r="C816" s="16"/>
      <c r="D816" s="16"/>
      <c r="E816" s="16"/>
      <c r="F816" s="16"/>
      <c r="G816" s="16"/>
      <c r="H816" s="16"/>
      <c r="I816" s="125"/>
      <c r="J816" s="16"/>
      <c r="K816" s="13"/>
      <c r="L816" s="13"/>
      <c r="M816" s="13"/>
      <c r="N816" s="16"/>
      <c r="O816" s="16"/>
      <c r="P816" s="16"/>
      <c r="Q816" s="16"/>
      <c r="R816" s="96"/>
      <c r="S816" s="96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6"/>
      <c r="B817" s="13"/>
      <c r="C817" s="16"/>
      <c r="D817" s="16"/>
      <c r="E817" s="16"/>
      <c r="F817" s="16"/>
      <c r="G817" s="16"/>
      <c r="H817" s="16"/>
      <c r="I817" s="125"/>
      <c r="J817" s="16"/>
      <c r="K817" s="13"/>
      <c r="L817" s="13"/>
      <c r="M817" s="13"/>
      <c r="N817" s="16"/>
      <c r="O817" s="16"/>
      <c r="P817" s="16"/>
      <c r="Q817" s="16"/>
      <c r="R817" s="96"/>
      <c r="S817" s="96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6"/>
      <c r="B818" s="13"/>
      <c r="C818" s="16"/>
      <c r="D818" s="16"/>
      <c r="E818" s="16"/>
      <c r="F818" s="16"/>
      <c r="G818" s="16"/>
      <c r="H818" s="16"/>
      <c r="I818" s="125"/>
      <c r="J818" s="16"/>
      <c r="K818" s="13"/>
      <c r="L818" s="13"/>
      <c r="M818" s="13"/>
      <c r="N818" s="16"/>
      <c r="O818" s="16"/>
      <c r="P818" s="16"/>
      <c r="Q818" s="16"/>
      <c r="R818" s="96"/>
      <c r="S818" s="96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6"/>
      <c r="B819" s="13"/>
      <c r="C819" s="16"/>
      <c r="D819" s="16"/>
      <c r="E819" s="16"/>
      <c r="F819" s="16"/>
      <c r="G819" s="16"/>
      <c r="H819" s="16"/>
      <c r="I819" s="125"/>
      <c r="J819" s="16"/>
      <c r="K819" s="13"/>
      <c r="L819" s="13"/>
      <c r="M819" s="13"/>
      <c r="N819" s="16"/>
      <c r="O819" s="16"/>
      <c r="P819" s="16"/>
      <c r="Q819" s="16"/>
      <c r="R819" s="96"/>
      <c r="S819" s="96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6"/>
      <c r="B820" s="13"/>
      <c r="C820" s="16"/>
      <c r="D820" s="16"/>
      <c r="E820" s="16"/>
      <c r="F820" s="16"/>
      <c r="G820" s="16"/>
      <c r="H820" s="16"/>
      <c r="I820" s="125"/>
      <c r="J820" s="16"/>
      <c r="K820" s="13"/>
      <c r="L820" s="13"/>
      <c r="M820" s="13"/>
      <c r="N820" s="16"/>
      <c r="O820" s="16"/>
      <c r="P820" s="16"/>
      <c r="Q820" s="16"/>
      <c r="R820" s="96"/>
      <c r="S820" s="96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6"/>
      <c r="B821" s="13"/>
      <c r="C821" s="16"/>
      <c r="D821" s="16"/>
      <c r="E821" s="16"/>
      <c r="F821" s="16"/>
      <c r="G821" s="16"/>
      <c r="H821" s="16"/>
      <c r="I821" s="125"/>
      <c r="J821" s="16"/>
      <c r="K821" s="13"/>
      <c r="L821" s="13"/>
      <c r="M821" s="13"/>
      <c r="N821" s="16"/>
      <c r="O821" s="16"/>
      <c r="P821" s="16"/>
      <c r="Q821" s="16"/>
      <c r="R821" s="96"/>
      <c r="S821" s="96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6"/>
      <c r="B822" s="13"/>
      <c r="C822" s="16"/>
      <c r="D822" s="16"/>
      <c r="E822" s="16"/>
      <c r="F822" s="16"/>
      <c r="G822" s="16"/>
      <c r="H822" s="16"/>
      <c r="I822" s="125"/>
      <c r="J822" s="16"/>
      <c r="K822" s="13"/>
      <c r="L822" s="13"/>
      <c r="M822" s="13"/>
      <c r="N822" s="16"/>
      <c r="O822" s="16"/>
      <c r="P822" s="16"/>
      <c r="Q822" s="16"/>
      <c r="R822" s="96"/>
      <c r="S822" s="96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6"/>
      <c r="B823" s="13"/>
      <c r="C823" s="16"/>
      <c r="D823" s="16"/>
      <c r="E823" s="16"/>
      <c r="F823" s="16"/>
      <c r="G823" s="16"/>
      <c r="H823" s="16"/>
      <c r="I823" s="125"/>
      <c r="J823" s="16"/>
      <c r="K823" s="13"/>
      <c r="L823" s="13"/>
      <c r="M823" s="13"/>
      <c r="N823" s="16"/>
      <c r="O823" s="16"/>
      <c r="P823" s="16"/>
      <c r="Q823" s="16"/>
      <c r="R823" s="96"/>
      <c r="S823" s="96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6"/>
      <c r="B824" s="13"/>
      <c r="C824" s="16"/>
      <c r="D824" s="16"/>
      <c r="E824" s="16"/>
      <c r="F824" s="16"/>
      <c r="G824" s="16"/>
      <c r="H824" s="16"/>
      <c r="I824" s="125"/>
      <c r="J824" s="16"/>
      <c r="K824" s="13"/>
      <c r="L824" s="13"/>
      <c r="M824" s="13"/>
      <c r="N824" s="16"/>
      <c r="O824" s="16"/>
      <c r="P824" s="16"/>
      <c r="Q824" s="16"/>
      <c r="R824" s="96"/>
      <c r="S824" s="96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6"/>
      <c r="B825" s="13"/>
      <c r="C825" s="16"/>
      <c r="D825" s="16"/>
      <c r="E825" s="16"/>
      <c r="F825" s="16"/>
      <c r="G825" s="16"/>
      <c r="H825" s="16"/>
      <c r="I825" s="125"/>
      <c r="J825" s="16"/>
      <c r="K825" s="13"/>
      <c r="L825" s="13"/>
      <c r="M825" s="13"/>
      <c r="N825" s="16"/>
      <c r="O825" s="16"/>
      <c r="P825" s="16"/>
      <c r="Q825" s="16"/>
      <c r="R825" s="96"/>
      <c r="S825" s="96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6"/>
      <c r="B826" s="13"/>
      <c r="C826" s="16"/>
      <c r="D826" s="16"/>
      <c r="E826" s="16"/>
      <c r="F826" s="16"/>
      <c r="G826" s="16"/>
      <c r="H826" s="16"/>
      <c r="I826" s="125"/>
      <c r="J826" s="16"/>
      <c r="K826" s="13"/>
      <c r="L826" s="13"/>
      <c r="M826" s="13"/>
      <c r="N826" s="16"/>
      <c r="O826" s="16"/>
      <c r="P826" s="16"/>
      <c r="Q826" s="16"/>
      <c r="R826" s="96"/>
      <c r="S826" s="96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6"/>
      <c r="B827" s="13"/>
      <c r="C827" s="16"/>
      <c r="D827" s="16"/>
      <c r="E827" s="16"/>
      <c r="F827" s="16"/>
      <c r="G827" s="16"/>
      <c r="H827" s="16"/>
      <c r="I827" s="125"/>
      <c r="J827" s="16"/>
      <c r="K827" s="13"/>
      <c r="L827" s="13"/>
      <c r="M827" s="13"/>
      <c r="N827" s="16"/>
      <c r="O827" s="16"/>
      <c r="P827" s="16"/>
      <c r="Q827" s="16"/>
      <c r="R827" s="96"/>
      <c r="S827" s="96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6"/>
      <c r="B828" s="13"/>
      <c r="C828" s="16"/>
      <c r="D828" s="16"/>
      <c r="E828" s="16"/>
      <c r="F828" s="16"/>
      <c r="G828" s="16"/>
      <c r="H828" s="16"/>
      <c r="I828" s="125"/>
      <c r="J828" s="16"/>
      <c r="K828" s="13"/>
      <c r="L828" s="13"/>
      <c r="M828" s="13"/>
      <c r="N828" s="16"/>
      <c r="O828" s="16"/>
      <c r="P828" s="16"/>
      <c r="Q828" s="16"/>
      <c r="R828" s="96"/>
      <c r="S828" s="96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6"/>
      <c r="B829" s="13"/>
      <c r="C829" s="16"/>
      <c r="D829" s="16"/>
      <c r="E829" s="16"/>
      <c r="F829" s="16"/>
      <c r="G829" s="16"/>
      <c r="H829" s="16"/>
      <c r="I829" s="125"/>
      <c r="J829" s="16"/>
      <c r="K829" s="13"/>
      <c r="L829" s="13"/>
      <c r="M829" s="13"/>
      <c r="N829" s="16"/>
      <c r="O829" s="16"/>
      <c r="P829" s="16"/>
      <c r="Q829" s="16"/>
      <c r="R829" s="96"/>
      <c r="S829" s="96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6"/>
      <c r="B830" s="13"/>
      <c r="C830" s="16"/>
      <c r="D830" s="16"/>
      <c r="E830" s="16"/>
      <c r="F830" s="16"/>
      <c r="G830" s="16"/>
      <c r="H830" s="16"/>
      <c r="I830" s="125"/>
      <c r="J830" s="16"/>
      <c r="K830" s="13"/>
      <c r="L830" s="13"/>
      <c r="M830" s="13"/>
      <c r="N830" s="16"/>
      <c r="O830" s="16"/>
      <c r="P830" s="16"/>
      <c r="Q830" s="16"/>
      <c r="R830" s="96"/>
      <c r="S830" s="96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6"/>
      <c r="B831" s="13"/>
      <c r="C831" s="16"/>
      <c r="D831" s="16"/>
      <c r="E831" s="16"/>
      <c r="F831" s="16"/>
      <c r="G831" s="16"/>
      <c r="H831" s="16"/>
      <c r="I831" s="125"/>
      <c r="J831" s="16"/>
      <c r="K831" s="13"/>
      <c r="L831" s="13"/>
      <c r="M831" s="13"/>
      <c r="N831" s="16"/>
      <c r="O831" s="16"/>
      <c r="P831" s="16"/>
      <c r="Q831" s="16"/>
      <c r="R831" s="96"/>
      <c r="S831" s="96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6"/>
      <c r="B832" s="13"/>
      <c r="C832" s="16"/>
      <c r="D832" s="16"/>
      <c r="E832" s="16"/>
      <c r="F832" s="16"/>
      <c r="G832" s="16"/>
      <c r="H832" s="16"/>
      <c r="I832" s="125"/>
      <c r="J832" s="16"/>
      <c r="K832" s="13"/>
      <c r="L832" s="13"/>
      <c r="M832" s="13"/>
      <c r="N832" s="16"/>
      <c r="O832" s="16"/>
      <c r="P832" s="16"/>
      <c r="Q832" s="16"/>
      <c r="R832" s="96"/>
      <c r="S832" s="96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6"/>
      <c r="B833" s="13"/>
      <c r="C833" s="16"/>
      <c r="D833" s="16"/>
      <c r="E833" s="16"/>
      <c r="F833" s="16"/>
      <c r="G833" s="16"/>
      <c r="H833" s="16"/>
      <c r="I833" s="125"/>
      <c r="J833" s="16"/>
      <c r="K833" s="13"/>
      <c r="L833" s="13"/>
      <c r="M833" s="13"/>
      <c r="N833" s="16"/>
      <c r="O833" s="16"/>
      <c r="P833" s="16"/>
      <c r="Q833" s="16"/>
      <c r="R833" s="96"/>
      <c r="S833" s="96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6"/>
      <c r="B834" s="13"/>
      <c r="C834" s="16"/>
      <c r="D834" s="16"/>
      <c r="E834" s="16"/>
      <c r="F834" s="16"/>
      <c r="G834" s="16"/>
      <c r="H834" s="16"/>
      <c r="I834" s="125"/>
      <c r="J834" s="16"/>
      <c r="K834" s="13"/>
      <c r="L834" s="13"/>
      <c r="M834" s="13"/>
      <c r="N834" s="16"/>
      <c r="O834" s="16"/>
      <c r="P834" s="16"/>
      <c r="Q834" s="16"/>
      <c r="R834" s="96"/>
      <c r="S834" s="96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6"/>
      <c r="B835" s="13"/>
      <c r="C835" s="16"/>
      <c r="D835" s="16"/>
      <c r="E835" s="16"/>
      <c r="F835" s="16"/>
      <c r="G835" s="16"/>
      <c r="H835" s="16"/>
      <c r="I835" s="125"/>
      <c r="J835" s="16"/>
      <c r="K835" s="13"/>
      <c r="L835" s="13"/>
      <c r="M835" s="13"/>
      <c r="N835" s="16"/>
      <c r="O835" s="16"/>
      <c r="P835" s="16"/>
      <c r="Q835" s="16"/>
      <c r="R835" s="96"/>
      <c r="S835" s="96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6"/>
      <c r="B836" s="13"/>
      <c r="C836" s="16"/>
      <c r="D836" s="16"/>
      <c r="E836" s="16"/>
      <c r="F836" s="16"/>
      <c r="G836" s="16"/>
      <c r="H836" s="16"/>
      <c r="I836" s="125"/>
      <c r="J836" s="16"/>
      <c r="K836" s="13"/>
      <c r="L836" s="13"/>
      <c r="M836" s="13"/>
      <c r="N836" s="16"/>
      <c r="O836" s="16"/>
      <c r="P836" s="16"/>
      <c r="Q836" s="16"/>
      <c r="R836" s="96"/>
      <c r="S836" s="96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6"/>
      <c r="B837" s="13"/>
      <c r="C837" s="16"/>
      <c r="D837" s="16"/>
      <c r="E837" s="16"/>
      <c r="F837" s="16"/>
      <c r="G837" s="16"/>
      <c r="H837" s="16"/>
      <c r="I837" s="125"/>
      <c r="J837" s="16"/>
      <c r="K837" s="13"/>
      <c r="L837" s="13"/>
      <c r="M837" s="13"/>
      <c r="N837" s="16"/>
      <c r="O837" s="16"/>
      <c r="P837" s="16"/>
      <c r="Q837" s="16"/>
      <c r="R837" s="96"/>
      <c r="S837" s="96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6"/>
      <c r="B838" s="13"/>
      <c r="C838" s="16"/>
      <c r="D838" s="16"/>
      <c r="E838" s="16"/>
      <c r="F838" s="16"/>
      <c r="G838" s="16"/>
      <c r="H838" s="16"/>
      <c r="I838" s="125"/>
      <c r="J838" s="16"/>
      <c r="K838" s="13"/>
      <c r="L838" s="13"/>
      <c r="M838" s="13"/>
      <c r="N838" s="16"/>
      <c r="O838" s="16"/>
      <c r="P838" s="16"/>
      <c r="Q838" s="16"/>
      <c r="R838" s="96"/>
      <c r="S838" s="96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6"/>
      <c r="B839" s="13"/>
      <c r="C839" s="16"/>
      <c r="D839" s="16"/>
      <c r="E839" s="16"/>
      <c r="F839" s="16"/>
      <c r="G839" s="16"/>
      <c r="H839" s="16"/>
      <c r="I839" s="125"/>
      <c r="J839" s="16"/>
      <c r="K839" s="13"/>
      <c r="L839" s="13"/>
      <c r="M839" s="13"/>
      <c r="N839" s="16"/>
      <c r="O839" s="16"/>
      <c r="P839" s="16"/>
      <c r="Q839" s="16"/>
      <c r="R839" s="96"/>
      <c r="S839" s="96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6"/>
      <c r="B840" s="13"/>
      <c r="C840" s="16"/>
      <c r="D840" s="16"/>
      <c r="E840" s="16"/>
      <c r="F840" s="16"/>
      <c r="G840" s="16"/>
      <c r="H840" s="16"/>
      <c r="I840" s="125"/>
      <c r="J840" s="16"/>
      <c r="K840" s="13"/>
      <c r="L840" s="13"/>
      <c r="M840" s="13"/>
      <c r="N840" s="16"/>
      <c r="O840" s="16"/>
      <c r="P840" s="16"/>
      <c r="Q840" s="16"/>
      <c r="R840" s="96"/>
      <c r="S840" s="96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6"/>
      <c r="B841" s="13"/>
      <c r="C841" s="16"/>
      <c r="D841" s="16"/>
      <c r="E841" s="16"/>
      <c r="F841" s="16"/>
      <c r="G841" s="16"/>
      <c r="H841" s="16"/>
      <c r="I841" s="125"/>
      <c r="J841" s="16"/>
      <c r="K841" s="13"/>
      <c r="L841" s="13"/>
      <c r="M841" s="13"/>
      <c r="N841" s="16"/>
      <c r="O841" s="16"/>
      <c r="P841" s="16"/>
      <c r="Q841" s="16"/>
      <c r="R841" s="96"/>
      <c r="S841" s="96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6"/>
      <c r="B842" s="13"/>
      <c r="C842" s="16"/>
      <c r="D842" s="16"/>
      <c r="E842" s="16"/>
      <c r="F842" s="16"/>
      <c r="G842" s="16"/>
      <c r="H842" s="16"/>
      <c r="I842" s="125"/>
      <c r="J842" s="16"/>
      <c r="K842" s="13"/>
      <c r="L842" s="13"/>
      <c r="M842" s="13"/>
      <c r="N842" s="16"/>
      <c r="O842" s="16"/>
      <c r="P842" s="16"/>
      <c r="Q842" s="16"/>
      <c r="R842" s="96"/>
      <c r="S842" s="96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6"/>
      <c r="B843" s="13"/>
      <c r="C843" s="16"/>
      <c r="D843" s="16"/>
      <c r="E843" s="16"/>
      <c r="F843" s="16"/>
      <c r="G843" s="16"/>
      <c r="H843" s="16"/>
      <c r="I843" s="125"/>
      <c r="J843" s="16"/>
      <c r="K843" s="13"/>
      <c r="L843" s="13"/>
      <c r="M843" s="13"/>
      <c r="N843" s="16"/>
      <c r="O843" s="16"/>
      <c r="P843" s="16"/>
      <c r="Q843" s="16"/>
      <c r="R843" s="96"/>
      <c r="S843" s="96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6"/>
      <c r="B844" s="13"/>
      <c r="C844" s="16"/>
      <c r="D844" s="16"/>
      <c r="E844" s="16"/>
      <c r="F844" s="16"/>
      <c r="G844" s="16"/>
      <c r="H844" s="16"/>
      <c r="I844" s="125"/>
      <c r="J844" s="16"/>
      <c r="K844" s="13"/>
      <c r="L844" s="13"/>
      <c r="M844" s="13"/>
      <c r="N844" s="16"/>
      <c r="O844" s="16"/>
      <c r="P844" s="16"/>
      <c r="Q844" s="16"/>
      <c r="R844" s="96"/>
      <c r="S844" s="96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6"/>
      <c r="B845" s="13"/>
      <c r="C845" s="16"/>
      <c r="D845" s="16"/>
      <c r="E845" s="16"/>
      <c r="F845" s="16"/>
      <c r="G845" s="16"/>
      <c r="H845" s="16"/>
      <c r="I845" s="125"/>
      <c r="J845" s="16"/>
      <c r="K845" s="13"/>
      <c r="L845" s="13"/>
      <c r="M845" s="13"/>
      <c r="N845" s="16"/>
      <c r="O845" s="16"/>
      <c r="P845" s="16"/>
      <c r="Q845" s="16"/>
      <c r="R845" s="96"/>
      <c r="S845" s="96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6"/>
      <c r="B846" s="13"/>
      <c r="C846" s="16"/>
      <c r="D846" s="16"/>
      <c r="E846" s="16"/>
      <c r="F846" s="16"/>
      <c r="G846" s="16"/>
      <c r="H846" s="16"/>
      <c r="I846" s="125"/>
      <c r="J846" s="16"/>
      <c r="K846" s="13"/>
      <c r="L846" s="13"/>
      <c r="M846" s="13"/>
      <c r="N846" s="16"/>
      <c r="O846" s="16"/>
      <c r="P846" s="16"/>
      <c r="Q846" s="16"/>
      <c r="R846" s="96"/>
      <c r="S846" s="96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6"/>
      <c r="B847" s="13"/>
      <c r="C847" s="16"/>
      <c r="D847" s="16"/>
      <c r="E847" s="16"/>
      <c r="F847" s="16"/>
      <c r="G847" s="16"/>
      <c r="H847" s="16"/>
      <c r="I847" s="125"/>
      <c r="J847" s="16"/>
      <c r="K847" s="13"/>
      <c r="L847" s="13"/>
      <c r="M847" s="13"/>
      <c r="N847" s="16"/>
      <c r="O847" s="16"/>
      <c r="P847" s="16"/>
      <c r="Q847" s="16"/>
      <c r="R847" s="96"/>
      <c r="S847" s="96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6"/>
      <c r="B848" s="13"/>
      <c r="C848" s="16"/>
      <c r="D848" s="16"/>
      <c r="E848" s="16"/>
      <c r="F848" s="16"/>
      <c r="G848" s="16"/>
      <c r="H848" s="16"/>
      <c r="I848" s="125"/>
      <c r="J848" s="16"/>
      <c r="K848" s="13"/>
      <c r="L848" s="13"/>
      <c r="M848" s="13"/>
      <c r="N848" s="16"/>
      <c r="O848" s="16"/>
      <c r="P848" s="16"/>
      <c r="Q848" s="16"/>
      <c r="R848" s="96"/>
      <c r="S848" s="96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6"/>
      <c r="B849" s="13"/>
      <c r="C849" s="16"/>
      <c r="D849" s="16"/>
      <c r="E849" s="16"/>
      <c r="F849" s="16"/>
      <c r="G849" s="16"/>
      <c r="H849" s="16"/>
      <c r="I849" s="125"/>
      <c r="J849" s="16"/>
      <c r="K849" s="13"/>
      <c r="L849" s="13"/>
      <c r="M849" s="13"/>
      <c r="N849" s="16"/>
      <c r="O849" s="16"/>
      <c r="P849" s="16"/>
      <c r="Q849" s="16"/>
      <c r="R849" s="96"/>
      <c r="S849" s="96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6"/>
      <c r="B850" s="13"/>
      <c r="C850" s="16"/>
      <c r="D850" s="16"/>
      <c r="E850" s="16"/>
      <c r="F850" s="16"/>
      <c r="G850" s="16"/>
      <c r="H850" s="16"/>
      <c r="I850" s="125"/>
      <c r="J850" s="16"/>
      <c r="K850" s="13"/>
      <c r="L850" s="13"/>
      <c r="M850" s="13"/>
      <c r="N850" s="16"/>
      <c r="O850" s="16"/>
      <c r="P850" s="16"/>
      <c r="Q850" s="16"/>
      <c r="R850" s="96"/>
      <c r="S850" s="96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6"/>
      <c r="B851" s="13"/>
      <c r="C851" s="16"/>
      <c r="D851" s="16"/>
      <c r="E851" s="16"/>
      <c r="F851" s="16"/>
      <c r="G851" s="16"/>
      <c r="H851" s="16"/>
      <c r="I851" s="125"/>
      <c r="J851" s="16"/>
      <c r="K851" s="13"/>
      <c r="L851" s="13"/>
      <c r="M851" s="13"/>
      <c r="N851" s="16"/>
      <c r="O851" s="16"/>
      <c r="P851" s="16"/>
      <c r="Q851" s="16"/>
      <c r="R851" s="96"/>
      <c r="S851" s="96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6"/>
      <c r="B852" s="13"/>
      <c r="C852" s="16"/>
      <c r="D852" s="16"/>
      <c r="E852" s="16"/>
      <c r="F852" s="16"/>
      <c r="G852" s="16"/>
      <c r="H852" s="16"/>
      <c r="I852" s="125"/>
      <c r="J852" s="16"/>
      <c r="K852" s="13"/>
      <c r="L852" s="13"/>
      <c r="M852" s="13"/>
      <c r="N852" s="16"/>
      <c r="O852" s="16"/>
      <c r="P852" s="16"/>
      <c r="Q852" s="16"/>
      <c r="R852" s="96"/>
      <c r="S852" s="96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6"/>
      <c r="B853" s="13"/>
      <c r="C853" s="16"/>
      <c r="D853" s="16"/>
      <c r="E853" s="16"/>
      <c r="F853" s="16"/>
      <c r="G853" s="16"/>
      <c r="H853" s="16"/>
      <c r="I853" s="125"/>
      <c r="J853" s="16"/>
      <c r="K853" s="13"/>
      <c r="L853" s="13"/>
      <c r="M853" s="13"/>
      <c r="N853" s="16"/>
      <c r="O853" s="16"/>
      <c r="P853" s="16"/>
      <c r="Q853" s="16"/>
      <c r="R853" s="96"/>
      <c r="S853" s="96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6"/>
      <c r="B854" s="13"/>
      <c r="C854" s="16"/>
      <c r="D854" s="16"/>
      <c r="E854" s="16"/>
      <c r="F854" s="16"/>
      <c r="G854" s="16"/>
      <c r="H854" s="16"/>
      <c r="I854" s="125"/>
      <c r="J854" s="16"/>
      <c r="K854" s="13"/>
      <c r="L854" s="13"/>
      <c r="M854" s="13"/>
      <c r="N854" s="16"/>
      <c r="O854" s="16"/>
      <c r="P854" s="16"/>
      <c r="Q854" s="16"/>
      <c r="R854" s="96"/>
      <c r="S854" s="96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6"/>
      <c r="B855" s="13"/>
      <c r="C855" s="16"/>
      <c r="D855" s="16"/>
      <c r="E855" s="16"/>
      <c r="F855" s="16"/>
      <c r="G855" s="16"/>
      <c r="H855" s="16"/>
      <c r="I855" s="125"/>
      <c r="J855" s="16"/>
      <c r="K855" s="13"/>
      <c r="L855" s="13"/>
      <c r="M855" s="13"/>
      <c r="N855" s="16"/>
      <c r="O855" s="16"/>
      <c r="P855" s="16"/>
      <c r="Q855" s="16"/>
      <c r="R855" s="96"/>
      <c r="S855" s="96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6"/>
      <c r="B856" s="13"/>
      <c r="C856" s="16"/>
      <c r="D856" s="16"/>
      <c r="E856" s="16"/>
      <c r="F856" s="16"/>
      <c r="G856" s="16"/>
      <c r="H856" s="16"/>
      <c r="I856" s="125"/>
      <c r="J856" s="16"/>
      <c r="K856" s="13"/>
      <c r="L856" s="13"/>
      <c r="M856" s="13"/>
      <c r="N856" s="16"/>
      <c r="O856" s="16"/>
      <c r="P856" s="16"/>
      <c r="Q856" s="16"/>
      <c r="R856" s="96"/>
      <c r="S856" s="96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6"/>
      <c r="B857" s="13"/>
      <c r="C857" s="16"/>
      <c r="D857" s="16"/>
      <c r="E857" s="16"/>
      <c r="F857" s="16"/>
      <c r="G857" s="16"/>
      <c r="H857" s="16"/>
      <c r="I857" s="125"/>
      <c r="J857" s="16"/>
      <c r="K857" s="13"/>
      <c r="L857" s="13"/>
      <c r="M857" s="13"/>
      <c r="N857" s="16"/>
      <c r="O857" s="16"/>
      <c r="P857" s="16"/>
      <c r="Q857" s="16"/>
      <c r="R857" s="96"/>
      <c r="S857" s="96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6"/>
      <c r="B858" s="13"/>
      <c r="C858" s="16"/>
      <c r="D858" s="16"/>
      <c r="E858" s="16"/>
      <c r="F858" s="16"/>
      <c r="G858" s="16"/>
      <c r="H858" s="16"/>
      <c r="I858" s="125"/>
      <c r="J858" s="16"/>
      <c r="K858" s="13"/>
      <c r="L858" s="13"/>
      <c r="M858" s="13"/>
      <c r="N858" s="16"/>
      <c r="O858" s="16"/>
      <c r="P858" s="16"/>
      <c r="Q858" s="16"/>
      <c r="R858" s="96"/>
      <c r="S858" s="96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6"/>
      <c r="B859" s="13"/>
      <c r="C859" s="16"/>
      <c r="D859" s="16"/>
      <c r="E859" s="16"/>
      <c r="F859" s="16"/>
      <c r="G859" s="16"/>
      <c r="H859" s="16"/>
      <c r="I859" s="125"/>
      <c r="J859" s="16"/>
      <c r="K859" s="13"/>
      <c r="L859" s="13"/>
      <c r="M859" s="13"/>
      <c r="N859" s="16"/>
      <c r="O859" s="16"/>
      <c r="P859" s="16"/>
      <c r="Q859" s="16"/>
      <c r="R859" s="96"/>
      <c r="S859" s="96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6"/>
      <c r="B860" s="13"/>
      <c r="C860" s="16"/>
      <c r="D860" s="16"/>
      <c r="E860" s="16"/>
      <c r="F860" s="16"/>
      <c r="G860" s="16"/>
      <c r="H860" s="16"/>
      <c r="I860" s="125"/>
      <c r="J860" s="16"/>
      <c r="K860" s="13"/>
      <c r="L860" s="13"/>
      <c r="M860" s="13"/>
      <c r="N860" s="16"/>
      <c r="O860" s="16"/>
      <c r="P860" s="16"/>
      <c r="Q860" s="16"/>
      <c r="R860" s="96"/>
      <c r="S860" s="96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6"/>
      <c r="B861" s="13"/>
      <c r="C861" s="16"/>
      <c r="D861" s="16"/>
      <c r="E861" s="16"/>
      <c r="F861" s="16"/>
      <c r="G861" s="16"/>
      <c r="H861" s="16"/>
      <c r="I861" s="125"/>
      <c r="J861" s="16"/>
      <c r="K861" s="13"/>
      <c r="L861" s="13"/>
      <c r="M861" s="13"/>
      <c r="N861" s="16"/>
      <c r="O861" s="16"/>
      <c r="P861" s="16"/>
      <c r="Q861" s="16"/>
      <c r="R861" s="96"/>
      <c r="S861" s="96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6"/>
      <c r="B862" s="13"/>
      <c r="C862" s="16"/>
      <c r="D862" s="16"/>
      <c r="E862" s="16"/>
      <c r="F862" s="16"/>
      <c r="G862" s="16"/>
      <c r="H862" s="16"/>
      <c r="I862" s="125"/>
      <c r="J862" s="16"/>
      <c r="K862" s="13"/>
      <c r="L862" s="13"/>
      <c r="M862" s="13"/>
      <c r="N862" s="16"/>
      <c r="O862" s="16"/>
      <c r="P862" s="16"/>
      <c r="Q862" s="16"/>
      <c r="R862" s="96"/>
      <c r="S862" s="96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6"/>
      <c r="B863" s="13"/>
      <c r="C863" s="16"/>
      <c r="D863" s="16"/>
      <c r="E863" s="16"/>
      <c r="F863" s="16"/>
      <c r="G863" s="16"/>
      <c r="H863" s="16"/>
      <c r="I863" s="125"/>
      <c r="J863" s="16"/>
      <c r="K863" s="13"/>
      <c r="L863" s="13"/>
      <c r="M863" s="13"/>
      <c r="N863" s="16"/>
      <c r="O863" s="16"/>
      <c r="P863" s="16"/>
      <c r="Q863" s="16"/>
      <c r="R863" s="96"/>
      <c r="S863" s="96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6"/>
      <c r="B864" s="13"/>
      <c r="C864" s="16"/>
      <c r="D864" s="16"/>
      <c r="E864" s="16"/>
      <c r="F864" s="16"/>
      <c r="G864" s="16"/>
      <c r="H864" s="16"/>
      <c r="I864" s="125"/>
      <c r="J864" s="16"/>
      <c r="K864" s="13"/>
      <c r="L864" s="13"/>
      <c r="M864" s="13"/>
      <c r="N864" s="16"/>
      <c r="O864" s="16"/>
      <c r="P864" s="16"/>
      <c r="Q864" s="16"/>
      <c r="R864" s="96"/>
      <c r="S864" s="96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6"/>
      <c r="B865" s="13"/>
      <c r="C865" s="16"/>
      <c r="D865" s="16"/>
      <c r="E865" s="16"/>
      <c r="F865" s="16"/>
      <c r="G865" s="16"/>
      <c r="H865" s="16"/>
      <c r="I865" s="125"/>
      <c r="J865" s="16"/>
      <c r="K865" s="13"/>
      <c r="L865" s="13"/>
      <c r="M865" s="13"/>
      <c r="N865" s="16"/>
      <c r="O865" s="16"/>
      <c r="P865" s="16"/>
      <c r="Q865" s="16"/>
      <c r="R865" s="96"/>
      <c r="S865" s="96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6"/>
      <c r="B866" s="13"/>
      <c r="C866" s="16"/>
      <c r="D866" s="16"/>
      <c r="E866" s="16"/>
      <c r="F866" s="16"/>
      <c r="G866" s="16"/>
      <c r="H866" s="16"/>
      <c r="I866" s="125"/>
      <c r="J866" s="16"/>
      <c r="K866" s="13"/>
      <c r="L866" s="13"/>
      <c r="M866" s="13"/>
      <c r="N866" s="16"/>
      <c r="O866" s="16"/>
      <c r="P866" s="16"/>
      <c r="Q866" s="16"/>
      <c r="R866" s="96"/>
      <c r="S866" s="96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6"/>
      <c r="B867" s="13"/>
      <c r="C867" s="16"/>
      <c r="D867" s="16"/>
      <c r="E867" s="16"/>
      <c r="F867" s="16"/>
      <c r="G867" s="16"/>
      <c r="H867" s="16"/>
      <c r="I867" s="125"/>
      <c r="J867" s="16"/>
      <c r="K867" s="13"/>
      <c r="L867" s="13"/>
      <c r="M867" s="13"/>
      <c r="N867" s="16"/>
      <c r="O867" s="16"/>
      <c r="P867" s="16"/>
      <c r="Q867" s="16"/>
      <c r="R867" s="96"/>
      <c r="S867" s="96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6"/>
      <c r="B868" s="13"/>
      <c r="C868" s="16"/>
      <c r="D868" s="16"/>
      <c r="E868" s="16"/>
      <c r="F868" s="16"/>
      <c r="G868" s="16"/>
      <c r="H868" s="16"/>
      <c r="I868" s="125"/>
      <c r="J868" s="16"/>
      <c r="K868" s="13"/>
      <c r="L868" s="13"/>
      <c r="M868" s="13"/>
      <c r="N868" s="16"/>
      <c r="O868" s="16"/>
      <c r="P868" s="16"/>
      <c r="Q868" s="16"/>
      <c r="R868" s="96"/>
      <c r="S868" s="96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6"/>
      <c r="B869" s="13"/>
      <c r="C869" s="16"/>
      <c r="D869" s="16"/>
      <c r="E869" s="16"/>
      <c r="F869" s="16"/>
      <c r="G869" s="16"/>
      <c r="H869" s="16"/>
      <c r="I869" s="125"/>
      <c r="J869" s="16"/>
      <c r="K869" s="13"/>
      <c r="L869" s="13"/>
      <c r="M869" s="13"/>
      <c r="N869" s="16"/>
      <c r="O869" s="16"/>
      <c r="P869" s="16"/>
      <c r="Q869" s="16"/>
      <c r="R869" s="96"/>
      <c r="S869" s="96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6"/>
      <c r="B870" s="13"/>
      <c r="C870" s="16"/>
      <c r="D870" s="16"/>
      <c r="E870" s="16"/>
      <c r="F870" s="16"/>
      <c r="G870" s="16"/>
      <c r="H870" s="16"/>
      <c r="I870" s="125"/>
      <c r="J870" s="16"/>
      <c r="K870" s="13"/>
      <c r="L870" s="13"/>
      <c r="M870" s="13"/>
      <c r="N870" s="16"/>
      <c r="O870" s="16"/>
      <c r="P870" s="16"/>
      <c r="Q870" s="16"/>
      <c r="R870" s="96"/>
      <c r="S870" s="96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6"/>
      <c r="B871" s="13"/>
      <c r="C871" s="16"/>
      <c r="D871" s="16"/>
      <c r="E871" s="16"/>
      <c r="F871" s="16"/>
      <c r="G871" s="16"/>
      <c r="H871" s="16"/>
      <c r="I871" s="125"/>
      <c r="J871" s="16"/>
      <c r="K871" s="13"/>
      <c r="L871" s="13"/>
      <c r="M871" s="13"/>
      <c r="N871" s="16"/>
      <c r="O871" s="16"/>
      <c r="P871" s="16"/>
      <c r="Q871" s="16"/>
      <c r="R871" s="96"/>
      <c r="S871" s="96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6"/>
      <c r="B872" s="13"/>
      <c r="C872" s="16"/>
      <c r="D872" s="16"/>
      <c r="E872" s="16"/>
      <c r="F872" s="16"/>
      <c r="G872" s="16"/>
      <c r="H872" s="16"/>
      <c r="I872" s="125"/>
      <c r="J872" s="16"/>
      <c r="K872" s="13"/>
      <c r="L872" s="13"/>
      <c r="M872" s="13"/>
      <c r="N872" s="16"/>
      <c r="O872" s="16"/>
      <c r="P872" s="16"/>
      <c r="Q872" s="16"/>
      <c r="R872" s="96"/>
      <c r="S872" s="96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6"/>
      <c r="B873" s="13"/>
      <c r="C873" s="16"/>
      <c r="D873" s="16"/>
      <c r="E873" s="16"/>
      <c r="F873" s="16"/>
      <c r="G873" s="16"/>
      <c r="H873" s="16"/>
      <c r="I873" s="125"/>
      <c r="J873" s="16"/>
      <c r="K873" s="13"/>
      <c r="L873" s="13"/>
      <c r="M873" s="13"/>
      <c r="N873" s="16"/>
      <c r="O873" s="16"/>
      <c r="P873" s="16"/>
      <c r="Q873" s="16"/>
      <c r="R873" s="96"/>
      <c r="S873" s="96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6"/>
      <c r="B874" s="13"/>
      <c r="C874" s="16"/>
      <c r="D874" s="16"/>
      <c r="E874" s="16"/>
      <c r="F874" s="16"/>
      <c r="G874" s="16"/>
      <c r="H874" s="16"/>
      <c r="I874" s="125"/>
      <c r="J874" s="16"/>
      <c r="K874" s="13"/>
      <c r="L874" s="13"/>
      <c r="M874" s="13"/>
      <c r="N874" s="16"/>
      <c r="O874" s="16"/>
      <c r="P874" s="16"/>
      <c r="Q874" s="16"/>
      <c r="R874" s="96"/>
      <c r="S874" s="96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6"/>
      <c r="B875" s="13"/>
      <c r="C875" s="16"/>
      <c r="D875" s="16"/>
      <c r="E875" s="16"/>
      <c r="F875" s="16"/>
      <c r="G875" s="16"/>
      <c r="H875" s="16"/>
      <c r="I875" s="125"/>
      <c r="J875" s="16"/>
      <c r="K875" s="13"/>
      <c r="L875" s="13"/>
      <c r="M875" s="13"/>
      <c r="N875" s="16"/>
      <c r="O875" s="16"/>
      <c r="P875" s="16"/>
      <c r="Q875" s="16"/>
      <c r="R875" s="96"/>
      <c r="S875" s="96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6"/>
      <c r="B876" s="13"/>
      <c r="C876" s="16"/>
      <c r="D876" s="16"/>
      <c r="E876" s="16"/>
      <c r="F876" s="16"/>
      <c r="G876" s="16"/>
      <c r="H876" s="16"/>
      <c r="I876" s="125"/>
      <c r="J876" s="16"/>
      <c r="K876" s="13"/>
      <c r="L876" s="13"/>
      <c r="M876" s="13"/>
      <c r="N876" s="16"/>
      <c r="O876" s="16"/>
      <c r="P876" s="16"/>
      <c r="Q876" s="16"/>
      <c r="R876" s="96"/>
      <c r="S876" s="96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6"/>
      <c r="B877" s="13"/>
      <c r="C877" s="16"/>
      <c r="D877" s="16"/>
      <c r="E877" s="16"/>
      <c r="F877" s="16"/>
      <c r="G877" s="16"/>
      <c r="H877" s="16"/>
      <c r="I877" s="125"/>
      <c r="J877" s="16"/>
      <c r="K877" s="13"/>
      <c r="L877" s="13"/>
      <c r="M877" s="13"/>
      <c r="N877" s="16"/>
      <c r="O877" s="16"/>
      <c r="P877" s="16"/>
      <c r="Q877" s="16"/>
      <c r="R877" s="96"/>
      <c r="S877" s="96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6"/>
      <c r="B878" s="13"/>
      <c r="C878" s="16"/>
      <c r="D878" s="16"/>
      <c r="E878" s="16"/>
      <c r="F878" s="16"/>
      <c r="G878" s="16"/>
      <c r="H878" s="16"/>
      <c r="I878" s="125"/>
      <c r="J878" s="16"/>
      <c r="K878" s="13"/>
      <c r="L878" s="13"/>
      <c r="M878" s="13"/>
      <c r="N878" s="16"/>
      <c r="O878" s="16"/>
      <c r="P878" s="16"/>
      <c r="Q878" s="16"/>
      <c r="R878" s="96"/>
      <c r="S878" s="96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6"/>
      <c r="B879" s="13"/>
      <c r="C879" s="16"/>
      <c r="D879" s="16"/>
      <c r="E879" s="16"/>
      <c r="F879" s="16"/>
      <c r="G879" s="16"/>
      <c r="H879" s="16"/>
      <c r="I879" s="125"/>
      <c r="J879" s="16"/>
      <c r="K879" s="13"/>
      <c r="L879" s="13"/>
      <c r="M879" s="13"/>
      <c r="N879" s="16"/>
      <c r="O879" s="16"/>
      <c r="P879" s="16"/>
      <c r="Q879" s="16"/>
      <c r="R879" s="96"/>
      <c r="S879" s="96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6"/>
      <c r="B880" s="13"/>
      <c r="C880" s="16"/>
      <c r="D880" s="16"/>
      <c r="E880" s="16"/>
      <c r="F880" s="16"/>
      <c r="G880" s="16"/>
      <c r="H880" s="16"/>
      <c r="I880" s="125"/>
      <c r="J880" s="16"/>
      <c r="K880" s="13"/>
      <c r="L880" s="13"/>
      <c r="M880" s="13"/>
      <c r="N880" s="16"/>
      <c r="O880" s="16"/>
      <c r="P880" s="16"/>
      <c r="Q880" s="16"/>
      <c r="R880" s="96"/>
      <c r="S880" s="96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6"/>
      <c r="B881" s="13"/>
      <c r="C881" s="16"/>
      <c r="D881" s="16"/>
      <c r="E881" s="16"/>
      <c r="F881" s="16"/>
      <c r="G881" s="16"/>
      <c r="H881" s="16"/>
      <c r="I881" s="125"/>
      <c r="J881" s="16"/>
      <c r="K881" s="13"/>
      <c r="L881" s="13"/>
      <c r="M881" s="13"/>
      <c r="N881" s="16"/>
      <c r="O881" s="16"/>
      <c r="P881" s="16"/>
      <c r="Q881" s="16"/>
      <c r="R881" s="96"/>
      <c r="S881" s="96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6"/>
      <c r="B882" s="13"/>
      <c r="C882" s="16"/>
      <c r="D882" s="16"/>
      <c r="E882" s="16"/>
      <c r="F882" s="16"/>
      <c r="G882" s="16"/>
      <c r="H882" s="16"/>
      <c r="I882" s="125"/>
      <c r="J882" s="16"/>
      <c r="K882" s="13"/>
      <c r="L882" s="13"/>
      <c r="M882" s="13"/>
      <c r="N882" s="16"/>
      <c r="O882" s="16"/>
      <c r="P882" s="16"/>
      <c r="Q882" s="16"/>
      <c r="R882" s="96"/>
      <c r="S882" s="96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6"/>
      <c r="B883" s="13"/>
      <c r="C883" s="16"/>
      <c r="D883" s="16"/>
      <c r="E883" s="16"/>
      <c r="F883" s="16"/>
      <c r="G883" s="16"/>
      <c r="H883" s="16"/>
      <c r="I883" s="125"/>
      <c r="J883" s="16"/>
      <c r="K883" s="13"/>
      <c r="L883" s="13"/>
      <c r="M883" s="13"/>
      <c r="N883" s="16"/>
      <c r="O883" s="16"/>
      <c r="P883" s="16"/>
      <c r="Q883" s="16"/>
      <c r="R883" s="96"/>
      <c r="S883" s="96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6"/>
      <c r="B884" s="13"/>
      <c r="C884" s="16"/>
      <c r="D884" s="16"/>
      <c r="E884" s="16"/>
      <c r="F884" s="16"/>
      <c r="G884" s="16"/>
      <c r="H884" s="16"/>
      <c r="I884" s="125"/>
      <c r="J884" s="16"/>
      <c r="K884" s="13"/>
      <c r="L884" s="13"/>
      <c r="M884" s="13"/>
      <c r="N884" s="16"/>
      <c r="O884" s="16"/>
      <c r="P884" s="16"/>
      <c r="Q884" s="16"/>
      <c r="R884" s="96"/>
      <c r="S884" s="96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6"/>
      <c r="B885" s="13"/>
      <c r="C885" s="16"/>
      <c r="D885" s="16"/>
      <c r="E885" s="16"/>
      <c r="F885" s="16"/>
      <c r="G885" s="16"/>
      <c r="H885" s="16"/>
      <c r="I885" s="125"/>
      <c r="J885" s="16"/>
      <c r="K885" s="13"/>
      <c r="L885" s="13"/>
      <c r="M885" s="13"/>
      <c r="N885" s="16"/>
      <c r="O885" s="16"/>
      <c r="P885" s="16"/>
      <c r="Q885" s="16"/>
      <c r="R885" s="96"/>
      <c r="S885" s="96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6"/>
      <c r="B886" s="13"/>
      <c r="C886" s="16"/>
      <c r="D886" s="16"/>
      <c r="E886" s="16"/>
      <c r="F886" s="16"/>
      <c r="G886" s="16"/>
      <c r="H886" s="16"/>
      <c r="I886" s="125"/>
      <c r="J886" s="16"/>
      <c r="K886" s="13"/>
      <c r="L886" s="13"/>
      <c r="M886" s="13"/>
      <c r="N886" s="16"/>
      <c r="O886" s="16"/>
      <c r="P886" s="16"/>
      <c r="Q886" s="16"/>
      <c r="R886" s="96"/>
      <c r="S886" s="96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6"/>
      <c r="B887" s="13"/>
      <c r="C887" s="16"/>
      <c r="D887" s="16"/>
      <c r="E887" s="16"/>
      <c r="F887" s="16"/>
      <c r="G887" s="16"/>
      <c r="H887" s="16"/>
      <c r="I887" s="125"/>
      <c r="J887" s="16"/>
      <c r="K887" s="13"/>
      <c r="L887" s="13"/>
      <c r="M887" s="13"/>
      <c r="N887" s="16"/>
      <c r="O887" s="16"/>
      <c r="P887" s="16"/>
      <c r="Q887" s="16"/>
      <c r="R887" s="96"/>
      <c r="S887" s="96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6"/>
      <c r="B888" s="13"/>
      <c r="C888" s="16"/>
      <c r="D888" s="16"/>
      <c r="E888" s="16"/>
      <c r="F888" s="16"/>
      <c r="G888" s="16"/>
      <c r="H888" s="16"/>
      <c r="I888" s="125"/>
      <c r="J888" s="16"/>
      <c r="K888" s="13"/>
      <c r="L888" s="13"/>
      <c r="M888" s="13"/>
      <c r="N888" s="16"/>
      <c r="O888" s="16"/>
      <c r="P888" s="16"/>
      <c r="Q888" s="16"/>
      <c r="R888" s="96"/>
      <c r="S888" s="96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6"/>
      <c r="B889" s="13"/>
      <c r="C889" s="16"/>
      <c r="D889" s="16"/>
      <c r="E889" s="16"/>
      <c r="F889" s="16"/>
      <c r="G889" s="16"/>
      <c r="H889" s="16"/>
      <c r="I889" s="125"/>
      <c r="J889" s="16"/>
      <c r="K889" s="13"/>
      <c r="L889" s="13"/>
      <c r="M889" s="13"/>
      <c r="N889" s="16"/>
      <c r="O889" s="16"/>
      <c r="P889" s="16"/>
      <c r="Q889" s="16"/>
      <c r="R889" s="96"/>
      <c r="S889" s="96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6"/>
      <c r="B890" s="13"/>
      <c r="C890" s="16"/>
      <c r="D890" s="16"/>
      <c r="E890" s="16"/>
      <c r="F890" s="16"/>
      <c r="G890" s="16"/>
      <c r="H890" s="16"/>
      <c r="I890" s="125"/>
      <c r="J890" s="16"/>
      <c r="K890" s="13"/>
      <c r="L890" s="13"/>
      <c r="M890" s="13"/>
      <c r="N890" s="16"/>
      <c r="O890" s="16"/>
      <c r="P890" s="16"/>
      <c r="Q890" s="16"/>
      <c r="R890" s="96"/>
      <c r="S890" s="96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6"/>
      <c r="B891" s="13"/>
      <c r="C891" s="16"/>
      <c r="D891" s="16"/>
      <c r="E891" s="16"/>
      <c r="F891" s="16"/>
      <c r="G891" s="16"/>
      <c r="H891" s="16"/>
      <c r="I891" s="125"/>
      <c r="J891" s="16"/>
      <c r="K891" s="13"/>
      <c r="L891" s="13"/>
      <c r="M891" s="13"/>
      <c r="N891" s="16"/>
      <c r="O891" s="16"/>
      <c r="P891" s="16"/>
      <c r="Q891" s="16"/>
      <c r="R891" s="96"/>
      <c r="S891" s="96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6"/>
      <c r="B892" s="13"/>
      <c r="C892" s="16"/>
      <c r="D892" s="16"/>
      <c r="E892" s="16"/>
      <c r="F892" s="16"/>
      <c r="G892" s="16"/>
      <c r="H892" s="16"/>
      <c r="I892" s="125"/>
      <c r="J892" s="16"/>
      <c r="K892" s="13"/>
      <c r="L892" s="13"/>
      <c r="M892" s="13"/>
      <c r="N892" s="16"/>
      <c r="O892" s="16"/>
      <c r="P892" s="16"/>
      <c r="Q892" s="16"/>
      <c r="R892" s="96"/>
      <c r="S892" s="96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6"/>
      <c r="B893" s="13"/>
      <c r="C893" s="16"/>
      <c r="D893" s="16"/>
      <c r="E893" s="16"/>
      <c r="F893" s="16"/>
      <c r="G893" s="16"/>
      <c r="H893" s="16"/>
      <c r="I893" s="125"/>
      <c r="J893" s="16"/>
      <c r="K893" s="13"/>
      <c r="L893" s="13"/>
      <c r="M893" s="13"/>
      <c r="N893" s="16"/>
      <c r="O893" s="16"/>
      <c r="P893" s="16"/>
      <c r="Q893" s="16"/>
      <c r="R893" s="96"/>
      <c r="S893" s="96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6"/>
      <c r="B894" s="13"/>
      <c r="C894" s="16"/>
      <c r="D894" s="16"/>
      <c r="E894" s="16"/>
      <c r="F894" s="16"/>
      <c r="G894" s="16"/>
      <c r="H894" s="16"/>
      <c r="I894" s="125"/>
      <c r="J894" s="16"/>
      <c r="K894" s="13"/>
      <c r="L894" s="13"/>
      <c r="M894" s="13"/>
      <c r="N894" s="16"/>
      <c r="O894" s="16"/>
      <c r="P894" s="16"/>
      <c r="Q894" s="16"/>
      <c r="R894" s="96"/>
      <c r="S894" s="96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6"/>
      <c r="B895" s="13"/>
      <c r="C895" s="16"/>
      <c r="D895" s="16"/>
      <c r="E895" s="16"/>
      <c r="F895" s="16"/>
      <c r="G895" s="16"/>
      <c r="H895" s="16"/>
      <c r="I895" s="125"/>
      <c r="J895" s="16"/>
      <c r="K895" s="13"/>
      <c r="L895" s="13"/>
      <c r="M895" s="13"/>
      <c r="N895" s="16"/>
      <c r="O895" s="16"/>
      <c r="P895" s="16"/>
      <c r="Q895" s="16"/>
      <c r="R895" s="96"/>
      <c r="S895" s="96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6"/>
      <c r="B896" s="13"/>
      <c r="C896" s="16"/>
      <c r="D896" s="16"/>
      <c r="E896" s="16"/>
      <c r="F896" s="16"/>
      <c r="G896" s="16"/>
      <c r="H896" s="16"/>
      <c r="I896" s="125"/>
      <c r="J896" s="16"/>
      <c r="K896" s="13"/>
      <c r="L896" s="13"/>
      <c r="M896" s="13"/>
      <c r="N896" s="16"/>
      <c r="O896" s="16"/>
      <c r="P896" s="16"/>
      <c r="Q896" s="16"/>
      <c r="R896" s="96"/>
      <c r="S896" s="96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6"/>
      <c r="B897" s="13"/>
      <c r="C897" s="16"/>
      <c r="D897" s="16"/>
      <c r="E897" s="16"/>
      <c r="F897" s="16"/>
      <c r="G897" s="16"/>
      <c r="H897" s="16"/>
      <c r="I897" s="125"/>
      <c r="J897" s="16"/>
      <c r="K897" s="13"/>
      <c r="L897" s="13"/>
      <c r="M897" s="13"/>
      <c r="N897" s="16"/>
      <c r="O897" s="16"/>
      <c r="P897" s="16"/>
      <c r="Q897" s="16"/>
      <c r="R897" s="96"/>
      <c r="S897" s="96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6"/>
      <c r="B898" s="13"/>
      <c r="C898" s="16"/>
      <c r="D898" s="16"/>
      <c r="E898" s="16"/>
      <c r="F898" s="16"/>
      <c r="G898" s="16"/>
      <c r="H898" s="16"/>
      <c r="I898" s="125"/>
      <c r="J898" s="16"/>
      <c r="K898" s="13"/>
      <c r="L898" s="13"/>
      <c r="M898" s="13"/>
      <c r="N898" s="16"/>
      <c r="O898" s="16"/>
      <c r="P898" s="16"/>
      <c r="Q898" s="16"/>
      <c r="R898" s="96"/>
      <c r="S898" s="96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6"/>
      <c r="B899" s="13"/>
      <c r="C899" s="16"/>
      <c r="D899" s="16"/>
      <c r="E899" s="16"/>
      <c r="F899" s="16"/>
      <c r="G899" s="16"/>
      <c r="H899" s="16"/>
      <c r="I899" s="125"/>
      <c r="J899" s="16"/>
      <c r="K899" s="13"/>
      <c r="L899" s="13"/>
      <c r="M899" s="13"/>
      <c r="N899" s="16"/>
      <c r="O899" s="16"/>
      <c r="P899" s="16"/>
      <c r="Q899" s="16"/>
      <c r="R899" s="96"/>
      <c r="S899" s="96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6"/>
      <c r="B900" s="13"/>
      <c r="C900" s="16"/>
      <c r="D900" s="16"/>
      <c r="E900" s="16"/>
      <c r="F900" s="16"/>
      <c r="G900" s="16"/>
      <c r="H900" s="16"/>
      <c r="I900" s="125"/>
      <c r="J900" s="16"/>
      <c r="K900" s="13"/>
      <c r="L900" s="13"/>
      <c r="M900" s="13"/>
      <c r="N900" s="16"/>
      <c r="O900" s="16"/>
      <c r="P900" s="16"/>
      <c r="Q900" s="16"/>
      <c r="R900" s="96"/>
      <c r="S900" s="96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6"/>
      <c r="B901" s="13"/>
      <c r="C901" s="16"/>
      <c r="D901" s="16"/>
      <c r="E901" s="16"/>
      <c r="F901" s="16"/>
      <c r="G901" s="16"/>
      <c r="H901" s="16"/>
      <c r="I901" s="125"/>
      <c r="J901" s="16"/>
      <c r="K901" s="13"/>
      <c r="L901" s="13"/>
      <c r="M901" s="13"/>
      <c r="N901" s="16"/>
      <c r="O901" s="16"/>
      <c r="P901" s="16"/>
      <c r="Q901" s="16"/>
      <c r="R901" s="96"/>
      <c r="S901" s="96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6"/>
      <c r="B902" s="13"/>
      <c r="C902" s="16"/>
      <c r="D902" s="16"/>
      <c r="E902" s="16"/>
      <c r="F902" s="16"/>
      <c r="G902" s="16"/>
      <c r="H902" s="16"/>
      <c r="I902" s="125"/>
      <c r="J902" s="16"/>
      <c r="K902" s="13"/>
      <c r="L902" s="13"/>
      <c r="M902" s="13"/>
      <c r="N902" s="16"/>
      <c r="O902" s="16"/>
      <c r="P902" s="16"/>
      <c r="Q902" s="16"/>
      <c r="R902" s="96"/>
      <c r="S902" s="96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6"/>
      <c r="B903" s="13"/>
      <c r="C903" s="16"/>
      <c r="D903" s="16"/>
      <c r="E903" s="16"/>
      <c r="F903" s="16"/>
      <c r="G903" s="16"/>
      <c r="H903" s="16"/>
      <c r="I903" s="125"/>
      <c r="J903" s="16"/>
      <c r="K903" s="13"/>
      <c r="L903" s="13"/>
      <c r="M903" s="13"/>
      <c r="N903" s="16"/>
      <c r="O903" s="16"/>
      <c r="P903" s="16"/>
      <c r="Q903" s="16"/>
      <c r="R903" s="96"/>
      <c r="S903" s="96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6"/>
      <c r="B904" s="13"/>
      <c r="C904" s="16"/>
      <c r="D904" s="16"/>
      <c r="E904" s="16"/>
      <c r="F904" s="16"/>
      <c r="G904" s="16"/>
      <c r="H904" s="16"/>
      <c r="I904" s="125"/>
      <c r="J904" s="16"/>
      <c r="K904" s="13"/>
      <c r="L904" s="13"/>
      <c r="M904" s="13"/>
      <c r="N904" s="16"/>
      <c r="O904" s="16"/>
      <c r="P904" s="16"/>
      <c r="Q904" s="16"/>
      <c r="R904" s="96"/>
      <c r="S904" s="96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6"/>
      <c r="B905" s="13"/>
      <c r="C905" s="16"/>
      <c r="D905" s="16"/>
      <c r="E905" s="16"/>
      <c r="F905" s="16"/>
      <c r="G905" s="16"/>
      <c r="H905" s="16"/>
      <c r="I905" s="125"/>
      <c r="J905" s="16"/>
      <c r="K905" s="13"/>
      <c r="L905" s="13"/>
      <c r="M905" s="13"/>
      <c r="N905" s="16"/>
      <c r="O905" s="16"/>
      <c r="P905" s="16"/>
      <c r="Q905" s="16"/>
      <c r="R905" s="96"/>
      <c r="S905" s="96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6"/>
      <c r="B906" s="13"/>
      <c r="C906" s="16"/>
      <c r="D906" s="16"/>
      <c r="E906" s="16"/>
      <c r="F906" s="16"/>
      <c r="G906" s="16"/>
      <c r="H906" s="16"/>
      <c r="I906" s="125"/>
      <c r="J906" s="16"/>
      <c r="K906" s="13"/>
      <c r="L906" s="13"/>
      <c r="M906" s="13"/>
      <c r="N906" s="16"/>
      <c r="O906" s="16"/>
      <c r="P906" s="16"/>
      <c r="Q906" s="16"/>
      <c r="R906" s="96"/>
      <c r="S906" s="96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6"/>
      <c r="B907" s="13"/>
      <c r="C907" s="16"/>
      <c r="D907" s="16"/>
      <c r="E907" s="16"/>
      <c r="F907" s="16"/>
      <c r="G907" s="16"/>
      <c r="H907" s="16"/>
      <c r="I907" s="125"/>
      <c r="J907" s="16"/>
      <c r="K907" s="13"/>
      <c r="L907" s="13"/>
      <c r="M907" s="13"/>
      <c r="N907" s="16"/>
      <c r="O907" s="16"/>
      <c r="P907" s="16"/>
      <c r="Q907" s="16"/>
      <c r="R907" s="96"/>
      <c r="S907" s="96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6"/>
      <c r="B908" s="13"/>
      <c r="C908" s="16"/>
      <c r="D908" s="16"/>
      <c r="E908" s="16"/>
      <c r="F908" s="16"/>
      <c r="G908" s="16"/>
      <c r="H908" s="16"/>
      <c r="I908" s="125"/>
      <c r="J908" s="16"/>
      <c r="K908" s="13"/>
      <c r="L908" s="13"/>
      <c r="M908" s="13"/>
      <c r="N908" s="16"/>
      <c r="O908" s="16"/>
      <c r="P908" s="16"/>
      <c r="Q908" s="16"/>
      <c r="R908" s="96"/>
      <c r="S908" s="96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6"/>
      <c r="B909" s="13"/>
      <c r="C909" s="16"/>
      <c r="D909" s="16"/>
      <c r="E909" s="16"/>
      <c r="F909" s="16"/>
      <c r="G909" s="16"/>
      <c r="H909" s="16"/>
      <c r="I909" s="125"/>
      <c r="J909" s="16"/>
      <c r="K909" s="13"/>
      <c r="L909" s="13"/>
      <c r="M909" s="13"/>
      <c r="N909" s="16"/>
      <c r="O909" s="16"/>
      <c r="P909" s="16"/>
      <c r="Q909" s="16"/>
      <c r="R909" s="96"/>
      <c r="S909" s="96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6"/>
      <c r="B910" s="13"/>
      <c r="C910" s="16"/>
      <c r="D910" s="16"/>
      <c r="E910" s="16"/>
      <c r="F910" s="16"/>
      <c r="G910" s="16"/>
      <c r="H910" s="16"/>
      <c r="I910" s="125"/>
      <c r="J910" s="16"/>
      <c r="K910" s="13"/>
      <c r="L910" s="13"/>
      <c r="M910" s="13"/>
      <c r="N910" s="16"/>
      <c r="O910" s="16"/>
      <c r="P910" s="16"/>
      <c r="Q910" s="16"/>
      <c r="R910" s="96"/>
      <c r="S910" s="96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6"/>
      <c r="B911" s="13"/>
      <c r="C911" s="16"/>
      <c r="D911" s="16"/>
      <c r="E911" s="16"/>
      <c r="F911" s="16"/>
      <c r="G911" s="16"/>
      <c r="H911" s="16"/>
      <c r="I911" s="125"/>
      <c r="J911" s="16"/>
      <c r="K911" s="13"/>
      <c r="L911" s="13"/>
      <c r="M911" s="13"/>
      <c r="N911" s="16"/>
      <c r="O911" s="16"/>
      <c r="P911" s="16"/>
      <c r="Q911" s="16"/>
      <c r="R911" s="96"/>
      <c r="S911" s="96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6"/>
      <c r="B912" s="13"/>
      <c r="C912" s="16"/>
      <c r="D912" s="16"/>
      <c r="E912" s="16"/>
      <c r="F912" s="16"/>
      <c r="G912" s="16"/>
      <c r="H912" s="16"/>
      <c r="I912" s="125"/>
      <c r="J912" s="16"/>
      <c r="K912" s="13"/>
      <c r="L912" s="13"/>
      <c r="M912" s="13"/>
      <c r="N912" s="16"/>
      <c r="O912" s="16"/>
      <c r="P912" s="16"/>
      <c r="Q912" s="16"/>
      <c r="R912" s="96"/>
      <c r="S912" s="96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6"/>
      <c r="B913" s="13"/>
      <c r="C913" s="16"/>
      <c r="D913" s="16"/>
      <c r="E913" s="16"/>
      <c r="F913" s="16"/>
      <c r="G913" s="16"/>
      <c r="H913" s="16"/>
      <c r="I913" s="125"/>
      <c r="J913" s="16"/>
      <c r="K913" s="13"/>
      <c r="L913" s="13"/>
      <c r="M913" s="13"/>
      <c r="N913" s="16"/>
      <c r="O913" s="16"/>
      <c r="P913" s="16"/>
      <c r="Q913" s="16"/>
      <c r="R913" s="96"/>
      <c r="S913" s="96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6"/>
      <c r="B914" s="13"/>
      <c r="C914" s="16"/>
      <c r="D914" s="16"/>
      <c r="E914" s="16"/>
      <c r="F914" s="16"/>
      <c r="G914" s="16"/>
      <c r="H914" s="16"/>
      <c r="I914" s="125"/>
      <c r="J914" s="16"/>
      <c r="K914" s="13"/>
      <c r="L914" s="13"/>
      <c r="M914" s="13"/>
      <c r="N914" s="16"/>
      <c r="O914" s="16"/>
      <c r="P914" s="16"/>
      <c r="Q914" s="16"/>
      <c r="R914" s="96"/>
      <c r="S914" s="96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6"/>
      <c r="B915" s="13"/>
      <c r="C915" s="16"/>
      <c r="D915" s="16"/>
      <c r="E915" s="16"/>
      <c r="F915" s="16"/>
      <c r="G915" s="16"/>
      <c r="H915" s="16"/>
      <c r="I915" s="125"/>
      <c r="J915" s="16"/>
      <c r="K915" s="13"/>
      <c r="L915" s="13"/>
      <c r="M915" s="13"/>
      <c r="N915" s="16"/>
      <c r="O915" s="16"/>
      <c r="P915" s="16"/>
      <c r="Q915" s="16"/>
      <c r="R915" s="96"/>
      <c r="S915" s="96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6"/>
      <c r="B916" s="13"/>
      <c r="C916" s="16"/>
      <c r="D916" s="16"/>
      <c r="E916" s="16"/>
      <c r="F916" s="16"/>
      <c r="G916" s="16"/>
      <c r="H916" s="16"/>
      <c r="I916" s="125"/>
      <c r="J916" s="16"/>
      <c r="K916" s="13"/>
      <c r="L916" s="13"/>
      <c r="M916" s="13"/>
      <c r="N916" s="16"/>
      <c r="O916" s="16"/>
      <c r="P916" s="16"/>
      <c r="Q916" s="16"/>
      <c r="R916" s="96"/>
      <c r="S916" s="96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6"/>
      <c r="B917" s="13"/>
      <c r="C917" s="16"/>
      <c r="D917" s="16"/>
      <c r="E917" s="16"/>
      <c r="F917" s="16"/>
      <c r="G917" s="16"/>
      <c r="H917" s="16"/>
      <c r="I917" s="125"/>
      <c r="J917" s="16"/>
      <c r="K917" s="13"/>
      <c r="L917" s="13"/>
      <c r="M917" s="13"/>
      <c r="N917" s="16"/>
      <c r="O917" s="16"/>
      <c r="P917" s="16"/>
      <c r="Q917" s="16"/>
      <c r="R917" s="96"/>
      <c r="S917" s="96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6"/>
      <c r="B918" s="13"/>
      <c r="C918" s="16"/>
      <c r="D918" s="16"/>
      <c r="E918" s="16"/>
      <c r="F918" s="16"/>
      <c r="G918" s="16"/>
      <c r="H918" s="16"/>
      <c r="I918" s="125"/>
      <c r="J918" s="16"/>
      <c r="K918" s="13"/>
      <c r="L918" s="13"/>
      <c r="M918" s="13"/>
      <c r="N918" s="16"/>
      <c r="O918" s="16"/>
      <c r="P918" s="16"/>
      <c r="Q918" s="16"/>
      <c r="R918" s="96"/>
      <c r="S918" s="96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6"/>
      <c r="B919" s="13"/>
      <c r="C919" s="16"/>
      <c r="D919" s="16"/>
      <c r="E919" s="16"/>
      <c r="F919" s="16"/>
      <c r="G919" s="16"/>
      <c r="H919" s="16"/>
      <c r="I919" s="125"/>
      <c r="J919" s="16"/>
      <c r="K919" s="13"/>
      <c r="L919" s="13"/>
      <c r="M919" s="13"/>
      <c r="N919" s="16"/>
      <c r="O919" s="16"/>
      <c r="P919" s="16"/>
      <c r="Q919" s="16"/>
      <c r="R919" s="96"/>
      <c r="S919" s="96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6"/>
      <c r="B920" s="13"/>
      <c r="C920" s="16"/>
      <c r="D920" s="16"/>
      <c r="E920" s="16"/>
      <c r="F920" s="16"/>
      <c r="G920" s="16"/>
      <c r="H920" s="16"/>
      <c r="I920" s="125"/>
      <c r="J920" s="16"/>
      <c r="K920" s="13"/>
      <c r="L920" s="13"/>
      <c r="M920" s="13"/>
      <c r="N920" s="16"/>
      <c r="O920" s="16"/>
      <c r="P920" s="16"/>
      <c r="Q920" s="16"/>
      <c r="R920" s="96"/>
      <c r="S920" s="96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6"/>
      <c r="B921" s="13"/>
      <c r="C921" s="16"/>
      <c r="D921" s="16"/>
      <c r="E921" s="16"/>
      <c r="F921" s="16"/>
      <c r="G921" s="16"/>
      <c r="H921" s="16"/>
      <c r="I921" s="125"/>
      <c r="J921" s="16"/>
      <c r="K921" s="13"/>
      <c r="L921" s="13"/>
      <c r="M921" s="13"/>
      <c r="N921" s="16"/>
      <c r="O921" s="16"/>
      <c r="P921" s="16"/>
      <c r="Q921" s="16"/>
      <c r="R921" s="96"/>
      <c r="S921" s="96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6"/>
      <c r="B922" s="13"/>
      <c r="C922" s="16"/>
      <c r="D922" s="16"/>
      <c r="E922" s="16"/>
      <c r="F922" s="16"/>
      <c r="G922" s="16"/>
      <c r="H922" s="16"/>
      <c r="I922" s="125"/>
      <c r="J922" s="16"/>
      <c r="K922" s="13"/>
      <c r="L922" s="13"/>
      <c r="M922" s="13"/>
      <c r="N922" s="16"/>
      <c r="O922" s="16"/>
      <c r="P922" s="16"/>
      <c r="Q922" s="16"/>
      <c r="R922" s="96"/>
      <c r="S922" s="96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6"/>
      <c r="B923" s="13"/>
      <c r="C923" s="16"/>
      <c r="D923" s="16"/>
      <c r="E923" s="16"/>
      <c r="F923" s="16"/>
      <c r="G923" s="16"/>
      <c r="H923" s="16"/>
      <c r="I923" s="125"/>
      <c r="J923" s="16"/>
      <c r="K923" s="13"/>
      <c r="L923" s="13"/>
      <c r="M923" s="13"/>
      <c r="N923" s="16"/>
      <c r="O923" s="16"/>
      <c r="P923" s="16"/>
      <c r="Q923" s="16"/>
      <c r="R923" s="96"/>
      <c r="S923" s="96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6"/>
      <c r="B924" s="13"/>
      <c r="C924" s="16"/>
      <c r="D924" s="16"/>
      <c r="E924" s="16"/>
      <c r="F924" s="16"/>
      <c r="G924" s="16"/>
      <c r="H924" s="16"/>
      <c r="I924" s="125"/>
      <c r="J924" s="16"/>
      <c r="K924" s="13"/>
      <c r="L924" s="13"/>
      <c r="M924" s="13"/>
      <c r="N924" s="16"/>
      <c r="O924" s="16"/>
      <c r="P924" s="16"/>
      <c r="Q924" s="16"/>
      <c r="R924" s="96"/>
      <c r="S924" s="96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6"/>
      <c r="B925" s="13"/>
      <c r="C925" s="16"/>
      <c r="D925" s="16"/>
      <c r="E925" s="16"/>
      <c r="F925" s="16"/>
      <c r="G925" s="16"/>
      <c r="H925" s="16"/>
      <c r="I925" s="125"/>
      <c r="J925" s="16"/>
      <c r="K925" s="13"/>
      <c r="L925" s="13"/>
      <c r="M925" s="13"/>
      <c r="N925" s="16"/>
      <c r="O925" s="16"/>
      <c r="P925" s="16"/>
      <c r="Q925" s="16"/>
      <c r="R925" s="96"/>
      <c r="S925" s="96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6"/>
      <c r="B926" s="13"/>
      <c r="C926" s="16"/>
      <c r="D926" s="16"/>
      <c r="E926" s="16"/>
      <c r="F926" s="16"/>
      <c r="G926" s="16"/>
      <c r="H926" s="16"/>
      <c r="I926" s="125"/>
      <c r="J926" s="16"/>
      <c r="K926" s="13"/>
      <c r="L926" s="13"/>
      <c r="M926" s="13"/>
      <c r="N926" s="16"/>
      <c r="O926" s="16"/>
      <c r="P926" s="16"/>
      <c r="Q926" s="16"/>
      <c r="R926" s="96"/>
      <c r="S926" s="96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6"/>
      <c r="B927" s="13"/>
      <c r="C927" s="16"/>
      <c r="D927" s="16"/>
      <c r="E927" s="16"/>
      <c r="F927" s="16"/>
      <c r="G927" s="16"/>
      <c r="H927" s="16"/>
      <c r="I927" s="125"/>
      <c r="J927" s="16"/>
      <c r="K927" s="13"/>
      <c r="L927" s="13"/>
      <c r="M927" s="13"/>
      <c r="N927" s="16"/>
      <c r="O927" s="16"/>
      <c r="P927" s="16"/>
      <c r="Q927" s="16"/>
      <c r="R927" s="96"/>
      <c r="S927" s="96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6"/>
      <c r="B928" s="13"/>
      <c r="C928" s="16"/>
      <c r="D928" s="16"/>
      <c r="E928" s="16"/>
      <c r="F928" s="16"/>
      <c r="G928" s="16"/>
      <c r="H928" s="16"/>
      <c r="I928" s="125"/>
      <c r="J928" s="16"/>
      <c r="K928" s="13"/>
      <c r="L928" s="13"/>
      <c r="M928" s="13"/>
      <c r="N928" s="16"/>
      <c r="O928" s="16"/>
      <c r="P928" s="16"/>
      <c r="Q928" s="16"/>
      <c r="R928" s="96"/>
      <c r="S928" s="96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6"/>
      <c r="B929" s="13"/>
      <c r="C929" s="16"/>
      <c r="D929" s="16"/>
      <c r="E929" s="16"/>
      <c r="F929" s="16"/>
      <c r="G929" s="16"/>
      <c r="H929" s="16"/>
      <c r="I929" s="125"/>
      <c r="J929" s="16"/>
      <c r="K929" s="13"/>
      <c r="L929" s="13"/>
      <c r="M929" s="13"/>
      <c r="N929" s="16"/>
      <c r="O929" s="16"/>
      <c r="P929" s="16"/>
      <c r="Q929" s="16"/>
      <c r="R929" s="96"/>
      <c r="S929" s="96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6"/>
      <c r="B930" s="13"/>
      <c r="C930" s="16"/>
      <c r="D930" s="16"/>
      <c r="E930" s="16"/>
      <c r="F930" s="16"/>
      <c r="G930" s="16"/>
      <c r="H930" s="16"/>
      <c r="I930" s="125"/>
      <c r="J930" s="16"/>
      <c r="K930" s="13"/>
      <c r="L930" s="13"/>
      <c r="M930" s="13"/>
      <c r="N930" s="16"/>
      <c r="O930" s="16"/>
      <c r="P930" s="16"/>
      <c r="Q930" s="16"/>
      <c r="R930" s="96"/>
      <c r="S930" s="96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6"/>
      <c r="B931" s="13"/>
      <c r="C931" s="16"/>
      <c r="D931" s="16"/>
      <c r="E931" s="16"/>
      <c r="F931" s="16"/>
      <c r="G931" s="16"/>
      <c r="H931" s="16"/>
      <c r="I931" s="125"/>
      <c r="J931" s="16"/>
      <c r="K931" s="13"/>
      <c r="L931" s="13"/>
      <c r="M931" s="13"/>
      <c r="N931" s="16"/>
      <c r="O931" s="16"/>
      <c r="P931" s="16"/>
      <c r="Q931" s="16"/>
      <c r="R931" s="96"/>
      <c r="S931" s="96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6"/>
      <c r="B932" s="13"/>
      <c r="C932" s="16"/>
      <c r="D932" s="16"/>
      <c r="E932" s="16"/>
      <c r="F932" s="16"/>
      <c r="G932" s="16"/>
      <c r="H932" s="16"/>
      <c r="I932" s="125"/>
      <c r="J932" s="16"/>
      <c r="K932" s="13"/>
      <c r="L932" s="13"/>
      <c r="M932" s="13"/>
      <c r="N932" s="16"/>
      <c r="O932" s="16"/>
      <c r="P932" s="16"/>
      <c r="Q932" s="16"/>
      <c r="R932" s="96"/>
      <c r="S932" s="96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6"/>
      <c r="B933" s="13"/>
      <c r="C933" s="16"/>
      <c r="D933" s="16"/>
      <c r="E933" s="16"/>
      <c r="F933" s="16"/>
      <c r="G933" s="16"/>
      <c r="H933" s="16"/>
      <c r="I933" s="125"/>
      <c r="J933" s="16"/>
      <c r="K933" s="13"/>
      <c r="L933" s="13"/>
      <c r="M933" s="13"/>
      <c r="N933" s="16"/>
      <c r="O933" s="16"/>
      <c r="P933" s="16"/>
      <c r="Q933" s="16"/>
      <c r="R933" s="96"/>
      <c r="S933" s="96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6"/>
      <c r="B934" s="13"/>
      <c r="C934" s="16"/>
      <c r="D934" s="16"/>
      <c r="E934" s="16"/>
      <c r="F934" s="16"/>
      <c r="G934" s="16"/>
      <c r="H934" s="16"/>
      <c r="I934" s="125"/>
      <c r="J934" s="16"/>
      <c r="K934" s="13"/>
      <c r="L934" s="13"/>
      <c r="M934" s="13"/>
      <c r="N934" s="16"/>
      <c r="O934" s="16"/>
      <c r="P934" s="16"/>
      <c r="Q934" s="16"/>
      <c r="R934" s="96"/>
      <c r="S934" s="96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6"/>
      <c r="B935" s="13"/>
      <c r="C935" s="16"/>
      <c r="D935" s="16"/>
      <c r="E935" s="16"/>
      <c r="F935" s="16"/>
      <c r="G935" s="16"/>
      <c r="H935" s="16"/>
      <c r="I935" s="125"/>
      <c r="J935" s="16"/>
      <c r="K935" s="13"/>
      <c r="L935" s="13"/>
      <c r="M935" s="13"/>
      <c r="N935" s="16"/>
      <c r="O935" s="16"/>
      <c r="P935" s="16"/>
      <c r="Q935" s="16"/>
      <c r="R935" s="96"/>
      <c r="S935" s="96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6"/>
      <c r="B936" s="13"/>
      <c r="C936" s="16"/>
      <c r="D936" s="16"/>
      <c r="E936" s="16"/>
      <c r="F936" s="16"/>
      <c r="G936" s="16"/>
      <c r="H936" s="16"/>
      <c r="I936" s="125"/>
      <c r="J936" s="16"/>
      <c r="K936" s="13"/>
      <c r="L936" s="13"/>
      <c r="M936" s="13"/>
      <c r="N936" s="16"/>
      <c r="O936" s="16"/>
      <c r="P936" s="16"/>
      <c r="Q936" s="16"/>
      <c r="R936" s="96"/>
      <c r="S936" s="96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6"/>
      <c r="B937" s="13"/>
      <c r="C937" s="16"/>
      <c r="D937" s="16"/>
      <c r="E937" s="16"/>
      <c r="F937" s="16"/>
      <c r="G937" s="16"/>
      <c r="H937" s="16"/>
      <c r="I937" s="125"/>
      <c r="J937" s="16"/>
      <c r="K937" s="13"/>
      <c r="L937" s="13"/>
      <c r="M937" s="13"/>
      <c r="N937" s="16"/>
      <c r="O937" s="16"/>
      <c r="P937" s="16"/>
      <c r="Q937" s="16"/>
      <c r="R937" s="96"/>
      <c r="S937" s="96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6"/>
      <c r="B938" s="13"/>
      <c r="C938" s="16"/>
      <c r="D938" s="16"/>
      <c r="E938" s="16"/>
      <c r="F938" s="16"/>
      <c r="G938" s="16"/>
      <c r="H938" s="16"/>
      <c r="I938" s="125"/>
      <c r="J938" s="16"/>
      <c r="K938" s="13"/>
      <c r="L938" s="13"/>
      <c r="M938" s="13"/>
      <c r="N938" s="16"/>
      <c r="O938" s="16"/>
      <c r="P938" s="16"/>
      <c r="Q938" s="16"/>
      <c r="R938" s="96"/>
      <c r="S938" s="96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6"/>
      <c r="B939" s="13"/>
      <c r="C939" s="16"/>
      <c r="D939" s="16"/>
      <c r="E939" s="16"/>
      <c r="F939" s="16"/>
      <c r="G939" s="16"/>
      <c r="H939" s="16"/>
      <c r="I939" s="125"/>
      <c r="J939" s="16"/>
      <c r="K939" s="13"/>
      <c r="L939" s="13"/>
      <c r="M939" s="13"/>
      <c r="N939" s="16"/>
      <c r="O939" s="16"/>
      <c r="P939" s="16"/>
      <c r="Q939" s="16"/>
      <c r="R939" s="96"/>
      <c r="S939" s="96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6"/>
      <c r="B940" s="13"/>
      <c r="C940" s="16"/>
      <c r="D940" s="16"/>
      <c r="E940" s="16"/>
      <c r="F940" s="16"/>
      <c r="G940" s="16"/>
      <c r="H940" s="16"/>
      <c r="I940" s="125"/>
      <c r="J940" s="16"/>
      <c r="K940" s="13"/>
      <c r="L940" s="13"/>
      <c r="M940" s="13"/>
      <c r="N940" s="16"/>
      <c r="O940" s="16"/>
      <c r="P940" s="16"/>
      <c r="Q940" s="16"/>
      <c r="R940" s="96"/>
      <c r="S940" s="96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6"/>
      <c r="B941" s="13"/>
      <c r="C941" s="16"/>
      <c r="D941" s="16"/>
      <c r="E941" s="16"/>
      <c r="F941" s="16"/>
      <c r="G941" s="16"/>
      <c r="H941" s="16"/>
      <c r="I941" s="125"/>
      <c r="J941" s="16"/>
      <c r="K941" s="13"/>
      <c r="L941" s="13"/>
      <c r="M941" s="13"/>
      <c r="N941" s="16"/>
      <c r="O941" s="16"/>
      <c r="P941" s="16"/>
      <c r="Q941" s="16"/>
      <c r="R941" s="96"/>
      <c r="S941" s="96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6"/>
      <c r="B942" s="13"/>
      <c r="C942" s="16"/>
      <c r="D942" s="16"/>
      <c r="E942" s="16"/>
      <c r="F942" s="16"/>
      <c r="G942" s="16"/>
      <c r="H942" s="16"/>
      <c r="I942" s="125"/>
      <c r="J942" s="16"/>
      <c r="K942" s="13"/>
      <c r="L942" s="13"/>
      <c r="M942" s="13"/>
      <c r="N942" s="16"/>
      <c r="O942" s="16"/>
      <c r="P942" s="16"/>
      <c r="Q942" s="16"/>
      <c r="R942" s="96"/>
      <c r="S942" s="96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6"/>
      <c r="B943" s="13"/>
      <c r="C943" s="16"/>
      <c r="D943" s="16"/>
      <c r="E943" s="16"/>
      <c r="F943" s="16"/>
      <c r="G943" s="16"/>
      <c r="H943" s="16"/>
      <c r="I943" s="125"/>
      <c r="J943" s="16"/>
      <c r="K943" s="13"/>
      <c r="L943" s="13"/>
      <c r="M943" s="13"/>
      <c r="N943" s="16"/>
      <c r="O943" s="16"/>
      <c r="P943" s="16"/>
      <c r="Q943" s="16"/>
      <c r="R943" s="96"/>
      <c r="S943" s="96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6"/>
      <c r="B944" s="13"/>
      <c r="C944" s="16"/>
      <c r="D944" s="16"/>
      <c r="E944" s="16"/>
      <c r="F944" s="16"/>
      <c r="G944" s="16"/>
      <c r="H944" s="16"/>
      <c r="I944" s="125"/>
      <c r="J944" s="16"/>
      <c r="K944" s="13"/>
      <c r="L944" s="13"/>
      <c r="M944" s="13"/>
      <c r="N944" s="16"/>
      <c r="O944" s="16"/>
      <c r="P944" s="16"/>
      <c r="Q944" s="16"/>
      <c r="R944" s="96"/>
      <c r="S944" s="96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6"/>
      <c r="B945" s="13"/>
      <c r="C945" s="16"/>
      <c r="D945" s="16"/>
      <c r="E945" s="16"/>
      <c r="F945" s="16"/>
      <c r="G945" s="16"/>
      <c r="H945" s="16"/>
      <c r="I945" s="125"/>
      <c r="J945" s="16"/>
      <c r="K945" s="13"/>
      <c r="L945" s="13"/>
      <c r="M945" s="13"/>
      <c r="N945" s="16"/>
      <c r="O945" s="16"/>
      <c r="P945" s="16"/>
      <c r="Q945" s="16"/>
      <c r="R945" s="96"/>
      <c r="S945" s="96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6"/>
      <c r="B946" s="13"/>
      <c r="C946" s="16"/>
      <c r="D946" s="16"/>
      <c r="E946" s="16"/>
      <c r="F946" s="16"/>
      <c r="G946" s="16"/>
      <c r="H946" s="16"/>
      <c r="I946" s="125"/>
      <c r="J946" s="16"/>
      <c r="K946" s="13"/>
      <c r="L946" s="13"/>
      <c r="M946" s="13"/>
      <c r="N946" s="16"/>
      <c r="O946" s="16"/>
      <c r="P946" s="16"/>
      <c r="Q946" s="16"/>
      <c r="R946" s="96"/>
      <c r="S946" s="96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6"/>
      <c r="B947" s="13"/>
      <c r="C947" s="16"/>
      <c r="D947" s="16"/>
      <c r="E947" s="16"/>
      <c r="F947" s="16"/>
      <c r="G947" s="16"/>
      <c r="H947" s="16"/>
      <c r="I947" s="125"/>
      <c r="J947" s="16"/>
      <c r="K947" s="13"/>
      <c r="L947" s="13"/>
      <c r="M947" s="13"/>
      <c r="N947" s="16"/>
      <c r="O947" s="16"/>
      <c r="P947" s="16"/>
      <c r="Q947" s="16"/>
      <c r="R947" s="96"/>
      <c r="S947" s="96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6"/>
      <c r="B948" s="13"/>
      <c r="C948" s="16"/>
      <c r="D948" s="16"/>
      <c r="E948" s="16"/>
      <c r="F948" s="16"/>
      <c r="G948" s="16"/>
      <c r="H948" s="16"/>
      <c r="I948" s="125"/>
      <c r="J948" s="16"/>
      <c r="K948" s="13"/>
      <c r="L948" s="13"/>
      <c r="M948" s="13"/>
      <c r="N948" s="16"/>
      <c r="O948" s="16"/>
      <c r="P948" s="16"/>
      <c r="Q948" s="16"/>
      <c r="R948" s="96"/>
      <c r="S948" s="96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6"/>
      <c r="B949" s="13"/>
      <c r="C949" s="16"/>
      <c r="D949" s="16"/>
      <c r="E949" s="16"/>
      <c r="F949" s="16"/>
      <c r="G949" s="16"/>
      <c r="H949" s="16"/>
      <c r="I949" s="125"/>
      <c r="J949" s="16"/>
      <c r="K949" s="13"/>
      <c r="L949" s="13"/>
      <c r="M949" s="13"/>
      <c r="N949" s="16"/>
      <c r="O949" s="16"/>
      <c r="P949" s="16"/>
      <c r="Q949" s="16"/>
      <c r="R949" s="96"/>
      <c r="S949" s="96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6"/>
      <c r="B950" s="13"/>
      <c r="C950" s="16"/>
      <c r="D950" s="16"/>
      <c r="E950" s="16"/>
      <c r="F950" s="16"/>
      <c r="G950" s="16"/>
      <c r="H950" s="16"/>
      <c r="I950" s="125"/>
      <c r="J950" s="16"/>
      <c r="K950" s="13"/>
      <c r="L950" s="13"/>
      <c r="M950" s="13"/>
      <c r="N950" s="16"/>
      <c r="O950" s="16"/>
      <c r="P950" s="16"/>
      <c r="Q950" s="16"/>
      <c r="R950" s="96"/>
      <c r="S950" s="96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6"/>
      <c r="B951" s="13"/>
      <c r="C951" s="16"/>
      <c r="D951" s="16"/>
      <c r="E951" s="16"/>
      <c r="F951" s="16"/>
      <c r="G951" s="16"/>
      <c r="H951" s="16"/>
      <c r="I951" s="125"/>
      <c r="J951" s="16"/>
      <c r="K951" s="13"/>
      <c r="L951" s="13"/>
      <c r="M951" s="13"/>
      <c r="N951" s="16"/>
      <c r="O951" s="16"/>
      <c r="P951" s="16"/>
      <c r="Q951" s="16"/>
      <c r="R951" s="96"/>
      <c r="S951" s="96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6"/>
      <c r="B952" s="13"/>
      <c r="C952" s="16"/>
      <c r="D952" s="16"/>
      <c r="E952" s="16"/>
      <c r="F952" s="16"/>
      <c r="G952" s="16"/>
      <c r="H952" s="16"/>
      <c r="I952" s="125"/>
      <c r="J952" s="16"/>
      <c r="K952" s="13"/>
      <c r="L952" s="13"/>
      <c r="M952" s="13"/>
      <c r="N952" s="16"/>
      <c r="O952" s="16"/>
      <c r="P952" s="16"/>
      <c r="Q952" s="16"/>
      <c r="R952" s="96"/>
      <c r="S952" s="96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6"/>
      <c r="B953" s="13"/>
      <c r="C953" s="16"/>
      <c r="D953" s="16"/>
      <c r="E953" s="16"/>
      <c r="F953" s="16"/>
      <c r="G953" s="16"/>
      <c r="H953" s="16"/>
      <c r="I953" s="125"/>
      <c r="J953" s="16"/>
      <c r="K953" s="13"/>
      <c r="L953" s="13"/>
      <c r="M953" s="13"/>
      <c r="N953" s="16"/>
      <c r="O953" s="16"/>
      <c r="P953" s="16"/>
      <c r="Q953" s="16"/>
      <c r="R953" s="96"/>
      <c r="S953" s="96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6"/>
      <c r="B954" s="13"/>
      <c r="C954" s="16"/>
      <c r="D954" s="16"/>
      <c r="E954" s="16"/>
      <c r="F954" s="16"/>
      <c r="G954" s="16"/>
      <c r="H954" s="16"/>
      <c r="I954" s="125"/>
      <c r="J954" s="16"/>
      <c r="K954" s="13"/>
      <c r="L954" s="13"/>
      <c r="M954" s="13"/>
      <c r="N954" s="16"/>
      <c r="O954" s="16"/>
      <c r="P954" s="16"/>
      <c r="Q954" s="16"/>
      <c r="R954" s="96"/>
      <c r="S954" s="96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6"/>
      <c r="B955" s="13"/>
      <c r="C955" s="16"/>
      <c r="D955" s="16"/>
      <c r="E955" s="16"/>
      <c r="F955" s="16"/>
      <c r="G955" s="16"/>
      <c r="H955" s="16"/>
      <c r="I955" s="125"/>
      <c r="J955" s="16"/>
      <c r="K955" s="13"/>
      <c r="L955" s="13"/>
      <c r="M955" s="13"/>
      <c r="N955" s="16"/>
      <c r="O955" s="16"/>
      <c r="P955" s="16"/>
      <c r="Q955" s="16"/>
      <c r="R955" s="96"/>
      <c r="S955" s="96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6"/>
      <c r="B956" s="13"/>
      <c r="C956" s="16"/>
      <c r="D956" s="16"/>
      <c r="E956" s="16"/>
      <c r="F956" s="16"/>
      <c r="G956" s="16"/>
      <c r="H956" s="16"/>
      <c r="I956" s="125"/>
      <c r="J956" s="16"/>
      <c r="K956" s="13"/>
      <c r="L956" s="13"/>
      <c r="M956" s="13"/>
      <c r="N956" s="16"/>
      <c r="O956" s="16"/>
      <c r="P956" s="16"/>
      <c r="Q956" s="16"/>
      <c r="R956" s="96"/>
      <c r="S956" s="96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6"/>
      <c r="B957" s="13"/>
      <c r="C957" s="16"/>
      <c r="D957" s="16"/>
      <c r="E957" s="16"/>
      <c r="F957" s="16"/>
      <c r="G957" s="16"/>
      <c r="H957" s="16"/>
      <c r="I957" s="125"/>
      <c r="J957" s="16"/>
      <c r="K957" s="13"/>
      <c r="L957" s="13"/>
      <c r="M957" s="13"/>
      <c r="N957" s="16"/>
      <c r="O957" s="16"/>
      <c r="P957" s="16"/>
      <c r="Q957" s="16"/>
      <c r="R957" s="96"/>
      <c r="S957" s="96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6"/>
      <c r="B958" s="13"/>
      <c r="C958" s="16"/>
      <c r="D958" s="16"/>
      <c r="E958" s="16"/>
      <c r="F958" s="16"/>
      <c r="G958" s="16"/>
      <c r="H958" s="16"/>
      <c r="I958" s="125"/>
      <c r="J958" s="16"/>
      <c r="K958" s="13"/>
      <c r="L958" s="13"/>
      <c r="M958" s="13"/>
      <c r="N958" s="16"/>
      <c r="O958" s="16"/>
      <c r="P958" s="16"/>
      <c r="Q958" s="16"/>
      <c r="R958" s="96"/>
      <c r="S958" s="96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6"/>
      <c r="B959" s="13"/>
      <c r="C959" s="16"/>
      <c r="D959" s="16"/>
      <c r="E959" s="16"/>
      <c r="F959" s="16"/>
      <c r="G959" s="16"/>
      <c r="H959" s="16"/>
      <c r="I959" s="125"/>
      <c r="J959" s="16"/>
      <c r="K959" s="13"/>
      <c r="L959" s="13"/>
      <c r="M959" s="13"/>
      <c r="N959" s="16"/>
      <c r="O959" s="16"/>
      <c r="P959" s="16"/>
      <c r="Q959" s="16"/>
      <c r="R959" s="96"/>
      <c r="S959" s="96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6"/>
      <c r="B960" s="13"/>
      <c r="C960" s="16"/>
      <c r="D960" s="16"/>
      <c r="E960" s="16"/>
      <c r="F960" s="16"/>
      <c r="G960" s="16"/>
      <c r="H960" s="16"/>
      <c r="I960" s="125"/>
      <c r="J960" s="16"/>
      <c r="K960" s="13"/>
      <c r="L960" s="13"/>
      <c r="M960" s="13"/>
      <c r="N960" s="16"/>
      <c r="O960" s="16"/>
      <c r="P960" s="16"/>
      <c r="Q960" s="16"/>
      <c r="R960" s="96"/>
      <c r="S960" s="96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6"/>
      <c r="B961" s="13"/>
      <c r="C961" s="16"/>
      <c r="D961" s="16"/>
      <c r="E961" s="16"/>
      <c r="F961" s="16"/>
      <c r="G961" s="16"/>
      <c r="H961" s="16"/>
      <c r="I961" s="125"/>
      <c r="J961" s="16"/>
      <c r="K961" s="13"/>
      <c r="L961" s="13"/>
      <c r="M961" s="13"/>
      <c r="N961" s="16"/>
      <c r="O961" s="16"/>
      <c r="P961" s="16"/>
      <c r="Q961" s="16"/>
      <c r="R961" s="96"/>
      <c r="S961" s="96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6"/>
      <c r="B962" s="13"/>
      <c r="C962" s="16"/>
      <c r="D962" s="16"/>
      <c r="E962" s="16"/>
      <c r="F962" s="16"/>
      <c r="G962" s="16"/>
      <c r="H962" s="16"/>
      <c r="I962" s="125"/>
      <c r="J962" s="16"/>
      <c r="K962" s="13"/>
      <c r="L962" s="13"/>
      <c r="M962" s="13"/>
      <c r="N962" s="16"/>
      <c r="O962" s="16"/>
      <c r="P962" s="16"/>
      <c r="Q962" s="16"/>
      <c r="R962" s="96"/>
      <c r="S962" s="96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6"/>
      <c r="B963" s="13"/>
      <c r="C963" s="16"/>
      <c r="D963" s="16"/>
      <c r="E963" s="16"/>
      <c r="F963" s="16"/>
      <c r="G963" s="16"/>
      <c r="H963" s="16"/>
      <c r="I963" s="125"/>
      <c r="J963" s="16"/>
      <c r="K963" s="13"/>
      <c r="L963" s="13"/>
      <c r="M963" s="13"/>
      <c r="N963" s="16"/>
      <c r="O963" s="16"/>
      <c r="P963" s="16"/>
      <c r="Q963" s="16"/>
      <c r="R963" s="96"/>
      <c r="S963" s="96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6"/>
      <c r="B964" s="13"/>
      <c r="C964" s="16"/>
      <c r="D964" s="16"/>
      <c r="E964" s="16"/>
      <c r="F964" s="16"/>
      <c r="G964" s="16"/>
      <c r="H964" s="16"/>
      <c r="I964" s="125"/>
      <c r="J964" s="16"/>
      <c r="K964" s="13"/>
      <c r="L964" s="13"/>
      <c r="M964" s="13"/>
      <c r="N964" s="16"/>
      <c r="O964" s="16"/>
      <c r="P964" s="16"/>
      <c r="Q964" s="16"/>
      <c r="R964" s="96"/>
      <c r="S964" s="96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6"/>
      <c r="B965" s="13"/>
      <c r="C965" s="16"/>
      <c r="D965" s="16"/>
      <c r="E965" s="16"/>
      <c r="F965" s="16"/>
      <c r="G965" s="16"/>
      <c r="H965" s="16"/>
      <c r="I965" s="125"/>
      <c r="J965" s="16"/>
      <c r="K965" s="13"/>
      <c r="L965" s="13"/>
      <c r="M965" s="13"/>
      <c r="N965" s="16"/>
      <c r="O965" s="16"/>
      <c r="P965" s="16"/>
      <c r="Q965" s="16"/>
      <c r="R965" s="96"/>
      <c r="S965" s="96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6"/>
      <c r="B966" s="13"/>
      <c r="C966" s="16"/>
      <c r="D966" s="16"/>
      <c r="E966" s="16"/>
      <c r="F966" s="16"/>
      <c r="G966" s="16"/>
      <c r="H966" s="16"/>
      <c r="I966" s="125"/>
      <c r="J966" s="16"/>
      <c r="K966" s="13"/>
      <c r="L966" s="13"/>
      <c r="M966" s="13"/>
      <c r="N966" s="16"/>
      <c r="O966" s="16"/>
      <c r="P966" s="16"/>
      <c r="Q966" s="16"/>
      <c r="R966" s="96"/>
      <c r="S966" s="96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6"/>
      <c r="B967" s="13"/>
      <c r="C967" s="16"/>
      <c r="D967" s="16"/>
      <c r="E967" s="16"/>
      <c r="F967" s="16"/>
      <c r="G967" s="16"/>
      <c r="H967" s="16"/>
      <c r="I967" s="125"/>
      <c r="J967" s="16"/>
      <c r="K967" s="13"/>
      <c r="L967" s="13"/>
      <c r="M967" s="13"/>
      <c r="N967" s="16"/>
      <c r="O967" s="16"/>
      <c r="P967" s="16"/>
      <c r="Q967" s="16"/>
      <c r="R967" s="96"/>
      <c r="S967" s="96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6"/>
      <c r="B968" s="13"/>
      <c r="C968" s="16"/>
      <c r="D968" s="16"/>
      <c r="E968" s="16"/>
      <c r="F968" s="16"/>
      <c r="G968" s="16"/>
      <c r="H968" s="16"/>
      <c r="I968" s="125"/>
      <c r="J968" s="16"/>
      <c r="K968" s="13"/>
      <c r="L968" s="13"/>
      <c r="M968" s="13"/>
      <c r="N968" s="16"/>
      <c r="O968" s="16"/>
      <c r="P968" s="16"/>
      <c r="Q968" s="16"/>
      <c r="R968" s="96"/>
      <c r="S968" s="96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6"/>
      <c r="B969" s="13"/>
      <c r="C969" s="16"/>
      <c r="D969" s="16"/>
      <c r="E969" s="16"/>
      <c r="F969" s="16"/>
      <c r="G969" s="16"/>
      <c r="H969" s="16"/>
      <c r="I969" s="125"/>
      <c r="J969" s="16"/>
      <c r="K969" s="13"/>
      <c r="L969" s="13"/>
      <c r="M969" s="13"/>
      <c r="N969" s="16"/>
      <c r="O969" s="16"/>
      <c r="P969" s="16"/>
      <c r="Q969" s="16"/>
      <c r="R969" s="96"/>
      <c r="S969" s="96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6"/>
      <c r="B970" s="13"/>
      <c r="C970" s="16"/>
      <c r="D970" s="16"/>
      <c r="E970" s="16"/>
      <c r="F970" s="16"/>
      <c r="G970" s="16"/>
      <c r="H970" s="16"/>
      <c r="I970" s="125"/>
      <c r="J970" s="16"/>
      <c r="K970" s="13"/>
      <c r="L970" s="13"/>
      <c r="M970" s="13"/>
      <c r="N970" s="16"/>
      <c r="O970" s="16"/>
      <c r="P970" s="16"/>
      <c r="Q970" s="16"/>
      <c r="R970" s="96"/>
      <c r="S970" s="96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6"/>
      <c r="B971" s="13"/>
      <c r="C971" s="16"/>
      <c r="D971" s="16"/>
      <c r="E971" s="16"/>
      <c r="F971" s="16"/>
      <c r="G971" s="16"/>
      <c r="H971" s="16"/>
      <c r="I971" s="125"/>
      <c r="J971" s="16"/>
      <c r="K971" s="13"/>
      <c r="L971" s="13"/>
      <c r="M971" s="13"/>
      <c r="N971" s="16"/>
      <c r="O971" s="16"/>
      <c r="P971" s="16"/>
      <c r="Q971" s="16"/>
      <c r="R971" s="96"/>
      <c r="S971" s="96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6"/>
      <c r="B972" s="13"/>
      <c r="C972" s="16"/>
      <c r="D972" s="16"/>
      <c r="E972" s="16"/>
      <c r="F972" s="16"/>
      <c r="G972" s="16"/>
      <c r="H972" s="16"/>
      <c r="I972" s="125"/>
      <c r="J972" s="16"/>
      <c r="K972" s="13"/>
      <c r="L972" s="13"/>
      <c r="M972" s="13"/>
      <c r="N972" s="16"/>
      <c r="O972" s="16"/>
      <c r="P972" s="16"/>
      <c r="Q972" s="16"/>
      <c r="R972" s="96"/>
      <c r="S972" s="96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6"/>
      <c r="B973" s="13"/>
      <c r="C973" s="16"/>
      <c r="D973" s="16"/>
      <c r="E973" s="16"/>
      <c r="F973" s="16"/>
      <c r="G973" s="16"/>
      <c r="H973" s="16"/>
      <c r="I973" s="125"/>
      <c r="J973" s="16"/>
      <c r="K973" s="13"/>
      <c r="L973" s="13"/>
      <c r="M973" s="13"/>
      <c r="N973" s="16"/>
      <c r="O973" s="16"/>
      <c r="P973" s="16"/>
      <c r="Q973" s="16"/>
      <c r="R973" s="96"/>
      <c r="S973" s="96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6"/>
      <c r="B974" s="13"/>
      <c r="C974" s="16"/>
      <c r="D974" s="16"/>
      <c r="E974" s="16"/>
      <c r="F974" s="16"/>
      <c r="G974" s="16"/>
      <c r="H974" s="16"/>
      <c r="I974" s="125"/>
      <c r="J974" s="16"/>
      <c r="K974" s="13"/>
      <c r="L974" s="13"/>
      <c r="M974" s="13"/>
      <c r="N974" s="16"/>
      <c r="O974" s="16"/>
      <c r="P974" s="16"/>
      <c r="Q974" s="16"/>
      <c r="R974" s="96"/>
      <c r="S974" s="96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6"/>
      <c r="B975" s="13"/>
      <c r="C975" s="16"/>
      <c r="D975" s="16"/>
      <c r="E975" s="16"/>
      <c r="F975" s="16"/>
      <c r="G975" s="16"/>
      <c r="H975" s="16"/>
      <c r="I975" s="125"/>
      <c r="J975" s="16"/>
      <c r="K975" s="13"/>
      <c r="L975" s="13"/>
      <c r="M975" s="13"/>
      <c r="N975" s="16"/>
      <c r="O975" s="16"/>
      <c r="P975" s="16"/>
      <c r="Q975" s="16"/>
      <c r="R975" s="96"/>
      <c r="S975" s="96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6"/>
      <c r="B976" s="13"/>
      <c r="C976" s="16"/>
      <c r="D976" s="16"/>
      <c r="E976" s="16"/>
      <c r="F976" s="16"/>
      <c r="G976" s="16"/>
      <c r="H976" s="16"/>
      <c r="I976" s="125"/>
      <c r="J976" s="16"/>
      <c r="K976" s="13"/>
      <c r="L976" s="13"/>
      <c r="M976" s="13"/>
      <c r="N976" s="16"/>
      <c r="O976" s="16"/>
      <c r="P976" s="16"/>
      <c r="Q976" s="16"/>
      <c r="R976" s="96"/>
      <c r="S976" s="96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6"/>
      <c r="B977" s="13"/>
      <c r="C977" s="16"/>
      <c r="D977" s="16"/>
      <c r="E977" s="16"/>
      <c r="F977" s="16"/>
      <c r="G977" s="16"/>
      <c r="H977" s="16"/>
      <c r="I977" s="125"/>
      <c r="J977" s="16"/>
      <c r="K977" s="13"/>
      <c r="L977" s="13"/>
      <c r="M977" s="13"/>
      <c r="N977" s="16"/>
      <c r="O977" s="16"/>
      <c r="P977" s="16"/>
      <c r="Q977" s="16"/>
      <c r="R977" s="96"/>
      <c r="S977" s="96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6"/>
      <c r="B978" s="13"/>
      <c r="C978" s="16"/>
      <c r="D978" s="16"/>
      <c r="E978" s="16"/>
      <c r="F978" s="16"/>
      <c r="G978" s="16"/>
      <c r="H978" s="16"/>
      <c r="I978" s="125"/>
      <c r="J978" s="16"/>
      <c r="K978" s="13"/>
      <c r="L978" s="13"/>
      <c r="M978" s="13"/>
      <c r="N978" s="16"/>
      <c r="O978" s="16"/>
      <c r="P978" s="16"/>
      <c r="Q978" s="16"/>
      <c r="R978" s="96"/>
      <c r="S978" s="96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6"/>
      <c r="B979" s="13"/>
      <c r="C979" s="16"/>
      <c r="D979" s="16"/>
      <c r="E979" s="16"/>
      <c r="F979" s="16"/>
      <c r="G979" s="16"/>
      <c r="H979" s="16"/>
      <c r="I979" s="125"/>
      <c r="J979" s="16"/>
      <c r="K979" s="13"/>
      <c r="L979" s="13"/>
      <c r="M979" s="13"/>
      <c r="N979" s="16"/>
      <c r="O979" s="16"/>
      <c r="P979" s="16"/>
      <c r="Q979" s="16"/>
      <c r="R979" s="96"/>
      <c r="S979" s="96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6"/>
      <c r="B980" s="13"/>
      <c r="C980" s="16"/>
      <c r="D980" s="16"/>
      <c r="E980" s="16"/>
      <c r="F980" s="16"/>
      <c r="G980" s="16"/>
      <c r="H980" s="16"/>
      <c r="I980" s="125"/>
      <c r="J980" s="16"/>
      <c r="K980" s="13"/>
      <c r="L980" s="13"/>
      <c r="M980" s="13"/>
      <c r="N980" s="16"/>
      <c r="O980" s="16"/>
      <c r="P980" s="16"/>
      <c r="Q980" s="16"/>
      <c r="R980" s="96"/>
      <c r="S980" s="96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6"/>
      <c r="B981" s="13"/>
      <c r="C981" s="16"/>
      <c r="D981" s="16"/>
      <c r="E981" s="16"/>
      <c r="F981" s="16"/>
      <c r="G981" s="16"/>
      <c r="H981" s="16"/>
      <c r="I981" s="125"/>
      <c r="J981" s="16"/>
      <c r="K981" s="13"/>
      <c r="L981" s="13"/>
      <c r="M981" s="13"/>
      <c r="N981" s="16"/>
      <c r="O981" s="16"/>
      <c r="P981" s="16"/>
      <c r="Q981" s="16"/>
      <c r="R981" s="96"/>
      <c r="S981" s="96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6"/>
      <c r="B982" s="13"/>
      <c r="C982" s="16"/>
      <c r="D982" s="16"/>
      <c r="E982" s="16"/>
      <c r="F982" s="16"/>
      <c r="G982" s="16"/>
      <c r="H982" s="16"/>
      <c r="I982" s="125"/>
      <c r="J982" s="16"/>
      <c r="K982" s="13"/>
      <c r="L982" s="13"/>
      <c r="M982" s="13"/>
      <c r="N982" s="16"/>
      <c r="O982" s="16"/>
      <c r="P982" s="16"/>
      <c r="Q982" s="16"/>
      <c r="R982" s="96"/>
      <c r="S982" s="96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6"/>
      <c r="B983" s="13"/>
      <c r="C983" s="16"/>
      <c r="D983" s="16"/>
      <c r="E983" s="16"/>
      <c r="F983" s="16"/>
      <c r="G983" s="16"/>
      <c r="H983" s="16"/>
      <c r="I983" s="125"/>
      <c r="J983" s="16"/>
      <c r="K983" s="13"/>
      <c r="L983" s="13"/>
      <c r="M983" s="13"/>
      <c r="N983" s="16"/>
      <c r="O983" s="16"/>
      <c r="P983" s="16"/>
      <c r="Q983" s="16"/>
      <c r="R983" s="96"/>
      <c r="S983" s="96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6"/>
      <c r="B984" s="13"/>
      <c r="C984" s="16"/>
      <c r="D984" s="16"/>
      <c r="E984" s="16"/>
      <c r="F984" s="16"/>
      <c r="G984" s="16"/>
      <c r="H984" s="16"/>
      <c r="I984" s="125"/>
      <c r="J984" s="16"/>
      <c r="K984" s="13"/>
      <c r="L984" s="13"/>
      <c r="M984" s="13"/>
      <c r="N984" s="16"/>
      <c r="O984" s="16"/>
      <c r="P984" s="16"/>
      <c r="Q984" s="16"/>
      <c r="R984" s="96"/>
      <c r="S984" s="96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6"/>
      <c r="B985" s="13"/>
      <c r="C985" s="16"/>
      <c r="D985" s="16"/>
      <c r="E985" s="16"/>
      <c r="F985" s="16"/>
      <c r="G985" s="16"/>
      <c r="H985" s="16"/>
      <c r="I985" s="125"/>
      <c r="J985" s="16"/>
      <c r="K985" s="13"/>
      <c r="L985" s="13"/>
      <c r="M985" s="13"/>
      <c r="N985" s="16"/>
      <c r="O985" s="16"/>
      <c r="P985" s="16"/>
      <c r="Q985" s="16"/>
      <c r="R985" s="96"/>
      <c r="S985" s="96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6"/>
      <c r="B986" s="13"/>
      <c r="C986" s="16"/>
      <c r="D986" s="16"/>
      <c r="E986" s="16"/>
      <c r="F986" s="16"/>
      <c r="G986" s="16"/>
      <c r="H986" s="16"/>
      <c r="I986" s="125"/>
      <c r="J986" s="16"/>
      <c r="K986" s="13"/>
      <c r="L986" s="13"/>
      <c r="M986" s="13"/>
      <c r="N986" s="16"/>
      <c r="O986" s="16"/>
      <c r="P986" s="16"/>
      <c r="Q986" s="16"/>
      <c r="R986" s="96"/>
      <c r="S986" s="96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6"/>
      <c r="B987" s="13"/>
      <c r="C987" s="16"/>
      <c r="D987" s="16"/>
      <c r="E987" s="16"/>
      <c r="F987" s="16"/>
      <c r="G987" s="16"/>
      <c r="H987" s="16"/>
      <c r="I987" s="125"/>
      <c r="J987" s="16"/>
      <c r="K987" s="13"/>
      <c r="L987" s="13"/>
      <c r="M987" s="13"/>
      <c r="N987" s="16"/>
      <c r="O987" s="16"/>
      <c r="P987" s="16"/>
      <c r="Q987" s="16"/>
      <c r="R987" s="96"/>
      <c r="S987" s="96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6"/>
      <c r="B988" s="13"/>
      <c r="C988" s="16"/>
      <c r="D988" s="16"/>
      <c r="E988" s="16"/>
      <c r="F988" s="16"/>
      <c r="G988" s="16"/>
      <c r="H988" s="16"/>
      <c r="I988" s="125"/>
      <c r="J988" s="16"/>
      <c r="K988" s="13"/>
      <c r="L988" s="13"/>
      <c r="M988" s="13"/>
      <c r="N988" s="16"/>
      <c r="O988" s="16"/>
      <c r="P988" s="16"/>
      <c r="Q988" s="16"/>
      <c r="R988" s="96"/>
      <c r="S988" s="96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6"/>
      <c r="B989" s="13"/>
      <c r="C989" s="16"/>
      <c r="D989" s="16"/>
      <c r="E989" s="16"/>
      <c r="F989" s="16"/>
      <c r="G989" s="16"/>
      <c r="H989" s="16"/>
      <c r="I989" s="125"/>
      <c r="J989" s="16"/>
      <c r="K989" s="13"/>
      <c r="L989" s="13"/>
      <c r="M989" s="13"/>
      <c r="N989" s="16"/>
      <c r="O989" s="16"/>
      <c r="P989" s="16"/>
      <c r="Q989" s="16"/>
      <c r="R989" s="96"/>
      <c r="S989" s="96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6"/>
      <c r="B990" s="13"/>
      <c r="C990" s="16"/>
      <c r="D990" s="16"/>
      <c r="E990" s="16"/>
      <c r="F990" s="16"/>
      <c r="G990" s="16"/>
      <c r="H990" s="16"/>
      <c r="I990" s="125"/>
      <c r="J990" s="16"/>
      <c r="K990" s="13"/>
      <c r="L990" s="13"/>
      <c r="M990" s="13"/>
      <c r="N990" s="16"/>
      <c r="O990" s="16"/>
      <c r="P990" s="16"/>
      <c r="Q990" s="16"/>
      <c r="R990" s="96"/>
      <c r="S990" s="96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6"/>
      <c r="B991" s="13"/>
      <c r="C991" s="16"/>
      <c r="D991" s="16"/>
      <c r="E991" s="16"/>
      <c r="F991" s="16"/>
      <c r="G991" s="16"/>
      <c r="H991" s="16"/>
      <c r="I991" s="125"/>
      <c r="J991" s="16"/>
      <c r="K991" s="13"/>
      <c r="L991" s="13"/>
      <c r="M991" s="13"/>
      <c r="N991" s="16"/>
      <c r="O991" s="16"/>
      <c r="P991" s="16"/>
      <c r="Q991" s="16"/>
      <c r="R991" s="96"/>
      <c r="S991" s="96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6"/>
      <c r="B992" s="13"/>
      <c r="C992" s="16"/>
      <c r="D992" s="16"/>
      <c r="E992" s="16"/>
      <c r="F992" s="16"/>
      <c r="G992" s="16"/>
      <c r="H992" s="16"/>
      <c r="I992" s="125"/>
      <c r="J992" s="16"/>
      <c r="K992" s="13"/>
      <c r="L992" s="13"/>
      <c r="M992" s="13"/>
      <c r="N992" s="16"/>
      <c r="O992" s="16"/>
      <c r="P992" s="16"/>
      <c r="Q992" s="16"/>
      <c r="R992" s="96"/>
      <c r="S992" s="96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6"/>
      <c r="B993" s="13"/>
      <c r="C993" s="16"/>
      <c r="D993" s="16"/>
      <c r="E993" s="16"/>
      <c r="F993" s="16"/>
      <c r="G993" s="16"/>
      <c r="H993" s="16"/>
      <c r="I993" s="125"/>
      <c r="J993" s="16"/>
      <c r="K993" s="13"/>
      <c r="L993" s="13"/>
      <c r="M993" s="13"/>
      <c r="N993" s="16"/>
      <c r="O993" s="16"/>
      <c r="P993" s="16"/>
      <c r="Q993" s="16"/>
      <c r="R993" s="96"/>
      <c r="S993" s="96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6"/>
      <c r="B994" s="13"/>
      <c r="C994" s="16"/>
      <c r="D994" s="16"/>
      <c r="E994" s="16"/>
      <c r="F994" s="16"/>
      <c r="G994" s="16"/>
      <c r="H994" s="16"/>
      <c r="I994" s="125"/>
      <c r="J994" s="16"/>
      <c r="K994" s="13"/>
      <c r="L994" s="13"/>
      <c r="M994" s="13"/>
      <c r="N994" s="16"/>
      <c r="O994" s="16"/>
      <c r="P994" s="16"/>
      <c r="Q994" s="16"/>
      <c r="R994" s="96"/>
      <c r="S994" s="96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6"/>
      <c r="B995" s="13"/>
      <c r="C995" s="16"/>
      <c r="D995" s="16"/>
      <c r="E995" s="16"/>
      <c r="F995" s="16"/>
      <c r="G995" s="16"/>
      <c r="H995" s="16"/>
      <c r="I995" s="125"/>
      <c r="J995" s="16"/>
      <c r="K995" s="13"/>
      <c r="L995" s="13"/>
      <c r="M995" s="13"/>
      <c r="N995" s="16"/>
      <c r="O995" s="16"/>
      <c r="P995" s="16"/>
      <c r="Q995" s="16"/>
      <c r="R995" s="96"/>
      <c r="S995" s="96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6"/>
      <c r="B996" s="13"/>
      <c r="C996" s="16"/>
      <c r="D996" s="16"/>
      <c r="E996" s="16"/>
      <c r="F996" s="16"/>
      <c r="G996" s="16"/>
      <c r="H996" s="16"/>
      <c r="I996" s="125"/>
      <c r="J996" s="16"/>
      <c r="K996" s="13"/>
      <c r="L996" s="13"/>
      <c r="M996" s="13"/>
      <c r="N996" s="16"/>
      <c r="O996" s="16"/>
      <c r="P996" s="16"/>
      <c r="Q996" s="16"/>
      <c r="R996" s="96"/>
      <c r="S996" s="96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6"/>
      <c r="B997" s="13"/>
      <c r="C997" s="16"/>
      <c r="D997" s="16"/>
      <c r="E997" s="16"/>
      <c r="F997" s="16"/>
      <c r="G997" s="16"/>
      <c r="H997" s="16"/>
      <c r="I997" s="125"/>
      <c r="J997" s="16"/>
      <c r="K997" s="13"/>
      <c r="L997" s="13"/>
      <c r="M997" s="13"/>
      <c r="N997" s="16"/>
      <c r="O997" s="16"/>
      <c r="P997" s="16"/>
      <c r="Q997" s="16"/>
      <c r="R997" s="96"/>
      <c r="S997" s="96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6"/>
      <c r="B998" s="13"/>
      <c r="C998" s="16"/>
      <c r="D998" s="16"/>
      <c r="E998" s="16"/>
      <c r="F998" s="16"/>
      <c r="G998" s="16"/>
      <c r="H998" s="16"/>
      <c r="I998" s="125"/>
      <c r="J998" s="16"/>
      <c r="K998" s="13"/>
      <c r="L998" s="13"/>
      <c r="M998" s="13"/>
      <c r="N998" s="16"/>
      <c r="O998" s="16"/>
      <c r="P998" s="16"/>
      <c r="Q998" s="16"/>
      <c r="R998" s="96"/>
      <c r="S998" s="96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6"/>
      <c r="B999" s="13"/>
      <c r="C999" s="16"/>
      <c r="D999" s="16"/>
      <c r="E999" s="16"/>
      <c r="F999" s="16"/>
      <c r="G999" s="16"/>
      <c r="H999" s="16"/>
      <c r="I999" s="125"/>
      <c r="J999" s="16"/>
      <c r="K999" s="13"/>
      <c r="L999" s="13"/>
      <c r="M999" s="13"/>
      <c r="N999" s="16"/>
      <c r="O999" s="16"/>
      <c r="P999" s="16"/>
      <c r="Q999" s="16"/>
      <c r="R999" s="96"/>
      <c r="S999" s="96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6"/>
      <c r="B1000" s="13"/>
      <c r="C1000" s="16"/>
      <c r="D1000" s="16"/>
      <c r="E1000" s="16"/>
      <c r="F1000" s="16"/>
      <c r="G1000" s="16"/>
      <c r="H1000" s="16"/>
      <c r="I1000" s="125"/>
      <c r="J1000" s="16"/>
      <c r="K1000" s="13"/>
      <c r="L1000" s="13"/>
      <c r="M1000" s="13"/>
      <c r="N1000" s="16"/>
      <c r="O1000" s="16"/>
      <c r="P1000" s="16"/>
      <c r="Q1000" s="16"/>
      <c r="R1000" s="96"/>
      <c r="S1000" s="96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16"/>
      <c r="B1001" s="13"/>
      <c r="C1001" s="16"/>
      <c r="D1001" s="16"/>
      <c r="E1001" s="16"/>
      <c r="F1001" s="16"/>
      <c r="G1001" s="16"/>
      <c r="H1001" s="16"/>
      <c r="I1001" s="125"/>
      <c r="J1001" s="16"/>
      <c r="K1001" s="13"/>
      <c r="L1001" s="13"/>
      <c r="M1001" s="13"/>
      <c r="N1001" s="16"/>
      <c r="O1001" s="16"/>
      <c r="P1001" s="16"/>
      <c r="Q1001" s="16"/>
      <c r="R1001" s="96"/>
      <c r="S1001" s="96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>
      <c r="A1002" s="16"/>
      <c r="B1002" s="13"/>
      <c r="C1002" s="16"/>
      <c r="D1002" s="16"/>
      <c r="E1002" s="16"/>
      <c r="F1002" s="16"/>
      <c r="G1002" s="16"/>
      <c r="H1002" s="16"/>
      <c r="I1002" s="125"/>
      <c r="J1002" s="16"/>
      <c r="K1002" s="13"/>
      <c r="L1002" s="13"/>
      <c r="M1002" s="13"/>
      <c r="N1002" s="16"/>
      <c r="O1002" s="16"/>
      <c r="P1002" s="16"/>
      <c r="Q1002" s="16"/>
      <c r="R1002" s="96"/>
      <c r="S1002" s="96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>
      <c r="A1003" s="16"/>
      <c r="B1003" s="13"/>
      <c r="C1003" s="16"/>
      <c r="D1003" s="16"/>
      <c r="E1003" s="16"/>
      <c r="F1003" s="16"/>
      <c r="G1003" s="16"/>
      <c r="H1003" s="16"/>
      <c r="I1003" s="125"/>
      <c r="J1003" s="16"/>
      <c r="K1003" s="13"/>
      <c r="L1003" s="13"/>
      <c r="M1003" s="13"/>
      <c r="N1003" s="16"/>
      <c r="O1003" s="16"/>
      <c r="P1003" s="16"/>
      <c r="Q1003" s="16"/>
      <c r="R1003" s="96"/>
      <c r="S1003" s="96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>
      <c r="A1004" s="16"/>
      <c r="B1004" s="13"/>
      <c r="C1004" s="16"/>
      <c r="D1004" s="16"/>
      <c r="E1004" s="16"/>
      <c r="F1004" s="16"/>
      <c r="G1004" s="16"/>
      <c r="H1004" s="16"/>
      <c r="I1004" s="125"/>
      <c r="J1004" s="16"/>
      <c r="K1004" s="13"/>
      <c r="L1004" s="13"/>
      <c r="M1004" s="13"/>
      <c r="N1004" s="16"/>
      <c r="O1004" s="16"/>
      <c r="P1004" s="16"/>
      <c r="Q1004" s="16"/>
      <c r="R1004" s="96"/>
      <c r="S1004" s="96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</sheetData>
  <mergeCells count="16">
    <mergeCell ref="I6:I8"/>
    <mergeCell ref="L6:L8"/>
    <mergeCell ref="J7:J8"/>
    <mergeCell ref="K7:K8"/>
    <mergeCell ref="O6:O8"/>
    <mergeCell ref="P6:P8"/>
    <mergeCell ref="Q6:Q8"/>
    <mergeCell ref="R6:R8"/>
    <mergeCell ref="S6:S8"/>
    <mergeCell ref="O1:O5"/>
    <mergeCell ref="R1:R5"/>
    <mergeCell ref="H4:H5"/>
    <mergeCell ref="I4:I5"/>
    <mergeCell ref="K4:N5"/>
    <mergeCell ref="A6:A8"/>
    <mergeCell ref="B6:B8"/>
  </mergeCells>
  <dataValidations>
    <dataValidation type="list" allowBlank="1" showErrorMessage="1" sqref="L9:M56">
      <formula1>"✔,N"</formula1>
    </dataValidation>
    <dataValidation type="list" allowBlank="1" showErrorMessage="1" sqref="N9:O56">
      <formula1>"0,1,2,3,4"</formula1>
    </dataValidation>
    <dataValidation type="list" allowBlank="1" showErrorMessage="1" sqref="K9:K56 P9:P56">
      <formula1>"Y,N"</formula1>
    </dataValidation>
    <dataValidation type="list" allowBlank="1" showErrorMessage="1" sqref="Q9:Q56">
      <formula1>"Transport from BJ,Meet at KLIA,Other"</formula1>
    </dataValidation>
    <dataValidation type="list" allowBlank="1" showErrorMessage="1" sqref="R9:R56">
      <formula1>"Follow Parents - release on 28th Jun at SIN (1-way only),Follow Coach - release on 28th Jun at SIN (1-way only),Transit through KLIA,Parent pickup from BJ,Parent pickup from KLIA,Other"</formula1>
    </dataValidation>
  </dataValidations>
  <hyperlinks>
    <hyperlink r:id="rId1" ref="B3"/>
  </hyperlink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2.63" defaultRowHeight="15.75"/>
  <cols>
    <col customWidth="1" min="1" max="1" width="5.13"/>
    <col customWidth="1" min="2" max="2" width="27.63"/>
    <col customWidth="1" min="3" max="5" width="5.75"/>
    <col customWidth="1" min="6" max="6" width="7.0"/>
    <col customWidth="1" min="7" max="9" width="15.13"/>
    <col customWidth="1" min="10" max="10" width="10.13"/>
    <col customWidth="1" min="11" max="11" width="9.5"/>
    <col customWidth="1" hidden="1" min="12" max="12" width="9.5"/>
    <col customWidth="1" min="13" max="13" width="9.5"/>
    <col customWidth="1" min="14" max="14" width="8.88"/>
    <col customWidth="1" hidden="1" min="15" max="16" width="8.88"/>
    <col customWidth="1" hidden="1" min="17" max="17" width="16.38"/>
    <col customWidth="1" hidden="1" min="18" max="18" width="18.88"/>
    <col customWidth="1" min="19" max="19" width="25.13"/>
  </cols>
  <sheetData>
    <row r="1">
      <c r="A1" s="50"/>
      <c r="B1" s="51" t="s">
        <v>2395</v>
      </c>
      <c r="C1" s="50"/>
      <c r="D1" s="50"/>
      <c r="E1" s="50"/>
      <c r="F1" s="50"/>
      <c r="G1" s="50"/>
      <c r="H1" s="52"/>
      <c r="I1" s="53"/>
      <c r="J1" s="54"/>
      <c r="K1" s="55"/>
      <c r="L1" s="55"/>
      <c r="M1" s="55"/>
      <c r="N1" s="55"/>
      <c r="O1" s="56" t="s">
        <v>2396</v>
      </c>
      <c r="P1" s="57"/>
      <c r="Q1" s="57"/>
      <c r="R1" s="58" t="s">
        <v>2528</v>
      </c>
      <c r="S1" s="59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</row>
    <row r="2">
      <c r="A2" s="60"/>
      <c r="B2" s="51" t="s">
        <v>2398</v>
      </c>
      <c r="C2" s="50"/>
      <c r="D2" s="50"/>
      <c r="E2" s="50"/>
      <c r="F2" s="50"/>
      <c r="G2" s="50"/>
      <c r="H2" s="52"/>
      <c r="I2" s="53"/>
      <c r="J2" s="54"/>
      <c r="K2" s="55"/>
      <c r="L2" s="55"/>
      <c r="M2" s="55"/>
      <c r="N2" s="55"/>
      <c r="P2" s="57"/>
      <c r="Q2" s="57"/>
      <c r="S2" s="59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</row>
    <row r="3">
      <c r="A3" s="60"/>
      <c r="B3" s="61" t="s">
        <v>2529</v>
      </c>
      <c r="C3" s="62"/>
      <c r="D3" s="62"/>
      <c r="E3" s="62"/>
      <c r="F3" s="62"/>
      <c r="G3" s="62"/>
      <c r="H3" s="63"/>
      <c r="I3" s="64"/>
      <c r="J3" s="62"/>
      <c r="K3" s="63"/>
      <c r="L3" s="55"/>
      <c r="M3" s="55"/>
      <c r="N3" s="55"/>
      <c r="P3" s="57"/>
      <c r="Q3" s="57"/>
      <c r="S3" s="59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</row>
    <row r="4">
      <c r="A4" s="60"/>
      <c r="B4" s="65"/>
      <c r="C4" s="62"/>
      <c r="D4" s="62"/>
      <c r="E4" s="62"/>
      <c r="F4" s="62"/>
      <c r="G4" s="62"/>
      <c r="H4" s="66" t="s">
        <v>2400</v>
      </c>
      <c r="I4" s="66" t="s">
        <v>2401</v>
      </c>
      <c r="J4" s="52"/>
      <c r="K4" s="66" t="s">
        <v>2402</v>
      </c>
      <c r="P4" s="52"/>
      <c r="Q4" s="52"/>
      <c r="S4" s="6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>
      <c r="A5" s="60"/>
      <c r="B5" s="65" t="s">
        <v>2530</v>
      </c>
      <c r="C5" s="62"/>
      <c r="D5" s="62"/>
      <c r="E5" s="62"/>
      <c r="F5" s="62"/>
      <c r="G5" s="62"/>
      <c r="J5" s="52"/>
      <c r="P5" s="52"/>
      <c r="Q5" s="52"/>
      <c r="S5" s="6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>
      <c r="A6" s="68"/>
      <c r="B6" s="69" t="s">
        <v>2404</v>
      </c>
      <c r="C6" s="70"/>
      <c r="D6" s="70"/>
      <c r="E6" s="70"/>
      <c r="F6" s="70"/>
      <c r="G6" s="70"/>
      <c r="H6" s="70"/>
      <c r="I6" s="71" t="s">
        <v>2405</v>
      </c>
      <c r="J6" s="72" t="s">
        <v>2406</v>
      </c>
      <c r="K6" s="72" t="s">
        <v>2407</v>
      </c>
      <c r="L6" s="72" t="s">
        <v>2408</v>
      </c>
      <c r="M6" s="73"/>
      <c r="N6" s="74"/>
      <c r="O6" s="75" t="s">
        <v>2409</v>
      </c>
      <c r="P6" s="75" t="s">
        <v>2410</v>
      </c>
      <c r="Q6" s="75" t="s">
        <v>2411</v>
      </c>
      <c r="R6" s="76" t="s">
        <v>2412</v>
      </c>
      <c r="S6" s="75" t="s">
        <v>2413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>
      <c r="A7" s="78"/>
      <c r="C7" s="70"/>
      <c r="D7" s="70"/>
      <c r="E7" s="70"/>
      <c r="F7" s="70"/>
      <c r="G7" s="70"/>
      <c r="H7" s="70"/>
      <c r="J7" s="79" t="s">
        <v>2414</v>
      </c>
      <c r="K7" s="80" t="s">
        <v>2415</v>
      </c>
      <c r="L7" s="78"/>
      <c r="M7" s="81" t="s">
        <v>2416</v>
      </c>
      <c r="N7" s="82" t="s">
        <v>2417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>
      <c r="A8" s="83"/>
      <c r="B8" s="84"/>
      <c r="C8" s="70" t="s">
        <v>2418</v>
      </c>
      <c r="D8" s="70" t="s">
        <v>2419</v>
      </c>
      <c r="E8" s="70" t="s">
        <v>2420</v>
      </c>
      <c r="F8" s="70" t="s">
        <v>2421</v>
      </c>
      <c r="G8" s="70" t="s">
        <v>2422</v>
      </c>
      <c r="H8" s="70" t="s">
        <v>2423</v>
      </c>
      <c r="I8" s="84"/>
      <c r="J8" s="85"/>
      <c r="K8" s="78"/>
      <c r="L8" s="78"/>
      <c r="M8" s="81" t="s">
        <v>2424</v>
      </c>
      <c r="N8" s="82" t="s">
        <v>2425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>
      <c r="A9" s="86">
        <v>1.0</v>
      </c>
      <c r="B9" s="98" t="s">
        <v>2531</v>
      </c>
      <c r="C9" s="89" t="s">
        <v>2433</v>
      </c>
      <c r="D9" s="89">
        <v>1.0</v>
      </c>
      <c r="E9" s="89" t="s">
        <v>2532</v>
      </c>
      <c r="F9" s="89" t="s">
        <v>2466</v>
      </c>
      <c r="G9" s="89" t="s">
        <v>2533</v>
      </c>
      <c r="H9" s="86" t="s">
        <v>2534</v>
      </c>
      <c r="I9" s="90" t="s">
        <v>2535</v>
      </c>
      <c r="J9" s="91" t="s">
        <v>2536</v>
      </c>
      <c r="K9" s="92" t="s">
        <v>2537</v>
      </c>
      <c r="L9" s="93"/>
      <c r="M9" s="93"/>
      <c r="N9" s="94"/>
      <c r="O9" s="94"/>
      <c r="P9" s="94"/>
      <c r="Q9" s="94"/>
      <c r="R9" s="95"/>
      <c r="S9" s="95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86">
        <v>2.0</v>
      </c>
      <c r="B10" s="98" t="s">
        <v>755</v>
      </c>
      <c r="C10" s="89" t="s">
        <v>2433</v>
      </c>
      <c r="D10" s="89">
        <v>1.0</v>
      </c>
      <c r="E10" s="89" t="s">
        <v>2532</v>
      </c>
      <c r="F10" s="89" t="s">
        <v>2446</v>
      </c>
      <c r="G10" s="89" t="s">
        <v>2538</v>
      </c>
      <c r="H10" s="97"/>
      <c r="I10" s="9" t="s">
        <v>2539</v>
      </c>
      <c r="J10" s="91" t="s">
        <v>2536</v>
      </c>
      <c r="K10" s="92" t="s">
        <v>2537</v>
      </c>
      <c r="L10" s="93"/>
      <c r="M10" s="93"/>
      <c r="N10" s="94"/>
      <c r="O10" s="94"/>
      <c r="P10" s="94"/>
      <c r="Q10" s="94"/>
      <c r="R10" s="95"/>
      <c r="S10" s="100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51">
        <v>3.0</v>
      </c>
      <c r="B11" s="152" t="s">
        <v>2540</v>
      </c>
      <c r="C11" s="153" t="s">
        <v>2433</v>
      </c>
      <c r="D11" s="153">
        <v>1.0</v>
      </c>
      <c r="E11" s="153" t="s">
        <v>2541</v>
      </c>
      <c r="F11" s="153" t="s">
        <v>2357</v>
      </c>
      <c r="G11" s="89" t="s">
        <v>2454</v>
      </c>
      <c r="H11" s="97"/>
      <c r="I11" s="90"/>
      <c r="J11" s="91"/>
      <c r="K11" s="92"/>
      <c r="L11" s="93"/>
      <c r="M11" s="93"/>
      <c r="N11" s="94"/>
      <c r="O11" s="94"/>
      <c r="P11" s="94"/>
      <c r="Q11" s="94"/>
      <c r="R11" s="95"/>
      <c r="S11" s="100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86">
        <v>4.0</v>
      </c>
      <c r="B12" s="98" t="s">
        <v>510</v>
      </c>
      <c r="C12" s="89" t="s">
        <v>2427</v>
      </c>
      <c r="D12" s="89">
        <v>1.0</v>
      </c>
      <c r="E12" s="89" t="s">
        <v>2532</v>
      </c>
      <c r="F12" s="89" t="s">
        <v>2353</v>
      </c>
      <c r="G12" s="89" t="s">
        <v>2542</v>
      </c>
      <c r="H12" s="86" t="s">
        <v>2543</v>
      </c>
      <c r="I12" s="90" t="s">
        <v>2544</v>
      </c>
      <c r="J12" s="91" t="s">
        <v>2433</v>
      </c>
      <c r="K12" s="92" t="s">
        <v>2537</v>
      </c>
      <c r="L12" s="93"/>
      <c r="M12" s="93"/>
      <c r="N12" s="94"/>
      <c r="O12" s="94"/>
      <c r="P12" s="94"/>
      <c r="Q12" s="94"/>
      <c r="R12" s="95"/>
      <c r="S12" s="100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86">
        <v>5.0</v>
      </c>
      <c r="B13" s="98" t="s">
        <v>2545</v>
      </c>
      <c r="C13" s="89" t="s">
        <v>2427</v>
      </c>
      <c r="D13" s="89">
        <v>1.0</v>
      </c>
      <c r="E13" s="89" t="s">
        <v>2532</v>
      </c>
      <c r="F13" s="89" t="s">
        <v>2348</v>
      </c>
      <c r="G13" s="89" t="s">
        <v>2479</v>
      </c>
      <c r="H13" s="86" t="s">
        <v>2546</v>
      </c>
      <c r="I13" s="90" t="s">
        <v>2547</v>
      </c>
      <c r="J13" s="91" t="s">
        <v>2433</v>
      </c>
      <c r="K13" s="92" t="s">
        <v>2537</v>
      </c>
      <c r="L13" s="93"/>
      <c r="M13" s="93"/>
      <c r="N13" s="94"/>
      <c r="O13" s="94"/>
      <c r="P13" s="94"/>
      <c r="Q13" s="94"/>
      <c r="R13" s="95"/>
      <c r="S13" s="95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86">
        <v>6.0</v>
      </c>
      <c r="B14" s="98" t="s">
        <v>2548</v>
      </c>
      <c r="C14" s="89" t="s">
        <v>2427</v>
      </c>
      <c r="D14" s="89">
        <v>1.0</v>
      </c>
      <c r="E14" s="89" t="s">
        <v>2532</v>
      </c>
      <c r="F14" s="89" t="s">
        <v>2348</v>
      </c>
      <c r="G14" s="89" t="s">
        <v>2479</v>
      </c>
      <c r="H14" s="86" t="s">
        <v>2546</v>
      </c>
      <c r="I14" s="90" t="s">
        <v>2549</v>
      </c>
      <c r="J14" s="91" t="s">
        <v>2526</v>
      </c>
      <c r="K14" s="92" t="s">
        <v>2537</v>
      </c>
      <c r="L14" s="93"/>
      <c r="M14" s="93"/>
      <c r="N14" s="94"/>
      <c r="O14" s="94"/>
      <c r="P14" s="94"/>
      <c r="Q14" s="94"/>
      <c r="R14" s="95"/>
      <c r="S14" s="95"/>
      <c r="T14" s="96"/>
      <c r="U14" s="96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86">
        <v>7.0</v>
      </c>
      <c r="B15" s="98" t="s">
        <v>775</v>
      </c>
      <c r="C15" s="89" t="s">
        <v>2427</v>
      </c>
      <c r="D15" s="89">
        <v>1.0</v>
      </c>
      <c r="E15" s="89" t="s">
        <v>2532</v>
      </c>
      <c r="F15" s="89" t="s">
        <v>2357</v>
      </c>
      <c r="G15" s="89" t="s">
        <v>2454</v>
      </c>
      <c r="H15" s="86" t="s">
        <v>2550</v>
      </c>
      <c r="I15" s="90" t="s">
        <v>2551</v>
      </c>
      <c r="J15" s="91" t="s">
        <v>2552</v>
      </c>
      <c r="K15" s="92" t="s">
        <v>2537</v>
      </c>
      <c r="L15" s="93"/>
      <c r="M15" s="93"/>
      <c r="N15" s="94"/>
      <c r="O15" s="94"/>
      <c r="P15" s="94"/>
      <c r="Q15" s="94"/>
      <c r="R15" s="95"/>
      <c r="S15" s="95"/>
      <c r="T15" s="96"/>
      <c r="U15" s="96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86">
        <v>8.0</v>
      </c>
      <c r="B16" s="98" t="s">
        <v>2553</v>
      </c>
      <c r="C16" s="89" t="s">
        <v>2427</v>
      </c>
      <c r="D16" s="89">
        <v>1.0</v>
      </c>
      <c r="E16" s="89" t="s">
        <v>2541</v>
      </c>
      <c r="F16" s="89" t="s">
        <v>2348</v>
      </c>
      <c r="G16" s="89" t="s">
        <v>2479</v>
      </c>
      <c r="H16" s="86" t="s">
        <v>2546</v>
      </c>
      <c r="I16" s="90" t="s">
        <v>2554</v>
      </c>
      <c r="J16" s="91" t="s">
        <v>2433</v>
      </c>
      <c r="K16" s="92" t="s">
        <v>2537</v>
      </c>
      <c r="L16" s="93"/>
      <c r="M16" s="93"/>
      <c r="N16" s="94"/>
      <c r="O16" s="94"/>
      <c r="P16" s="94"/>
      <c r="Q16" s="94"/>
      <c r="R16" s="95"/>
      <c r="S16" s="158"/>
      <c r="T16" s="159"/>
      <c r="U16" s="96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86">
        <v>9.0</v>
      </c>
      <c r="B17" s="98" t="s">
        <v>2555</v>
      </c>
      <c r="C17" s="89" t="s">
        <v>2427</v>
      </c>
      <c r="D17" s="89">
        <v>1.0</v>
      </c>
      <c r="E17" s="89" t="s">
        <v>2541</v>
      </c>
      <c r="F17" s="89" t="s">
        <v>2348</v>
      </c>
      <c r="G17" s="99"/>
      <c r="H17" s="86" t="s">
        <v>2546</v>
      </c>
      <c r="I17" s="90" t="s">
        <v>2556</v>
      </c>
      <c r="J17" s="91" t="s">
        <v>2433</v>
      </c>
      <c r="K17" s="92" t="s">
        <v>2557</v>
      </c>
      <c r="L17" s="93"/>
      <c r="M17" s="93"/>
      <c r="N17" s="94"/>
      <c r="O17" s="94"/>
      <c r="P17" s="94"/>
      <c r="Q17" s="94"/>
      <c r="R17" s="95"/>
      <c r="S17" s="160"/>
      <c r="T17" s="159"/>
      <c r="U17" s="96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86">
        <v>10.0</v>
      </c>
      <c r="B18" s="98" t="s">
        <v>2558</v>
      </c>
      <c r="C18" s="89" t="s">
        <v>2427</v>
      </c>
      <c r="D18" s="89">
        <v>1.0</v>
      </c>
      <c r="E18" s="89" t="s">
        <v>2541</v>
      </c>
      <c r="F18" s="89" t="s">
        <v>2357</v>
      </c>
      <c r="G18" s="89" t="s">
        <v>2452</v>
      </c>
      <c r="H18" s="86" t="s">
        <v>2550</v>
      </c>
      <c r="I18" s="90" t="s">
        <v>2559</v>
      </c>
      <c r="J18" s="91" t="s">
        <v>2552</v>
      </c>
      <c r="K18" s="93" t="s">
        <v>2557</v>
      </c>
      <c r="L18" s="93"/>
      <c r="M18" s="93"/>
      <c r="N18" s="94"/>
      <c r="O18" s="94"/>
      <c r="P18" s="94"/>
      <c r="Q18" s="94"/>
      <c r="R18" s="95"/>
      <c r="S18" s="95"/>
      <c r="T18" s="96"/>
      <c r="U18" s="96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86">
        <v>11.0</v>
      </c>
      <c r="B19" s="98" t="s">
        <v>791</v>
      </c>
      <c r="C19" s="89" t="s">
        <v>2427</v>
      </c>
      <c r="D19" s="89">
        <v>1.0</v>
      </c>
      <c r="E19" s="89" t="s">
        <v>2541</v>
      </c>
      <c r="F19" s="89" t="s">
        <v>2357</v>
      </c>
      <c r="G19" s="89" t="s">
        <v>2454</v>
      </c>
      <c r="H19" s="86" t="s">
        <v>2560</v>
      </c>
      <c r="I19" s="90" t="s">
        <v>2561</v>
      </c>
      <c r="J19" s="91" t="s">
        <v>2552</v>
      </c>
      <c r="K19" s="92" t="s">
        <v>2537</v>
      </c>
      <c r="L19" s="93"/>
      <c r="M19" s="93"/>
      <c r="N19" s="94"/>
      <c r="O19" s="94"/>
      <c r="P19" s="94"/>
      <c r="Q19" s="94"/>
      <c r="R19" s="95"/>
      <c r="S19" s="95"/>
      <c r="T19" s="161"/>
      <c r="U19" s="96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86">
        <v>12.0</v>
      </c>
      <c r="B20" s="98" t="s">
        <v>2562</v>
      </c>
      <c r="C20" s="89" t="s">
        <v>2433</v>
      </c>
      <c r="D20" s="89">
        <v>2.0</v>
      </c>
      <c r="E20" s="89" t="s">
        <v>2532</v>
      </c>
      <c r="F20" s="89" t="s">
        <v>2366</v>
      </c>
      <c r="G20" s="89" t="s">
        <v>2441</v>
      </c>
      <c r="H20" s="86" t="s">
        <v>2563</v>
      </c>
      <c r="I20" s="94" t="s">
        <v>2564</v>
      </c>
      <c r="J20" s="91" t="s">
        <v>2536</v>
      </c>
      <c r="K20" s="92" t="s">
        <v>2537</v>
      </c>
      <c r="L20" s="93"/>
      <c r="M20" s="93"/>
      <c r="N20" s="94"/>
      <c r="O20" s="94"/>
      <c r="P20" s="94"/>
      <c r="Q20" s="94"/>
      <c r="R20" s="95"/>
      <c r="S20" s="95"/>
      <c r="T20" s="96"/>
      <c r="U20" s="96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86">
        <v>13.0</v>
      </c>
      <c r="B21" s="98" t="s">
        <v>1035</v>
      </c>
      <c r="C21" s="89" t="s">
        <v>2433</v>
      </c>
      <c r="D21" s="89">
        <v>2.0</v>
      </c>
      <c r="E21" s="89" t="s">
        <v>2532</v>
      </c>
      <c r="F21" s="89" t="s">
        <v>2357</v>
      </c>
      <c r="G21" s="89" t="s">
        <v>2454</v>
      </c>
      <c r="H21" s="86" t="s">
        <v>2560</v>
      </c>
      <c r="I21" s="90" t="s">
        <v>2565</v>
      </c>
      <c r="J21" s="91" t="s">
        <v>2536</v>
      </c>
      <c r="K21" s="92" t="s">
        <v>2537</v>
      </c>
      <c r="L21" s="93"/>
      <c r="M21" s="93"/>
      <c r="N21" s="94"/>
      <c r="O21" s="94"/>
      <c r="P21" s="94"/>
      <c r="Q21" s="94"/>
      <c r="R21" s="95"/>
      <c r="S21" s="95"/>
      <c r="T21" s="96"/>
      <c r="U21" s="96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86">
        <v>14.0</v>
      </c>
      <c r="B22" s="98" t="s">
        <v>304</v>
      </c>
      <c r="C22" s="89" t="s">
        <v>2433</v>
      </c>
      <c r="D22" s="89">
        <v>2.0</v>
      </c>
      <c r="E22" s="89" t="s">
        <v>2541</v>
      </c>
      <c r="F22" s="89" t="s">
        <v>2366</v>
      </c>
      <c r="G22" s="89" t="s">
        <v>2441</v>
      </c>
      <c r="H22" s="162" t="s">
        <v>2563</v>
      </c>
      <c r="I22" s="90" t="s">
        <v>2566</v>
      </c>
      <c r="J22" s="91" t="s">
        <v>2552</v>
      </c>
      <c r="K22" s="92" t="s">
        <v>2537</v>
      </c>
      <c r="L22" s="93"/>
      <c r="M22" s="93"/>
      <c r="N22" s="94"/>
      <c r="O22" s="94"/>
      <c r="P22" s="94"/>
      <c r="Q22" s="94"/>
      <c r="R22" s="95"/>
      <c r="S22" s="95"/>
      <c r="T22" s="96"/>
      <c r="U22" s="96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86">
        <v>15.0</v>
      </c>
      <c r="B23" s="98" t="s">
        <v>2567</v>
      </c>
      <c r="C23" s="89" t="s">
        <v>2427</v>
      </c>
      <c r="D23" s="89">
        <v>2.0</v>
      </c>
      <c r="E23" s="89" t="s">
        <v>2568</v>
      </c>
      <c r="F23" s="89" t="s">
        <v>2361</v>
      </c>
      <c r="G23" s="89" t="s">
        <v>2429</v>
      </c>
      <c r="H23" s="97" t="s">
        <v>2569</v>
      </c>
      <c r="I23" s="90" t="s">
        <v>2570</v>
      </c>
      <c r="J23" s="91" t="s">
        <v>2433</v>
      </c>
      <c r="K23" s="92" t="s">
        <v>2537</v>
      </c>
      <c r="L23" s="93"/>
      <c r="M23" s="93"/>
      <c r="N23" s="94"/>
      <c r="O23" s="94"/>
      <c r="P23" s="94"/>
      <c r="Q23" s="94"/>
      <c r="R23" s="95"/>
      <c r="S23" s="95"/>
      <c r="T23" s="96"/>
      <c r="U23" s="96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86">
        <v>16.0</v>
      </c>
      <c r="B24" s="98" t="s">
        <v>2571</v>
      </c>
      <c r="C24" s="89" t="s">
        <v>2427</v>
      </c>
      <c r="D24" s="89">
        <v>2.0</v>
      </c>
      <c r="E24" s="89" t="s">
        <v>2568</v>
      </c>
      <c r="F24" s="89" t="s">
        <v>2357</v>
      </c>
      <c r="G24" s="89" t="s">
        <v>2452</v>
      </c>
      <c r="H24" s="86" t="s">
        <v>2572</v>
      </c>
      <c r="I24" s="90" t="s">
        <v>2571</v>
      </c>
      <c r="J24" s="91" t="s">
        <v>2433</v>
      </c>
      <c r="K24" s="92" t="s">
        <v>2557</v>
      </c>
      <c r="L24" s="93"/>
      <c r="M24" s="93"/>
      <c r="N24" s="94"/>
      <c r="O24" s="94"/>
      <c r="P24" s="94"/>
      <c r="Q24" s="94"/>
      <c r="R24" s="95"/>
      <c r="S24" s="95"/>
      <c r="T24" s="96"/>
      <c r="U24" s="96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86">
        <v>17.0</v>
      </c>
      <c r="B25" s="98" t="s">
        <v>1159</v>
      </c>
      <c r="C25" s="89" t="s">
        <v>2427</v>
      </c>
      <c r="D25" s="89">
        <v>2.0</v>
      </c>
      <c r="E25" s="89" t="s">
        <v>2532</v>
      </c>
      <c r="F25" s="89" t="s">
        <v>2366</v>
      </c>
      <c r="G25" s="89" t="s">
        <v>2441</v>
      </c>
      <c r="H25" s="97" t="s">
        <v>2563</v>
      </c>
      <c r="I25" s="90" t="s">
        <v>2573</v>
      </c>
      <c r="J25" s="91" t="s">
        <v>2433</v>
      </c>
      <c r="K25" s="92" t="s">
        <v>2537</v>
      </c>
      <c r="L25" s="93"/>
      <c r="M25" s="93"/>
      <c r="N25" s="94"/>
      <c r="O25" s="94"/>
      <c r="P25" s="94"/>
      <c r="Q25" s="94"/>
      <c r="R25" s="95"/>
      <c r="S25" s="163"/>
      <c r="T25" s="96"/>
      <c r="U25" s="96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86">
        <v>18.0</v>
      </c>
      <c r="B26" s="98" t="s">
        <v>1231</v>
      </c>
      <c r="C26" s="89" t="s">
        <v>2427</v>
      </c>
      <c r="D26" s="89">
        <v>2.0</v>
      </c>
      <c r="E26" s="89" t="s">
        <v>2532</v>
      </c>
      <c r="F26" s="89" t="s">
        <v>2366</v>
      </c>
      <c r="G26" s="89" t="s">
        <v>2441</v>
      </c>
      <c r="H26" s="97" t="s">
        <v>2563</v>
      </c>
      <c r="I26" s="90" t="s">
        <v>2574</v>
      </c>
      <c r="J26" s="91" t="s">
        <v>2433</v>
      </c>
      <c r="K26" s="92" t="s">
        <v>2537</v>
      </c>
      <c r="L26" s="93"/>
      <c r="M26" s="93"/>
      <c r="N26" s="94"/>
      <c r="O26" s="94"/>
      <c r="P26" s="94"/>
      <c r="Q26" s="94"/>
      <c r="R26" s="95"/>
      <c r="S26" s="100"/>
      <c r="T26" s="96"/>
      <c r="U26" s="96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86">
        <v>19.0</v>
      </c>
      <c r="B27" s="98" t="s">
        <v>2575</v>
      </c>
      <c r="C27" s="89" t="s">
        <v>2427</v>
      </c>
      <c r="D27" s="89">
        <v>2.0</v>
      </c>
      <c r="E27" s="89" t="s">
        <v>2532</v>
      </c>
      <c r="F27" s="89" t="s">
        <v>2366</v>
      </c>
      <c r="G27" s="89" t="s">
        <v>2441</v>
      </c>
      <c r="H27" s="102" t="s">
        <v>2576</v>
      </c>
      <c r="I27" s="90" t="s">
        <v>2577</v>
      </c>
      <c r="J27" s="91" t="s">
        <v>2433</v>
      </c>
      <c r="K27" s="92" t="s">
        <v>2537</v>
      </c>
      <c r="L27" s="93"/>
      <c r="M27" s="93"/>
      <c r="N27" s="94"/>
      <c r="O27" s="94"/>
      <c r="P27" s="94"/>
      <c r="Q27" s="94"/>
      <c r="R27" s="95"/>
      <c r="S27" s="95"/>
      <c r="T27" s="96"/>
      <c r="U27" s="96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86">
        <v>20.0</v>
      </c>
      <c r="B28" s="98" t="s">
        <v>820</v>
      </c>
      <c r="C28" s="89" t="s">
        <v>2427</v>
      </c>
      <c r="D28" s="89">
        <v>2.0</v>
      </c>
      <c r="E28" s="89" t="s">
        <v>2532</v>
      </c>
      <c r="F28" s="89" t="s">
        <v>2357</v>
      </c>
      <c r="G28" s="89" t="s">
        <v>2452</v>
      </c>
      <c r="H28" s="86" t="s">
        <v>2578</v>
      </c>
      <c r="I28" s="90" t="s">
        <v>2579</v>
      </c>
      <c r="J28" s="91" t="s">
        <v>2526</v>
      </c>
      <c r="K28" s="92" t="s">
        <v>2537</v>
      </c>
      <c r="L28" s="93"/>
      <c r="M28" s="93"/>
      <c r="N28" s="94"/>
      <c r="O28" s="94"/>
      <c r="P28" s="94"/>
      <c r="Q28" s="94"/>
      <c r="R28" s="95"/>
      <c r="S28" s="95"/>
      <c r="T28" s="164"/>
      <c r="U28" s="96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86">
        <v>21.0</v>
      </c>
      <c r="B29" s="98" t="s">
        <v>2580</v>
      </c>
      <c r="C29" s="89" t="s">
        <v>2427</v>
      </c>
      <c r="D29" s="89">
        <v>2.0</v>
      </c>
      <c r="E29" s="89" t="s">
        <v>2541</v>
      </c>
      <c r="F29" s="89" t="s">
        <v>2446</v>
      </c>
      <c r="G29" s="89" t="s">
        <v>2581</v>
      </c>
      <c r="H29" s="97" t="s">
        <v>2582</v>
      </c>
      <c r="I29" s="90" t="s">
        <v>2583</v>
      </c>
      <c r="J29" s="91" t="s">
        <v>2552</v>
      </c>
      <c r="K29" s="92" t="s">
        <v>2537</v>
      </c>
      <c r="L29" s="93"/>
      <c r="M29" s="93"/>
      <c r="N29" s="94"/>
      <c r="O29" s="94"/>
      <c r="P29" s="94"/>
      <c r="Q29" s="94"/>
      <c r="R29" s="95"/>
      <c r="S29" s="95" t="s">
        <v>2584</v>
      </c>
      <c r="T29" s="96"/>
      <c r="U29" s="96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86">
        <v>22.0</v>
      </c>
      <c r="B30" s="98" t="s">
        <v>2585</v>
      </c>
      <c r="C30" s="89" t="s">
        <v>2427</v>
      </c>
      <c r="D30" s="89">
        <v>2.0</v>
      </c>
      <c r="E30" s="89" t="s">
        <v>2541</v>
      </c>
      <c r="F30" s="89" t="s">
        <v>2348</v>
      </c>
      <c r="G30" s="89" t="s">
        <v>2586</v>
      </c>
      <c r="H30" s="97" t="s">
        <v>2587</v>
      </c>
      <c r="I30" s="90" t="s">
        <v>2588</v>
      </c>
      <c r="J30" s="91" t="s">
        <v>2526</v>
      </c>
      <c r="K30" s="92" t="s">
        <v>2557</v>
      </c>
      <c r="L30" s="93"/>
      <c r="M30" s="93"/>
      <c r="N30" s="94"/>
      <c r="O30" s="94"/>
      <c r="P30" s="94"/>
      <c r="Q30" s="94"/>
      <c r="R30" s="95"/>
      <c r="S30" s="95"/>
      <c r="T30" s="96"/>
      <c r="U30" s="96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86">
        <v>23.0</v>
      </c>
      <c r="B31" s="98" t="s">
        <v>947</v>
      </c>
      <c r="C31" s="89" t="s">
        <v>2433</v>
      </c>
      <c r="D31" s="89">
        <v>1.0</v>
      </c>
      <c r="E31" s="89" t="s">
        <v>2428</v>
      </c>
      <c r="F31" s="89" t="s">
        <v>2387</v>
      </c>
      <c r="G31" s="89" t="s">
        <v>803</v>
      </c>
      <c r="H31" s="102" t="s">
        <v>2589</v>
      </c>
      <c r="I31" s="90" t="s">
        <v>2590</v>
      </c>
      <c r="J31" s="91" t="s">
        <v>2552</v>
      </c>
      <c r="K31" s="92" t="s">
        <v>2537</v>
      </c>
      <c r="L31" s="93"/>
      <c r="M31" s="93"/>
      <c r="N31" s="94"/>
      <c r="O31" s="94"/>
      <c r="P31" s="94"/>
      <c r="Q31" s="94"/>
      <c r="R31" s="95"/>
      <c r="S31" s="95"/>
      <c r="T31" s="96"/>
      <c r="U31" s="96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86">
        <v>24.0</v>
      </c>
      <c r="B32" s="98" t="s">
        <v>2591</v>
      </c>
      <c r="C32" s="89" t="s">
        <v>2433</v>
      </c>
      <c r="D32" s="89">
        <v>1.0</v>
      </c>
      <c r="E32" s="89" t="s">
        <v>2428</v>
      </c>
      <c r="F32" s="89" t="s">
        <v>2348</v>
      </c>
      <c r="G32" s="89" t="s">
        <v>2592</v>
      </c>
      <c r="H32" s="97" t="s">
        <v>2550</v>
      </c>
      <c r="I32" s="90" t="s">
        <v>2593</v>
      </c>
      <c r="J32" s="91" t="s">
        <v>2552</v>
      </c>
      <c r="K32" s="92" t="s">
        <v>2537</v>
      </c>
      <c r="L32" s="93"/>
      <c r="M32" s="93"/>
      <c r="N32" s="94"/>
      <c r="O32" s="94"/>
      <c r="P32" s="94"/>
      <c r="Q32" s="94"/>
      <c r="R32" s="95"/>
      <c r="S32" s="95" t="s">
        <v>2594</v>
      </c>
      <c r="T32" s="96"/>
      <c r="U32" s="96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86">
        <v>25.0</v>
      </c>
      <c r="B33" s="98" t="s">
        <v>2595</v>
      </c>
      <c r="C33" s="89" t="s">
        <v>2433</v>
      </c>
      <c r="D33" s="89">
        <v>1.0</v>
      </c>
      <c r="E33" s="89" t="s">
        <v>2428</v>
      </c>
      <c r="F33" s="89" t="s">
        <v>2348</v>
      </c>
      <c r="G33" s="89" t="s">
        <v>2479</v>
      </c>
      <c r="H33" s="86"/>
      <c r="I33" s="90"/>
      <c r="J33" s="91"/>
      <c r="K33" s="92" t="s">
        <v>2537</v>
      </c>
      <c r="L33" s="93"/>
      <c r="M33" s="93"/>
      <c r="N33" s="94"/>
      <c r="O33" s="94"/>
      <c r="P33" s="94"/>
      <c r="Q33" s="94"/>
      <c r="R33" s="95"/>
      <c r="S33" s="95"/>
      <c r="T33" s="96"/>
      <c r="U33" s="96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86">
        <v>26.0</v>
      </c>
      <c r="B34" s="98" t="s">
        <v>2596</v>
      </c>
      <c r="C34" s="89" t="s">
        <v>2427</v>
      </c>
      <c r="D34" s="89">
        <v>1.0</v>
      </c>
      <c r="E34" s="89" t="s">
        <v>2428</v>
      </c>
      <c r="F34" s="89" t="s">
        <v>2361</v>
      </c>
      <c r="G34" s="89" t="s">
        <v>2429</v>
      </c>
      <c r="H34" s="86" t="s">
        <v>2569</v>
      </c>
      <c r="I34" s="90" t="s">
        <v>2597</v>
      </c>
      <c r="J34" s="91" t="s">
        <v>2433</v>
      </c>
      <c r="K34" s="92" t="s">
        <v>2537</v>
      </c>
      <c r="L34" s="93"/>
      <c r="M34" s="93"/>
      <c r="N34" s="94"/>
      <c r="O34" s="94"/>
      <c r="P34" s="94"/>
      <c r="Q34" s="94"/>
      <c r="R34" s="95"/>
      <c r="S34" s="95"/>
      <c r="T34" s="96"/>
      <c r="U34" s="96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151">
        <v>27.0</v>
      </c>
      <c r="B35" s="152" t="s">
        <v>2426</v>
      </c>
      <c r="C35" s="153" t="s">
        <v>2427</v>
      </c>
      <c r="D35" s="153">
        <v>1.0</v>
      </c>
      <c r="E35" s="153" t="s">
        <v>2428</v>
      </c>
      <c r="F35" s="153" t="s">
        <v>2361</v>
      </c>
      <c r="G35" s="89" t="s">
        <v>2429</v>
      </c>
      <c r="H35" s="86"/>
      <c r="I35" s="90"/>
      <c r="J35" s="91"/>
      <c r="K35" s="92"/>
      <c r="L35" s="93"/>
      <c r="M35" s="93"/>
      <c r="N35" s="94"/>
      <c r="O35" s="94"/>
      <c r="P35" s="94"/>
      <c r="Q35" s="94"/>
      <c r="R35" s="95"/>
      <c r="S35" s="95"/>
      <c r="T35" s="96"/>
      <c r="U35" s="96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86">
        <v>28.0</v>
      </c>
      <c r="B36" s="98" t="s">
        <v>2598</v>
      </c>
      <c r="C36" s="89" t="s">
        <v>2427</v>
      </c>
      <c r="D36" s="89">
        <v>1.0</v>
      </c>
      <c r="E36" s="89" t="s">
        <v>2428</v>
      </c>
      <c r="F36" s="89" t="s">
        <v>2348</v>
      </c>
      <c r="G36" s="99"/>
      <c r="H36" s="97" t="s">
        <v>2572</v>
      </c>
      <c r="I36" s="90" t="s">
        <v>2599</v>
      </c>
      <c r="J36" s="91" t="s">
        <v>2526</v>
      </c>
      <c r="K36" s="92" t="s">
        <v>2537</v>
      </c>
      <c r="L36" s="93"/>
      <c r="M36" s="93"/>
      <c r="N36" s="94"/>
      <c r="O36" s="94"/>
      <c r="P36" s="94"/>
      <c r="Q36" s="94"/>
      <c r="R36" s="95"/>
      <c r="S36" s="95" t="s">
        <v>2600</v>
      </c>
      <c r="T36" s="96"/>
      <c r="U36" s="96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86">
        <v>29.0</v>
      </c>
      <c r="B37" s="98" t="s">
        <v>2048</v>
      </c>
      <c r="C37" s="89" t="s">
        <v>2427</v>
      </c>
      <c r="D37" s="89">
        <v>1.0</v>
      </c>
      <c r="E37" s="89" t="s">
        <v>2428</v>
      </c>
      <c r="F37" s="89" t="s">
        <v>2348</v>
      </c>
      <c r="G37" s="89" t="s">
        <v>2601</v>
      </c>
      <c r="H37" s="97" t="s">
        <v>2602</v>
      </c>
      <c r="I37" s="90" t="s">
        <v>2603</v>
      </c>
      <c r="J37" s="91" t="s">
        <v>2433</v>
      </c>
      <c r="K37" s="92" t="s">
        <v>2537</v>
      </c>
      <c r="L37" s="93"/>
      <c r="M37" s="93"/>
      <c r="N37" s="94"/>
      <c r="O37" s="94"/>
      <c r="P37" s="94"/>
      <c r="Q37" s="94"/>
      <c r="R37" s="95"/>
      <c r="S37" s="95"/>
      <c r="T37" s="96"/>
      <c r="U37" s="96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86">
        <v>30.0</v>
      </c>
      <c r="B38" s="98" t="s">
        <v>2604</v>
      </c>
      <c r="C38" s="89" t="s">
        <v>2427</v>
      </c>
      <c r="D38" s="89">
        <v>1.0</v>
      </c>
      <c r="E38" s="89" t="s">
        <v>2428</v>
      </c>
      <c r="F38" s="89" t="s">
        <v>2348</v>
      </c>
      <c r="G38" s="89" t="s">
        <v>2479</v>
      </c>
      <c r="H38" s="97" t="s">
        <v>2546</v>
      </c>
      <c r="I38" s="90" t="s">
        <v>2605</v>
      </c>
      <c r="J38" s="91"/>
      <c r="K38" s="92" t="s">
        <v>2557</v>
      </c>
      <c r="L38" s="93"/>
      <c r="M38" s="93"/>
      <c r="N38" s="94"/>
      <c r="O38" s="94"/>
      <c r="P38" s="94"/>
      <c r="Q38" s="94"/>
      <c r="R38" s="95"/>
      <c r="S38" s="95"/>
      <c r="T38" s="96"/>
      <c r="U38" s="96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86">
        <v>31.0</v>
      </c>
      <c r="B39" s="98" t="s">
        <v>2606</v>
      </c>
      <c r="C39" s="89" t="s">
        <v>2427</v>
      </c>
      <c r="D39" s="89">
        <v>1.0</v>
      </c>
      <c r="E39" s="89" t="s">
        <v>2428</v>
      </c>
      <c r="F39" s="89" t="s">
        <v>2348</v>
      </c>
      <c r="G39" s="89" t="s">
        <v>2479</v>
      </c>
      <c r="H39" s="97" t="s">
        <v>2607</v>
      </c>
      <c r="I39" s="90" t="s">
        <v>2608</v>
      </c>
      <c r="J39" s="91" t="s">
        <v>2526</v>
      </c>
      <c r="K39" s="92" t="s">
        <v>2537</v>
      </c>
      <c r="L39" s="93"/>
      <c r="M39" s="93"/>
      <c r="N39" s="94"/>
      <c r="O39" s="94"/>
      <c r="P39" s="94"/>
      <c r="Q39" s="94"/>
      <c r="R39" s="95"/>
      <c r="S39" s="100"/>
      <c r="T39" s="96"/>
      <c r="U39" s="96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151">
        <v>32.0</v>
      </c>
      <c r="B40" s="152" t="s">
        <v>2451</v>
      </c>
      <c r="C40" s="153" t="s">
        <v>2427</v>
      </c>
      <c r="D40" s="153">
        <v>1.0</v>
      </c>
      <c r="E40" s="153" t="s">
        <v>2428</v>
      </c>
      <c r="F40" s="153" t="s">
        <v>2357</v>
      </c>
      <c r="G40" s="89" t="s">
        <v>2452</v>
      </c>
      <c r="H40" s="97"/>
      <c r="I40" s="90"/>
      <c r="J40" s="91"/>
      <c r="K40" s="92"/>
      <c r="L40" s="93"/>
      <c r="M40" s="93"/>
      <c r="N40" s="94"/>
      <c r="O40" s="94"/>
      <c r="P40" s="94"/>
      <c r="Q40" s="94"/>
      <c r="R40" s="95"/>
      <c r="S40" s="100"/>
      <c r="T40" s="96"/>
      <c r="U40" s="96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86">
        <v>33.0</v>
      </c>
      <c r="B41" s="98" t="s">
        <v>140</v>
      </c>
      <c r="C41" s="89" t="s">
        <v>2433</v>
      </c>
      <c r="D41" s="89">
        <v>2.0</v>
      </c>
      <c r="E41" s="89" t="s">
        <v>2428</v>
      </c>
      <c r="F41" s="89" t="s">
        <v>2353</v>
      </c>
      <c r="G41" s="89" t="s">
        <v>2609</v>
      </c>
      <c r="H41" s="97" t="s">
        <v>2610</v>
      </c>
      <c r="I41" s="90" t="s">
        <v>2611</v>
      </c>
      <c r="J41" s="91" t="s">
        <v>2536</v>
      </c>
      <c r="K41" s="92" t="s">
        <v>2537</v>
      </c>
      <c r="L41" s="93"/>
      <c r="M41" s="93"/>
      <c r="N41" s="94"/>
      <c r="O41" s="94"/>
      <c r="P41" s="94"/>
      <c r="Q41" s="94"/>
      <c r="R41" s="95"/>
      <c r="S41" s="100"/>
      <c r="T41" s="96"/>
      <c r="U41" s="96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86">
        <v>34.0</v>
      </c>
      <c r="B42" s="98" t="s">
        <v>2612</v>
      </c>
      <c r="C42" s="89" t="s">
        <v>2433</v>
      </c>
      <c r="D42" s="89">
        <v>2.0</v>
      </c>
      <c r="E42" s="89" t="s">
        <v>2428</v>
      </c>
      <c r="F42" s="89" t="s">
        <v>2387</v>
      </c>
      <c r="G42" s="89" t="s">
        <v>2613</v>
      </c>
      <c r="H42" s="97" t="s">
        <v>2614</v>
      </c>
      <c r="I42" s="90" t="s">
        <v>2615</v>
      </c>
      <c r="J42" s="91" t="s">
        <v>2552</v>
      </c>
      <c r="K42" s="92" t="s">
        <v>2537</v>
      </c>
      <c r="L42" s="93"/>
      <c r="M42" s="93"/>
      <c r="N42" s="94"/>
      <c r="O42" s="94"/>
      <c r="P42" s="94"/>
      <c r="Q42" s="94"/>
      <c r="R42" s="95"/>
      <c r="S42" s="95" t="s">
        <v>2600</v>
      </c>
      <c r="T42" s="161"/>
      <c r="U42" s="96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86">
        <v>35.0</v>
      </c>
      <c r="B43" s="98" t="s">
        <v>678</v>
      </c>
      <c r="C43" s="89" t="s">
        <v>2433</v>
      </c>
      <c r="D43" s="89">
        <v>2.0</v>
      </c>
      <c r="E43" s="89" t="s">
        <v>2428</v>
      </c>
      <c r="F43" s="89" t="s">
        <v>2446</v>
      </c>
      <c r="G43" s="89" t="s">
        <v>2616</v>
      </c>
      <c r="H43" s="97" t="s">
        <v>2617</v>
      </c>
      <c r="I43" s="90" t="s">
        <v>2618</v>
      </c>
      <c r="J43" s="91" t="s">
        <v>2536</v>
      </c>
      <c r="K43" s="92" t="s">
        <v>2537</v>
      </c>
      <c r="L43" s="93"/>
      <c r="M43" s="93"/>
      <c r="N43" s="94"/>
      <c r="O43" s="94"/>
      <c r="P43" s="94"/>
      <c r="Q43" s="94"/>
      <c r="R43" s="95"/>
      <c r="S43" s="100"/>
      <c r="T43" s="96"/>
      <c r="U43" s="96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86">
        <v>36.0</v>
      </c>
      <c r="B44" s="98" t="s">
        <v>2619</v>
      </c>
      <c r="C44" s="89" t="s">
        <v>2433</v>
      </c>
      <c r="D44" s="89">
        <v>2.0</v>
      </c>
      <c r="E44" s="89" t="s">
        <v>2428</v>
      </c>
      <c r="F44" s="89" t="s">
        <v>2348</v>
      </c>
      <c r="G44" s="89" t="s">
        <v>2620</v>
      </c>
      <c r="H44" s="97" t="s">
        <v>2621</v>
      </c>
      <c r="I44" s="165" t="s">
        <v>2622</v>
      </c>
      <c r="J44" s="91" t="s">
        <v>2552</v>
      </c>
      <c r="K44" s="92" t="s">
        <v>2557</v>
      </c>
      <c r="L44" s="93"/>
      <c r="M44" s="93"/>
      <c r="N44" s="94"/>
      <c r="O44" s="94"/>
      <c r="P44" s="94"/>
      <c r="Q44" s="94"/>
      <c r="R44" s="95"/>
      <c r="S44" s="100"/>
      <c r="T44" s="96"/>
      <c r="U44" s="96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86">
        <v>37.0</v>
      </c>
      <c r="B45" s="98" t="s">
        <v>2623</v>
      </c>
      <c r="C45" s="89" t="s">
        <v>2433</v>
      </c>
      <c r="D45" s="89">
        <v>2.0</v>
      </c>
      <c r="E45" s="89" t="s">
        <v>2428</v>
      </c>
      <c r="F45" s="89" t="s">
        <v>2357</v>
      </c>
      <c r="G45" s="89" t="s">
        <v>2624</v>
      </c>
      <c r="H45" s="162" t="s">
        <v>2625</v>
      </c>
      <c r="I45" s="90" t="s">
        <v>2626</v>
      </c>
      <c r="J45" s="91" t="s">
        <v>2536</v>
      </c>
      <c r="K45" s="92" t="s">
        <v>2557</v>
      </c>
      <c r="L45" s="93"/>
      <c r="M45" s="93"/>
      <c r="N45" s="94"/>
      <c r="O45" s="94"/>
      <c r="P45" s="94"/>
      <c r="Q45" s="94"/>
      <c r="R45" s="95"/>
      <c r="S45" s="100"/>
      <c r="T45" s="96"/>
      <c r="U45" s="96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86">
        <v>38.0</v>
      </c>
      <c r="B46" s="98" t="s">
        <v>2627</v>
      </c>
      <c r="C46" s="89" t="s">
        <v>2427</v>
      </c>
      <c r="D46" s="89">
        <v>2.0</v>
      </c>
      <c r="E46" s="89" t="s">
        <v>2428</v>
      </c>
      <c r="F46" s="89" t="s">
        <v>2361</v>
      </c>
      <c r="G46" s="89" t="s">
        <v>2429</v>
      </c>
      <c r="H46" s="97" t="s">
        <v>2628</v>
      </c>
      <c r="I46" s="90" t="s">
        <v>2627</v>
      </c>
      <c r="J46" s="91" t="s">
        <v>2526</v>
      </c>
      <c r="K46" s="92" t="s">
        <v>2557</v>
      </c>
      <c r="L46" s="93"/>
      <c r="M46" s="93"/>
      <c r="N46" s="94"/>
      <c r="O46" s="94"/>
      <c r="P46" s="94"/>
      <c r="Q46" s="94"/>
      <c r="R46" s="95"/>
      <c r="S46" s="100"/>
      <c r="T46" s="96"/>
      <c r="U46" s="96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86">
        <v>39.0</v>
      </c>
      <c r="B47" s="98" t="s">
        <v>1454</v>
      </c>
      <c r="C47" s="89" t="s">
        <v>2427</v>
      </c>
      <c r="D47" s="89">
        <v>2.0</v>
      </c>
      <c r="E47" s="89" t="s">
        <v>2428</v>
      </c>
      <c r="F47" s="89" t="s">
        <v>2446</v>
      </c>
      <c r="G47" s="89" t="s">
        <v>2448</v>
      </c>
      <c r="H47" s="97" t="s">
        <v>2629</v>
      </c>
      <c r="I47" s="90" t="s">
        <v>2630</v>
      </c>
      <c r="J47" s="91" t="s">
        <v>2433</v>
      </c>
      <c r="K47" s="92" t="s">
        <v>2537</v>
      </c>
      <c r="L47" s="93"/>
      <c r="M47" s="93"/>
      <c r="N47" s="94"/>
      <c r="O47" s="94"/>
      <c r="P47" s="94"/>
      <c r="Q47" s="94"/>
      <c r="R47" s="95"/>
      <c r="S47" s="95" t="s">
        <v>22</v>
      </c>
      <c r="T47" s="96"/>
      <c r="U47" s="96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151">
        <v>40.0</v>
      </c>
      <c r="B48" s="98" t="s">
        <v>2631</v>
      </c>
      <c r="C48" s="89" t="s">
        <v>2427</v>
      </c>
      <c r="D48" s="89">
        <v>2.0</v>
      </c>
      <c r="E48" s="89" t="s">
        <v>2428</v>
      </c>
      <c r="F48" s="89" t="s">
        <v>2348</v>
      </c>
      <c r="G48" s="89" t="s">
        <v>2523</v>
      </c>
      <c r="H48" s="97"/>
      <c r="I48" s="90"/>
      <c r="J48" s="91"/>
      <c r="K48" s="92"/>
      <c r="L48" s="93"/>
      <c r="M48" s="93"/>
      <c r="N48" s="94"/>
      <c r="O48" s="94"/>
      <c r="P48" s="94"/>
      <c r="Q48" s="94"/>
      <c r="R48" s="95"/>
      <c r="S48" s="100"/>
      <c r="T48" s="96"/>
      <c r="U48" s="96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86">
        <v>41.0</v>
      </c>
      <c r="B49" s="98" t="s">
        <v>2632</v>
      </c>
      <c r="C49" s="89" t="s">
        <v>2433</v>
      </c>
      <c r="D49" s="89">
        <v>3.0</v>
      </c>
      <c r="E49" s="89" t="s">
        <v>2428</v>
      </c>
      <c r="F49" s="89" t="s">
        <v>2461</v>
      </c>
      <c r="G49" s="89" t="s">
        <v>2633</v>
      </c>
      <c r="H49" s="97" t="s">
        <v>2634</v>
      </c>
      <c r="I49" s="90" t="s">
        <v>2635</v>
      </c>
      <c r="J49" s="91" t="s">
        <v>2552</v>
      </c>
      <c r="K49" s="92" t="s">
        <v>2537</v>
      </c>
      <c r="L49" s="93"/>
      <c r="M49" s="93"/>
      <c r="N49" s="94"/>
      <c r="O49" s="94"/>
      <c r="P49" s="94"/>
      <c r="Q49" s="94"/>
      <c r="R49" s="95"/>
      <c r="S49" s="100"/>
      <c r="T49" s="96"/>
      <c r="U49" s="96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86">
        <v>42.0</v>
      </c>
      <c r="B50" s="98" t="s">
        <v>1497</v>
      </c>
      <c r="C50" s="89" t="s">
        <v>2433</v>
      </c>
      <c r="D50" s="89">
        <v>3.0</v>
      </c>
      <c r="E50" s="89" t="s">
        <v>2428</v>
      </c>
      <c r="F50" s="89" t="s">
        <v>2466</v>
      </c>
      <c r="G50" s="89" t="s">
        <v>2467</v>
      </c>
      <c r="H50" s="97" t="s">
        <v>2636</v>
      </c>
      <c r="I50" s="90" t="s">
        <v>2637</v>
      </c>
      <c r="J50" s="91" t="s">
        <v>2433</v>
      </c>
      <c r="K50" s="92" t="s">
        <v>2537</v>
      </c>
      <c r="L50" s="93"/>
      <c r="M50" s="93"/>
      <c r="N50" s="94"/>
      <c r="O50" s="94"/>
      <c r="P50" s="94"/>
      <c r="Q50" s="94"/>
      <c r="R50" s="95"/>
      <c r="S50" s="95"/>
      <c r="T50" s="96"/>
      <c r="U50" s="96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86">
        <v>43.0</v>
      </c>
      <c r="B51" s="98" t="s">
        <v>2638</v>
      </c>
      <c r="C51" s="89" t="s">
        <v>2433</v>
      </c>
      <c r="D51" s="89">
        <v>3.0</v>
      </c>
      <c r="E51" s="89" t="s">
        <v>2428</v>
      </c>
      <c r="F51" s="89" t="s">
        <v>2446</v>
      </c>
      <c r="G51" s="89" t="s">
        <v>2639</v>
      </c>
      <c r="H51" s="97" t="s">
        <v>2640</v>
      </c>
      <c r="I51" s="90" t="s">
        <v>2641</v>
      </c>
      <c r="J51" s="91" t="s">
        <v>2552</v>
      </c>
      <c r="K51" s="92" t="s">
        <v>2537</v>
      </c>
      <c r="L51" s="93"/>
      <c r="M51" s="93"/>
      <c r="N51" s="94"/>
      <c r="O51" s="94"/>
      <c r="P51" s="94"/>
      <c r="Q51" s="94"/>
      <c r="R51" s="95"/>
      <c r="S51" s="95" t="s">
        <v>2642</v>
      </c>
      <c r="T51" s="96"/>
      <c r="U51" s="96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86">
        <v>44.0</v>
      </c>
      <c r="B52" s="98" t="s">
        <v>1052</v>
      </c>
      <c r="C52" s="89" t="s">
        <v>2427</v>
      </c>
      <c r="D52" s="89">
        <v>3.0</v>
      </c>
      <c r="E52" s="89" t="s">
        <v>2428</v>
      </c>
      <c r="F52" s="89" t="s">
        <v>2353</v>
      </c>
      <c r="G52" s="89" t="s">
        <v>2609</v>
      </c>
      <c r="H52" s="97" t="s">
        <v>2610</v>
      </c>
      <c r="I52" s="90" t="s">
        <v>2643</v>
      </c>
      <c r="J52" s="91" t="s">
        <v>2433</v>
      </c>
      <c r="K52" s="92" t="s">
        <v>2537</v>
      </c>
      <c r="L52" s="93"/>
      <c r="M52" s="93"/>
      <c r="N52" s="94"/>
      <c r="O52" s="94"/>
      <c r="P52" s="94"/>
      <c r="Q52" s="94"/>
      <c r="R52" s="95"/>
      <c r="S52" s="95" t="s">
        <v>2644</v>
      </c>
      <c r="T52" s="96"/>
      <c r="U52" s="96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86">
        <v>45.0</v>
      </c>
      <c r="B53" s="98" t="s">
        <v>1432</v>
      </c>
      <c r="C53" s="89" t="s">
        <v>2427</v>
      </c>
      <c r="D53" s="89">
        <v>3.0</v>
      </c>
      <c r="E53" s="89" t="s">
        <v>2428</v>
      </c>
      <c r="F53" s="89" t="s">
        <v>2466</v>
      </c>
      <c r="G53" s="89" t="s">
        <v>2533</v>
      </c>
      <c r="H53" s="97" t="s">
        <v>2534</v>
      </c>
      <c r="I53" s="90" t="s">
        <v>2645</v>
      </c>
      <c r="J53" s="91" t="s">
        <v>2433</v>
      </c>
      <c r="K53" s="92" t="s">
        <v>2537</v>
      </c>
      <c r="L53" s="93"/>
      <c r="M53" s="93"/>
      <c r="N53" s="94"/>
      <c r="O53" s="94"/>
      <c r="P53" s="94"/>
      <c r="Q53" s="94"/>
      <c r="R53" s="95"/>
      <c r="S53" s="100"/>
      <c r="T53" s="96"/>
      <c r="U53" s="96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151">
        <v>46.0</v>
      </c>
      <c r="B54" s="152" t="s">
        <v>2522</v>
      </c>
      <c r="C54" s="153" t="s">
        <v>2427</v>
      </c>
      <c r="D54" s="153">
        <v>3.0</v>
      </c>
      <c r="E54" s="153" t="s">
        <v>2428</v>
      </c>
      <c r="F54" s="153" t="s">
        <v>2348</v>
      </c>
      <c r="G54" s="89" t="s">
        <v>2523</v>
      </c>
      <c r="H54" s="97" t="s">
        <v>2524</v>
      </c>
      <c r="I54" s="90" t="s">
        <v>2525</v>
      </c>
      <c r="J54" s="91" t="s">
        <v>2526</v>
      </c>
      <c r="K54" s="92"/>
      <c r="L54" s="93"/>
      <c r="M54" s="93"/>
      <c r="N54" s="94"/>
      <c r="O54" s="94"/>
      <c r="P54" s="94"/>
      <c r="Q54" s="94"/>
      <c r="R54" s="95"/>
      <c r="S54" s="95" t="s">
        <v>2527</v>
      </c>
      <c r="T54" s="96"/>
      <c r="U54" s="96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151">
        <v>47.0</v>
      </c>
      <c r="B55" s="152" t="s">
        <v>2473</v>
      </c>
      <c r="C55" s="153" t="s">
        <v>2427</v>
      </c>
      <c r="D55" s="153">
        <v>1.0</v>
      </c>
      <c r="E55" s="153" t="s">
        <v>2431</v>
      </c>
      <c r="F55" s="153" t="s">
        <v>2387</v>
      </c>
      <c r="G55" s="99"/>
      <c r="H55" s="97"/>
      <c r="I55" s="90"/>
      <c r="J55" s="91"/>
      <c r="K55" s="92"/>
      <c r="L55" s="93"/>
      <c r="M55" s="93"/>
      <c r="N55" s="94"/>
      <c r="O55" s="94"/>
      <c r="P55" s="94"/>
      <c r="Q55" s="94"/>
      <c r="R55" s="95"/>
      <c r="S55" s="100"/>
      <c r="T55" s="96"/>
      <c r="U55" s="96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151">
        <v>48.0</v>
      </c>
      <c r="B56" s="152" t="s">
        <v>2430</v>
      </c>
      <c r="C56" s="153" t="s">
        <v>2427</v>
      </c>
      <c r="D56" s="153">
        <v>1.0</v>
      </c>
      <c r="E56" s="153" t="s">
        <v>2431</v>
      </c>
      <c r="F56" s="153" t="s">
        <v>2361</v>
      </c>
      <c r="G56" s="89" t="s">
        <v>2429</v>
      </c>
      <c r="H56" s="97"/>
      <c r="I56" s="90"/>
      <c r="J56" s="91"/>
      <c r="K56" s="92"/>
      <c r="L56" s="93"/>
      <c r="M56" s="93"/>
      <c r="N56" s="94"/>
      <c r="O56" s="94"/>
      <c r="P56" s="94"/>
      <c r="Q56" s="94"/>
      <c r="R56" s="95"/>
      <c r="S56" s="100"/>
      <c r="T56" s="96"/>
      <c r="U56" s="96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86">
        <v>49.0</v>
      </c>
      <c r="B57" s="98" t="s">
        <v>2646</v>
      </c>
      <c r="C57" s="89" t="s">
        <v>2427</v>
      </c>
      <c r="D57" s="89">
        <v>1.0</v>
      </c>
      <c r="E57" s="89" t="s">
        <v>2431</v>
      </c>
      <c r="F57" s="89" t="s">
        <v>2357</v>
      </c>
      <c r="G57" s="89" t="s">
        <v>2452</v>
      </c>
      <c r="H57" s="97" t="s">
        <v>2560</v>
      </c>
      <c r="I57" s="90" t="s">
        <v>2647</v>
      </c>
      <c r="J57" s="91" t="s">
        <v>2433</v>
      </c>
      <c r="K57" s="92" t="s">
        <v>2557</v>
      </c>
      <c r="L57" s="93"/>
      <c r="M57" s="93"/>
      <c r="N57" s="94"/>
      <c r="O57" s="94"/>
      <c r="P57" s="94"/>
      <c r="Q57" s="94"/>
      <c r="R57" s="95"/>
      <c r="S57" s="100"/>
      <c r="T57" s="96"/>
      <c r="U57" s="96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86">
        <v>50.0</v>
      </c>
      <c r="B58" s="98" t="s">
        <v>2648</v>
      </c>
      <c r="C58" s="89" t="s">
        <v>2433</v>
      </c>
      <c r="D58" s="89">
        <v>1.0</v>
      </c>
      <c r="E58" s="89" t="s">
        <v>2436</v>
      </c>
      <c r="F58" s="89" t="s">
        <v>2374</v>
      </c>
      <c r="G58" s="89" t="s">
        <v>2649</v>
      </c>
      <c r="H58" s="97" t="s">
        <v>2650</v>
      </c>
      <c r="I58" s="90" t="s">
        <v>2651</v>
      </c>
      <c r="J58" s="91" t="s">
        <v>2536</v>
      </c>
      <c r="K58" s="92" t="s">
        <v>2537</v>
      </c>
      <c r="L58" s="93"/>
      <c r="M58" s="93"/>
      <c r="N58" s="94"/>
      <c r="O58" s="94"/>
      <c r="P58" s="94"/>
      <c r="Q58" s="94"/>
      <c r="R58" s="95"/>
      <c r="S58" s="95" t="s">
        <v>22</v>
      </c>
      <c r="T58" s="96"/>
      <c r="U58" s="96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151">
        <v>51.0</v>
      </c>
      <c r="B59" s="152" t="s">
        <v>2435</v>
      </c>
      <c r="C59" s="153" t="s">
        <v>2433</v>
      </c>
      <c r="D59" s="153">
        <v>1.0</v>
      </c>
      <c r="E59" s="153" t="s">
        <v>2436</v>
      </c>
      <c r="F59" s="153" t="s">
        <v>2366</v>
      </c>
      <c r="G59" s="89" t="s">
        <v>2437</v>
      </c>
      <c r="H59" s="97"/>
      <c r="I59" s="90"/>
      <c r="J59" s="91"/>
      <c r="K59" s="92"/>
      <c r="L59" s="93"/>
      <c r="M59" s="93"/>
      <c r="N59" s="94"/>
      <c r="O59" s="94"/>
      <c r="P59" s="94"/>
      <c r="Q59" s="94"/>
      <c r="R59" s="95"/>
      <c r="S59" s="100"/>
      <c r="T59" s="96"/>
      <c r="U59" s="96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151">
        <v>52.0</v>
      </c>
      <c r="B60" s="152" t="s">
        <v>2438</v>
      </c>
      <c r="C60" s="153" t="s">
        <v>2433</v>
      </c>
      <c r="D60" s="153">
        <v>1.0</v>
      </c>
      <c r="E60" s="153" t="s">
        <v>2436</v>
      </c>
      <c r="F60" s="153" t="s">
        <v>2366</v>
      </c>
      <c r="G60" s="89" t="s">
        <v>2437</v>
      </c>
      <c r="H60" s="97"/>
      <c r="I60" s="90"/>
      <c r="J60" s="91"/>
      <c r="K60" s="92"/>
      <c r="L60" s="93"/>
      <c r="M60" s="93"/>
      <c r="N60" s="94"/>
      <c r="O60" s="94"/>
      <c r="P60" s="94"/>
      <c r="Q60" s="94"/>
      <c r="R60" s="101"/>
      <c r="S60" s="100"/>
      <c r="T60" s="96"/>
      <c r="U60" s="96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86">
        <v>53.0</v>
      </c>
      <c r="B61" s="98" t="s">
        <v>413</v>
      </c>
      <c r="C61" s="89" t="s">
        <v>2433</v>
      </c>
      <c r="D61" s="89">
        <v>1.0</v>
      </c>
      <c r="E61" s="89" t="s">
        <v>2436</v>
      </c>
      <c r="F61" s="89" t="s">
        <v>2366</v>
      </c>
      <c r="G61" s="89" t="s">
        <v>2652</v>
      </c>
      <c r="H61" s="97" t="s">
        <v>2653</v>
      </c>
      <c r="I61" s="90" t="s">
        <v>2654</v>
      </c>
      <c r="J61" s="91" t="s">
        <v>2536</v>
      </c>
      <c r="K61" s="92" t="s">
        <v>2537</v>
      </c>
      <c r="L61" s="93"/>
      <c r="M61" s="93"/>
      <c r="N61" s="94"/>
      <c r="O61" s="94"/>
      <c r="P61" s="94"/>
      <c r="Q61" s="94"/>
      <c r="R61" s="95"/>
      <c r="S61" s="100"/>
      <c r="T61" s="96"/>
      <c r="U61" s="96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86">
        <v>54.0</v>
      </c>
      <c r="B62" s="98" t="s">
        <v>2655</v>
      </c>
      <c r="C62" s="89" t="s">
        <v>2433</v>
      </c>
      <c r="D62" s="89">
        <v>1.0</v>
      </c>
      <c r="E62" s="89" t="s">
        <v>2436</v>
      </c>
      <c r="F62" s="89" t="s">
        <v>2366</v>
      </c>
      <c r="G62" s="89" t="s">
        <v>2441</v>
      </c>
      <c r="H62" s="97" t="s">
        <v>2563</v>
      </c>
      <c r="I62" s="90" t="s">
        <v>2656</v>
      </c>
      <c r="J62" s="91" t="s">
        <v>2552</v>
      </c>
      <c r="K62" s="92" t="s">
        <v>2537</v>
      </c>
      <c r="L62" s="93"/>
      <c r="M62" s="93"/>
      <c r="N62" s="94"/>
      <c r="O62" s="94"/>
      <c r="P62" s="94"/>
      <c r="Q62" s="94"/>
      <c r="R62" s="95"/>
      <c r="S62" s="95" t="s">
        <v>22</v>
      </c>
      <c r="T62" s="96"/>
      <c r="U62" s="96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86">
        <v>55.0</v>
      </c>
      <c r="B63" s="98" t="s">
        <v>1825</v>
      </c>
      <c r="C63" s="89" t="s">
        <v>2427</v>
      </c>
      <c r="D63" s="89">
        <v>1.0</v>
      </c>
      <c r="E63" s="89" t="s">
        <v>2436</v>
      </c>
      <c r="F63" s="89" t="s">
        <v>2366</v>
      </c>
      <c r="G63" s="89" t="s">
        <v>2441</v>
      </c>
      <c r="H63" s="97" t="s">
        <v>2563</v>
      </c>
      <c r="I63" s="90" t="s">
        <v>2657</v>
      </c>
      <c r="J63" s="91" t="s">
        <v>2433</v>
      </c>
      <c r="K63" s="92" t="s">
        <v>2537</v>
      </c>
      <c r="L63" s="93"/>
      <c r="M63" s="93"/>
      <c r="N63" s="94"/>
      <c r="O63" s="94"/>
      <c r="P63" s="94"/>
      <c r="Q63" s="94"/>
      <c r="R63" s="95"/>
      <c r="S63" s="95" t="s">
        <v>22</v>
      </c>
      <c r="T63" s="96"/>
      <c r="U63" s="96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151">
        <v>56.0</v>
      </c>
      <c r="B64" s="152" t="s">
        <v>2440</v>
      </c>
      <c r="C64" s="153" t="s">
        <v>2427</v>
      </c>
      <c r="D64" s="153">
        <v>1.0</v>
      </c>
      <c r="E64" s="153" t="s">
        <v>2436</v>
      </c>
      <c r="F64" s="153" t="s">
        <v>2366</v>
      </c>
      <c r="G64" s="89" t="s">
        <v>2441</v>
      </c>
      <c r="H64" s="97"/>
      <c r="I64" s="90"/>
      <c r="J64" s="91"/>
      <c r="K64" s="92"/>
      <c r="L64" s="93"/>
      <c r="M64" s="93"/>
      <c r="N64" s="94"/>
      <c r="O64" s="94"/>
      <c r="P64" s="94"/>
      <c r="Q64" s="94"/>
      <c r="R64" s="95"/>
      <c r="S64" s="95"/>
      <c r="T64" s="96"/>
      <c r="U64" s="96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86">
        <v>57.0</v>
      </c>
      <c r="B65" s="98" t="s">
        <v>2658</v>
      </c>
      <c r="C65" s="89" t="s">
        <v>2427</v>
      </c>
      <c r="D65" s="89">
        <v>1.0</v>
      </c>
      <c r="E65" s="89" t="s">
        <v>2436</v>
      </c>
      <c r="F65" s="89" t="s">
        <v>2348</v>
      </c>
      <c r="G65" s="89" t="s">
        <v>2479</v>
      </c>
      <c r="H65" s="97" t="s">
        <v>2550</v>
      </c>
      <c r="I65" s="90" t="s">
        <v>2659</v>
      </c>
      <c r="J65" s="91" t="s">
        <v>2660</v>
      </c>
      <c r="K65" s="92" t="s">
        <v>2537</v>
      </c>
      <c r="L65" s="93"/>
      <c r="M65" s="93"/>
      <c r="N65" s="94"/>
      <c r="O65" s="94"/>
      <c r="P65" s="94"/>
      <c r="Q65" s="94"/>
      <c r="R65" s="95"/>
      <c r="S65" s="95" t="s">
        <v>22</v>
      </c>
      <c r="T65" s="96"/>
      <c r="U65" s="96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86">
        <v>58.0</v>
      </c>
      <c r="B66" s="98" t="s">
        <v>2661</v>
      </c>
      <c r="C66" s="89" t="s">
        <v>2433</v>
      </c>
      <c r="D66" s="89">
        <v>2.0</v>
      </c>
      <c r="E66" s="89" t="s">
        <v>2436</v>
      </c>
      <c r="F66" s="89" t="s">
        <v>2348</v>
      </c>
      <c r="G66" s="89" t="s">
        <v>2586</v>
      </c>
      <c r="H66" s="97" t="s">
        <v>2662</v>
      </c>
      <c r="I66" s="90" t="s">
        <v>2663</v>
      </c>
      <c r="J66" s="91" t="s">
        <v>2433</v>
      </c>
      <c r="K66" s="92" t="s">
        <v>2537</v>
      </c>
      <c r="L66" s="93"/>
      <c r="M66" s="93"/>
      <c r="N66" s="94"/>
      <c r="O66" s="94"/>
      <c r="P66" s="94"/>
      <c r="Q66" s="94"/>
      <c r="R66" s="95"/>
      <c r="S66" s="100"/>
      <c r="T66" s="96"/>
      <c r="U66" s="96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86">
        <v>59.0</v>
      </c>
      <c r="B67" s="98" t="s">
        <v>2664</v>
      </c>
      <c r="C67" s="89" t="s">
        <v>2433</v>
      </c>
      <c r="D67" s="89">
        <v>2.0</v>
      </c>
      <c r="E67" s="89" t="s">
        <v>2436</v>
      </c>
      <c r="F67" s="89" t="s">
        <v>2357</v>
      </c>
      <c r="G67" s="89" t="s">
        <v>2624</v>
      </c>
      <c r="H67" s="97" t="s">
        <v>2625</v>
      </c>
      <c r="I67" s="90" t="s">
        <v>2665</v>
      </c>
      <c r="J67" s="91" t="s">
        <v>2552</v>
      </c>
      <c r="K67" s="92" t="s">
        <v>2557</v>
      </c>
      <c r="L67" s="93"/>
      <c r="M67" s="93"/>
      <c r="N67" s="94"/>
      <c r="O67" s="94"/>
      <c r="P67" s="94"/>
      <c r="Q67" s="94"/>
      <c r="R67" s="95"/>
      <c r="S67" s="100"/>
      <c r="T67" s="96"/>
      <c r="U67" s="96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86">
        <v>60.0</v>
      </c>
      <c r="B68" s="98" t="s">
        <v>321</v>
      </c>
      <c r="C68" s="89" t="s">
        <v>2433</v>
      </c>
      <c r="D68" s="89">
        <v>2.0</v>
      </c>
      <c r="E68" s="89" t="s">
        <v>2436</v>
      </c>
      <c r="F68" s="89" t="s">
        <v>2357</v>
      </c>
      <c r="G68" s="89" t="s">
        <v>2454</v>
      </c>
      <c r="H68" s="97"/>
      <c r="I68" s="90" t="s">
        <v>2666</v>
      </c>
      <c r="J68" s="91" t="s">
        <v>2552</v>
      </c>
      <c r="K68" s="92" t="s">
        <v>2537</v>
      </c>
      <c r="L68" s="93"/>
      <c r="M68" s="93"/>
      <c r="N68" s="94"/>
      <c r="O68" s="94"/>
      <c r="P68" s="94"/>
      <c r="Q68" s="94"/>
      <c r="R68" s="95"/>
      <c r="S68" s="100"/>
      <c r="T68" s="96"/>
      <c r="U68" s="96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151">
        <v>61.0</v>
      </c>
      <c r="B69" s="152" t="s">
        <v>2447</v>
      </c>
      <c r="C69" s="153" t="s">
        <v>2427</v>
      </c>
      <c r="D69" s="153">
        <v>2.0</v>
      </c>
      <c r="E69" s="153" t="s">
        <v>2436</v>
      </c>
      <c r="F69" s="153" t="s">
        <v>2446</v>
      </c>
      <c r="G69" s="89" t="s">
        <v>2448</v>
      </c>
      <c r="H69" s="97"/>
      <c r="I69" s="90"/>
      <c r="J69" s="91"/>
      <c r="K69" s="92"/>
      <c r="L69" s="93"/>
      <c r="M69" s="93"/>
      <c r="N69" s="94"/>
      <c r="O69" s="94"/>
      <c r="P69" s="94"/>
      <c r="Q69" s="94"/>
      <c r="R69" s="95"/>
      <c r="S69" s="100"/>
      <c r="T69" s="96"/>
      <c r="U69" s="96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86">
        <v>62.0</v>
      </c>
      <c r="B70" s="98" t="s">
        <v>2667</v>
      </c>
      <c r="C70" s="89" t="s">
        <v>2433</v>
      </c>
      <c r="D70" s="89">
        <v>1.0</v>
      </c>
      <c r="E70" s="89" t="s">
        <v>2443</v>
      </c>
      <c r="F70" s="89" t="s">
        <v>2357</v>
      </c>
      <c r="G70" s="89" t="s">
        <v>2454</v>
      </c>
      <c r="H70" s="97" t="s">
        <v>2560</v>
      </c>
      <c r="I70" s="94" t="s">
        <v>2668</v>
      </c>
      <c r="J70" s="91" t="s">
        <v>2536</v>
      </c>
      <c r="K70" s="92" t="s">
        <v>2537</v>
      </c>
      <c r="L70" s="93"/>
      <c r="M70" s="93"/>
      <c r="N70" s="94"/>
      <c r="O70" s="94"/>
      <c r="P70" s="94"/>
      <c r="Q70" s="94"/>
      <c r="R70" s="95"/>
      <c r="S70" s="100"/>
      <c r="T70" s="96"/>
      <c r="U70" s="96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86">
        <v>63.0</v>
      </c>
      <c r="B71" s="98" t="s">
        <v>2669</v>
      </c>
      <c r="C71" s="89" t="s">
        <v>2427</v>
      </c>
      <c r="D71" s="89">
        <v>1.0</v>
      </c>
      <c r="E71" s="89" t="s">
        <v>2443</v>
      </c>
      <c r="F71" s="89" t="s">
        <v>2348</v>
      </c>
      <c r="G71" s="89" t="s">
        <v>2586</v>
      </c>
      <c r="H71" s="97"/>
      <c r="I71" s="90"/>
      <c r="J71" s="91"/>
      <c r="K71" s="92" t="s">
        <v>2557</v>
      </c>
      <c r="L71" s="93"/>
      <c r="M71" s="93"/>
      <c r="N71" s="94"/>
      <c r="O71" s="94"/>
      <c r="P71" s="94"/>
      <c r="Q71" s="94"/>
      <c r="R71" s="95"/>
      <c r="S71" s="100"/>
      <c r="T71" s="96"/>
      <c r="U71" s="96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151">
        <v>64.0</v>
      </c>
      <c r="B72" s="152" t="s">
        <v>2453</v>
      </c>
      <c r="C72" s="153" t="s">
        <v>2427</v>
      </c>
      <c r="D72" s="153">
        <v>1.0</v>
      </c>
      <c r="E72" s="153" t="s">
        <v>2443</v>
      </c>
      <c r="F72" s="153" t="s">
        <v>2357</v>
      </c>
      <c r="G72" s="89" t="s">
        <v>2454</v>
      </c>
      <c r="H72" s="97"/>
      <c r="I72" s="90"/>
      <c r="J72" s="91"/>
      <c r="K72" s="92"/>
      <c r="L72" s="93"/>
      <c r="M72" s="93"/>
      <c r="N72" s="94"/>
      <c r="O72" s="94"/>
      <c r="P72" s="94"/>
      <c r="Q72" s="94"/>
      <c r="R72" s="95"/>
      <c r="S72" s="100"/>
      <c r="T72" s="96"/>
      <c r="U72" s="96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151">
        <v>65.0</v>
      </c>
      <c r="B73" s="152" t="s">
        <v>2455</v>
      </c>
      <c r="C73" s="153" t="s">
        <v>2427</v>
      </c>
      <c r="D73" s="153">
        <v>1.0</v>
      </c>
      <c r="E73" s="153" t="s">
        <v>2443</v>
      </c>
      <c r="F73" s="153" t="s">
        <v>2357</v>
      </c>
      <c r="G73" s="89" t="s">
        <v>2452</v>
      </c>
      <c r="H73" s="97"/>
      <c r="I73" s="90"/>
      <c r="J73" s="91"/>
      <c r="K73" s="92"/>
      <c r="L73" s="93"/>
      <c r="M73" s="93"/>
      <c r="N73" s="94"/>
      <c r="O73" s="94"/>
      <c r="P73" s="94"/>
      <c r="Q73" s="94"/>
      <c r="R73" s="95"/>
      <c r="S73" s="100"/>
      <c r="T73" s="96"/>
      <c r="U73" s="96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151">
        <v>66.0</v>
      </c>
      <c r="B74" s="152" t="s">
        <v>2442</v>
      </c>
      <c r="C74" s="153" t="s">
        <v>2427</v>
      </c>
      <c r="D74" s="153">
        <v>2.0</v>
      </c>
      <c r="E74" s="153" t="s">
        <v>2443</v>
      </c>
      <c r="F74" s="153" t="s">
        <v>2366</v>
      </c>
      <c r="G74" s="89" t="s">
        <v>2441</v>
      </c>
      <c r="H74" s="97"/>
      <c r="I74" s="90"/>
      <c r="J74" s="91"/>
      <c r="K74" s="92"/>
      <c r="L74" s="93"/>
      <c r="M74" s="93"/>
      <c r="N74" s="94"/>
      <c r="O74" s="94"/>
      <c r="P74" s="94"/>
      <c r="Q74" s="94"/>
      <c r="R74" s="95"/>
      <c r="S74" s="100"/>
      <c r="T74" s="96"/>
      <c r="U74" s="96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151">
        <v>1.0</v>
      </c>
      <c r="B75" s="98" t="s">
        <v>2226</v>
      </c>
      <c r="C75" s="89" t="s">
        <v>2433</v>
      </c>
      <c r="D75" s="89">
        <v>1.0</v>
      </c>
      <c r="E75" s="89" t="s">
        <v>2434</v>
      </c>
      <c r="F75" s="89" t="s">
        <v>2374</v>
      </c>
      <c r="G75" s="97"/>
      <c r="H75" s="166" t="s">
        <v>2670</v>
      </c>
      <c r="I75" s="90" t="s">
        <v>2671</v>
      </c>
      <c r="J75" s="91" t="s">
        <v>2536</v>
      </c>
      <c r="K75" s="92"/>
      <c r="L75" s="93"/>
      <c r="M75" s="93"/>
      <c r="N75" s="94"/>
      <c r="O75" s="94"/>
      <c r="P75" s="94"/>
      <c r="Q75" s="94"/>
      <c r="R75" s="95"/>
      <c r="S75" s="95" t="s">
        <v>22</v>
      </c>
      <c r="T75" s="96"/>
      <c r="U75" s="96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151">
        <v>2.0</v>
      </c>
      <c r="B76" s="152" t="s">
        <v>2432</v>
      </c>
      <c r="C76" s="153" t="s">
        <v>2433</v>
      </c>
      <c r="D76" s="153">
        <v>1.0</v>
      </c>
      <c r="E76" s="153" t="s">
        <v>2434</v>
      </c>
      <c r="F76" s="153" t="s">
        <v>2361</v>
      </c>
      <c r="G76" s="97"/>
      <c r="H76" s="97"/>
      <c r="I76" s="90"/>
      <c r="J76" s="91"/>
      <c r="K76" s="92"/>
      <c r="L76" s="93"/>
      <c r="M76" s="93"/>
      <c r="N76" s="94"/>
      <c r="O76" s="94"/>
      <c r="P76" s="94"/>
      <c r="Q76" s="94"/>
      <c r="R76" s="95"/>
      <c r="S76" s="100"/>
      <c r="T76" s="96"/>
      <c r="U76" s="96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86">
        <v>3.0</v>
      </c>
      <c r="B77" s="98" t="s">
        <v>2672</v>
      </c>
      <c r="C77" s="89" t="s">
        <v>2433</v>
      </c>
      <c r="D77" s="89">
        <v>1.0</v>
      </c>
      <c r="E77" s="89" t="s">
        <v>2434</v>
      </c>
      <c r="F77" s="89" t="s">
        <v>2466</v>
      </c>
      <c r="G77" s="97" t="s">
        <v>2673</v>
      </c>
      <c r="H77" s="97" t="s">
        <v>2674</v>
      </c>
      <c r="I77" s="90" t="s">
        <v>2675</v>
      </c>
      <c r="J77" s="91" t="s">
        <v>2552</v>
      </c>
      <c r="K77" s="92" t="s">
        <v>2537</v>
      </c>
      <c r="L77" s="93"/>
      <c r="M77" s="93"/>
      <c r="N77" s="94"/>
      <c r="O77" s="94"/>
      <c r="P77" s="94"/>
      <c r="Q77" s="94"/>
      <c r="R77" s="95"/>
      <c r="S77" s="95" t="s">
        <v>2676</v>
      </c>
      <c r="T77" s="96"/>
      <c r="U77" s="96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86">
        <v>4.0</v>
      </c>
      <c r="B78" s="98" t="s">
        <v>1118</v>
      </c>
      <c r="C78" s="89" t="s">
        <v>2433</v>
      </c>
      <c r="D78" s="89">
        <v>1.0</v>
      </c>
      <c r="E78" s="89" t="s">
        <v>2434</v>
      </c>
      <c r="F78" s="89" t="s">
        <v>2446</v>
      </c>
      <c r="G78" s="97" t="s">
        <v>2448</v>
      </c>
      <c r="H78" s="97"/>
      <c r="I78" s="90" t="s">
        <v>2677</v>
      </c>
      <c r="J78" s="91" t="s">
        <v>2536</v>
      </c>
      <c r="K78" s="92" t="s">
        <v>2537</v>
      </c>
      <c r="L78" s="93"/>
      <c r="M78" s="93"/>
      <c r="N78" s="94"/>
      <c r="O78" s="94"/>
      <c r="P78" s="94"/>
      <c r="Q78" s="94"/>
      <c r="R78" s="95"/>
      <c r="S78" s="95" t="s">
        <v>22</v>
      </c>
      <c r="T78" s="96"/>
      <c r="U78" s="96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86">
        <v>5.0</v>
      </c>
      <c r="B79" s="98" t="s">
        <v>1526</v>
      </c>
      <c r="C79" s="89" t="s">
        <v>2433</v>
      </c>
      <c r="D79" s="89">
        <v>1.0</v>
      </c>
      <c r="E79" s="89" t="s">
        <v>2434</v>
      </c>
      <c r="F79" s="89" t="s">
        <v>2446</v>
      </c>
      <c r="G79" s="97" t="s">
        <v>2678</v>
      </c>
      <c r="H79" s="97"/>
      <c r="I79" s="90" t="s">
        <v>2679</v>
      </c>
      <c r="J79" s="91" t="s">
        <v>2536</v>
      </c>
      <c r="K79" s="92" t="s">
        <v>2557</v>
      </c>
      <c r="L79" s="93"/>
      <c r="M79" s="93"/>
      <c r="N79" s="94"/>
      <c r="O79" s="94"/>
      <c r="P79" s="94"/>
      <c r="Q79" s="94"/>
      <c r="R79" s="95"/>
      <c r="S79" s="160"/>
      <c r="T79" s="161"/>
      <c r="U79" s="96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86">
        <v>6.0</v>
      </c>
      <c r="B80" s="98" t="s">
        <v>2680</v>
      </c>
      <c r="C80" s="89" t="s">
        <v>2433</v>
      </c>
      <c r="D80" s="89">
        <v>1.0</v>
      </c>
      <c r="E80" s="89" t="s">
        <v>2434</v>
      </c>
      <c r="F80" s="89" t="s">
        <v>2348</v>
      </c>
      <c r="G80" s="97" t="s">
        <v>2586</v>
      </c>
      <c r="H80" s="97" t="s">
        <v>2572</v>
      </c>
      <c r="I80" s="90" t="s">
        <v>2681</v>
      </c>
      <c r="J80" s="91" t="s">
        <v>2536</v>
      </c>
      <c r="K80" s="92" t="s">
        <v>2557</v>
      </c>
      <c r="L80" s="93"/>
      <c r="M80" s="93"/>
      <c r="N80" s="94"/>
      <c r="O80" s="94"/>
      <c r="P80" s="94"/>
      <c r="Q80" s="94"/>
      <c r="R80" s="95"/>
      <c r="S80" s="100"/>
      <c r="T80" s="96"/>
      <c r="U80" s="96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86">
        <v>7.0</v>
      </c>
      <c r="B81" s="98" t="s">
        <v>2682</v>
      </c>
      <c r="C81" s="89" t="s">
        <v>2433</v>
      </c>
      <c r="D81" s="89">
        <v>1.0</v>
      </c>
      <c r="E81" s="89" t="s">
        <v>2434</v>
      </c>
      <c r="F81" s="89" t="s">
        <v>2348</v>
      </c>
      <c r="G81" s="97" t="s">
        <v>2479</v>
      </c>
      <c r="H81" s="97" t="s">
        <v>2683</v>
      </c>
      <c r="I81" s="90" t="s">
        <v>2684</v>
      </c>
      <c r="J81" s="91" t="s">
        <v>2536</v>
      </c>
      <c r="K81" s="92" t="s">
        <v>2537</v>
      </c>
      <c r="L81" s="93"/>
      <c r="M81" s="93"/>
      <c r="N81" s="94"/>
      <c r="O81" s="94"/>
      <c r="P81" s="94"/>
      <c r="Q81" s="94"/>
      <c r="R81" s="95"/>
      <c r="S81" s="95" t="s">
        <v>2685</v>
      </c>
      <c r="T81" s="96"/>
      <c r="U81" s="96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86">
        <v>8.0</v>
      </c>
      <c r="B82" s="98" t="s">
        <v>2686</v>
      </c>
      <c r="C82" s="89" t="s">
        <v>2433</v>
      </c>
      <c r="D82" s="89">
        <v>1.0</v>
      </c>
      <c r="E82" s="89" t="s">
        <v>2434</v>
      </c>
      <c r="F82" s="89" t="s">
        <v>2348</v>
      </c>
      <c r="G82" s="97" t="s">
        <v>2479</v>
      </c>
      <c r="H82" s="97" t="s">
        <v>2546</v>
      </c>
      <c r="I82" s="90" t="s">
        <v>2687</v>
      </c>
      <c r="J82" s="91" t="s">
        <v>2536</v>
      </c>
      <c r="K82" s="92" t="s">
        <v>2537</v>
      </c>
      <c r="L82" s="93"/>
      <c r="M82" s="93"/>
      <c r="N82" s="94"/>
      <c r="O82" s="94"/>
      <c r="P82" s="94"/>
      <c r="Q82" s="94"/>
      <c r="R82" s="95"/>
      <c r="S82" s="95" t="s">
        <v>22</v>
      </c>
      <c r="T82" s="96"/>
      <c r="U82" s="96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151">
        <v>9.0</v>
      </c>
      <c r="B83" s="152" t="s">
        <v>2457</v>
      </c>
      <c r="C83" s="153" t="s">
        <v>2433</v>
      </c>
      <c r="D83" s="153">
        <v>1.0</v>
      </c>
      <c r="E83" s="153" t="s">
        <v>2434</v>
      </c>
      <c r="F83" s="153" t="s">
        <v>2458</v>
      </c>
      <c r="G83" s="97" t="s">
        <v>2459</v>
      </c>
      <c r="H83" s="97"/>
      <c r="I83" s="90"/>
      <c r="J83" s="91"/>
      <c r="K83" s="92"/>
      <c r="L83" s="93"/>
      <c r="M83" s="93"/>
      <c r="N83" s="94"/>
      <c r="O83" s="94"/>
      <c r="P83" s="94"/>
      <c r="Q83" s="94"/>
      <c r="R83" s="95"/>
      <c r="S83" s="100"/>
      <c r="T83" s="96"/>
      <c r="U83" s="96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86">
        <v>10.0</v>
      </c>
      <c r="B84" s="98" t="s">
        <v>2688</v>
      </c>
      <c r="C84" s="89" t="s">
        <v>2427</v>
      </c>
      <c r="D84" s="89">
        <v>1.0</v>
      </c>
      <c r="E84" s="89" t="s">
        <v>2434</v>
      </c>
      <c r="F84" s="89" t="s">
        <v>2353</v>
      </c>
      <c r="G84" s="97"/>
      <c r="H84" s="97" t="s">
        <v>2543</v>
      </c>
      <c r="I84" s="90" t="s">
        <v>2689</v>
      </c>
      <c r="J84" s="91" t="s">
        <v>2552</v>
      </c>
      <c r="K84" s="92" t="s">
        <v>2537</v>
      </c>
      <c r="L84" s="93"/>
      <c r="M84" s="93"/>
      <c r="N84" s="94"/>
      <c r="O84" s="94"/>
      <c r="P84" s="94"/>
      <c r="Q84" s="94"/>
      <c r="R84" s="95"/>
      <c r="S84" s="95" t="s">
        <v>22</v>
      </c>
      <c r="T84" s="96"/>
      <c r="U84" s="96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86">
        <v>11.0</v>
      </c>
      <c r="B85" s="98" t="s">
        <v>287</v>
      </c>
      <c r="C85" s="89" t="s">
        <v>2427</v>
      </c>
      <c r="D85" s="89">
        <v>1.0</v>
      </c>
      <c r="E85" s="89" t="s">
        <v>2434</v>
      </c>
      <c r="F85" s="89" t="s">
        <v>2466</v>
      </c>
      <c r="G85" s="97" t="s">
        <v>2690</v>
      </c>
      <c r="H85" s="97" t="s">
        <v>2691</v>
      </c>
      <c r="I85" s="90" t="s">
        <v>2692</v>
      </c>
      <c r="J85" s="91" t="s">
        <v>2433</v>
      </c>
      <c r="K85" s="92" t="s">
        <v>2537</v>
      </c>
      <c r="L85" s="93"/>
      <c r="M85" s="93"/>
      <c r="N85" s="94"/>
      <c r="O85" s="94"/>
      <c r="P85" s="94"/>
      <c r="Q85" s="94"/>
      <c r="R85" s="95"/>
      <c r="S85" s="100"/>
      <c r="T85" s="96"/>
      <c r="U85" s="96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86">
        <v>12.0</v>
      </c>
      <c r="B86" s="98" t="s">
        <v>490</v>
      </c>
      <c r="C86" s="89" t="s">
        <v>2427</v>
      </c>
      <c r="D86" s="89">
        <v>1.0</v>
      </c>
      <c r="E86" s="89" t="s">
        <v>2434</v>
      </c>
      <c r="F86" s="89" t="s">
        <v>2348</v>
      </c>
      <c r="G86" s="97" t="s">
        <v>2479</v>
      </c>
      <c r="H86" s="97" t="s">
        <v>2546</v>
      </c>
      <c r="I86" s="90" t="s">
        <v>2693</v>
      </c>
      <c r="J86" s="91" t="s">
        <v>2433</v>
      </c>
      <c r="K86" s="92" t="s">
        <v>2537</v>
      </c>
      <c r="L86" s="93"/>
      <c r="M86" s="93"/>
      <c r="N86" s="94"/>
      <c r="O86" s="94"/>
      <c r="P86" s="94"/>
      <c r="Q86" s="94"/>
      <c r="R86" s="95"/>
      <c r="S86" s="100"/>
      <c r="T86" s="96"/>
      <c r="U86" s="96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51">
        <v>13.0</v>
      </c>
      <c r="B87" s="152" t="s">
        <v>2460</v>
      </c>
      <c r="C87" s="153" t="s">
        <v>2433</v>
      </c>
      <c r="D87" s="153">
        <v>2.0</v>
      </c>
      <c r="E87" s="153" t="s">
        <v>2434</v>
      </c>
      <c r="F87" s="153" t="s">
        <v>2461</v>
      </c>
      <c r="G87" s="97"/>
      <c r="H87" s="97"/>
      <c r="I87" s="90"/>
      <c r="J87" s="91"/>
      <c r="K87" s="92"/>
      <c r="L87" s="93"/>
      <c r="M87" s="93"/>
      <c r="N87" s="94"/>
      <c r="O87" s="94"/>
      <c r="P87" s="94"/>
      <c r="Q87" s="94"/>
      <c r="R87" s="95"/>
      <c r="S87" s="100"/>
      <c r="T87" s="96"/>
      <c r="U87" s="96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51">
        <v>14.0</v>
      </c>
      <c r="B88" s="152" t="s">
        <v>2439</v>
      </c>
      <c r="C88" s="153" t="s">
        <v>2433</v>
      </c>
      <c r="D88" s="153">
        <v>2.0</v>
      </c>
      <c r="E88" s="153" t="s">
        <v>2434</v>
      </c>
      <c r="F88" s="153" t="s">
        <v>2366</v>
      </c>
      <c r="G88" s="97"/>
      <c r="H88" s="97"/>
      <c r="I88" s="90"/>
      <c r="J88" s="91"/>
      <c r="K88" s="92"/>
      <c r="L88" s="93"/>
      <c r="M88" s="93"/>
      <c r="N88" s="94"/>
      <c r="O88" s="94"/>
      <c r="P88" s="94"/>
      <c r="Q88" s="94"/>
      <c r="R88" s="95"/>
      <c r="S88" s="100"/>
      <c r="T88" s="96"/>
      <c r="U88" s="96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151">
        <v>15.0</v>
      </c>
      <c r="B89" s="98" t="s">
        <v>2694</v>
      </c>
      <c r="C89" s="89" t="s">
        <v>2433</v>
      </c>
      <c r="D89" s="89">
        <v>2.0</v>
      </c>
      <c r="E89" s="89" t="s">
        <v>2434</v>
      </c>
      <c r="F89" s="89" t="s">
        <v>2366</v>
      </c>
      <c r="G89" s="97"/>
      <c r="H89" s="97"/>
      <c r="I89" s="90"/>
      <c r="J89" s="91"/>
      <c r="K89" s="92"/>
      <c r="L89" s="93"/>
      <c r="M89" s="93"/>
      <c r="N89" s="94"/>
      <c r="O89" s="94"/>
      <c r="P89" s="94"/>
      <c r="Q89" s="94"/>
      <c r="R89" s="95"/>
      <c r="S89" s="100"/>
      <c r="T89" s="96"/>
      <c r="U89" s="96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86">
        <v>16.0</v>
      </c>
      <c r="B90" s="98" t="s">
        <v>1397</v>
      </c>
      <c r="C90" s="102" t="s">
        <v>2433</v>
      </c>
      <c r="D90" s="89">
        <v>2.0</v>
      </c>
      <c r="E90" s="89" t="s">
        <v>2434</v>
      </c>
      <c r="F90" s="89" t="s">
        <v>2446</v>
      </c>
      <c r="G90" s="97" t="s">
        <v>2695</v>
      </c>
      <c r="H90" s="97" t="s">
        <v>2696</v>
      </c>
      <c r="I90" s="90" t="s">
        <v>2697</v>
      </c>
      <c r="J90" s="91" t="s">
        <v>2552</v>
      </c>
      <c r="K90" s="92" t="s">
        <v>2537</v>
      </c>
      <c r="L90" s="93"/>
      <c r="M90" s="93"/>
      <c r="N90" s="94"/>
      <c r="O90" s="94"/>
      <c r="P90" s="94"/>
      <c r="Q90" s="94"/>
      <c r="R90" s="95"/>
      <c r="S90" s="95" t="s">
        <v>2698</v>
      </c>
      <c r="T90" s="96"/>
      <c r="U90" s="96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86">
        <v>17.0</v>
      </c>
      <c r="B91" s="98" t="s">
        <v>809</v>
      </c>
      <c r="C91" s="102" t="s">
        <v>2433</v>
      </c>
      <c r="D91" s="89">
        <v>2.0</v>
      </c>
      <c r="E91" s="89" t="s">
        <v>2434</v>
      </c>
      <c r="F91" s="89" t="s">
        <v>2446</v>
      </c>
      <c r="G91" s="97" t="s">
        <v>2448</v>
      </c>
      <c r="H91" s="97"/>
      <c r="I91" s="90" t="s">
        <v>2699</v>
      </c>
      <c r="J91" s="91" t="s">
        <v>2433</v>
      </c>
      <c r="K91" s="92" t="s">
        <v>2537</v>
      </c>
      <c r="L91" s="93"/>
      <c r="M91" s="93"/>
      <c r="N91" s="94"/>
      <c r="O91" s="94"/>
      <c r="P91" s="94"/>
      <c r="Q91" s="94"/>
      <c r="R91" s="95"/>
      <c r="S91" s="95" t="s">
        <v>2700</v>
      </c>
      <c r="T91" s="96"/>
      <c r="U91" s="96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151">
        <v>18.0</v>
      </c>
      <c r="B92" s="152" t="s">
        <v>2445</v>
      </c>
      <c r="C92" s="154" t="s">
        <v>2433</v>
      </c>
      <c r="D92" s="153">
        <v>2.0</v>
      </c>
      <c r="E92" s="153" t="s">
        <v>2434</v>
      </c>
      <c r="F92" s="153" t="s">
        <v>2446</v>
      </c>
      <c r="G92" s="97"/>
      <c r="H92" s="97"/>
      <c r="I92" s="90"/>
      <c r="J92" s="91"/>
      <c r="K92" s="92"/>
      <c r="L92" s="93"/>
      <c r="M92" s="93"/>
      <c r="N92" s="94"/>
      <c r="O92" s="94"/>
      <c r="P92" s="94"/>
      <c r="Q92" s="94"/>
      <c r="R92" s="95"/>
      <c r="S92" s="100"/>
      <c r="T92" s="96"/>
      <c r="U92" s="96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86">
        <v>19.0</v>
      </c>
      <c r="B93" s="98" t="s">
        <v>700</v>
      </c>
      <c r="C93" s="102" t="s">
        <v>2433</v>
      </c>
      <c r="D93" s="89">
        <v>2.0</v>
      </c>
      <c r="E93" s="89" t="s">
        <v>2434</v>
      </c>
      <c r="F93" s="89" t="s">
        <v>2348</v>
      </c>
      <c r="G93" s="97" t="s">
        <v>2479</v>
      </c>
      <c r="H93" s="97" t="s">
        <v>2683</v>
      </c>
      <c r="I93" s="90" t="s">
        <v>2701</v>
      </c>
      <c r="J93" s="91" t="s">
        <v>2552</v>
      </c>
      <c r="K93" s="92" t="s">
        <v>2537</v>
      </c>
      <c r="L93" s="93"/>
      <c r="M93" s="93"/>
      <c r="N93" s="94"/>
      <c r="O93" s="94"/>
      <c r="P93" s="94"/>
      <c r="Q93" s="94"/>
      <c r="R93" s="95"/>
      <c r="S93" s="95" t="s">
        <v>2685</v>
      </c>
      <c r="T93" s="96"/>
      <c r="U93" s="96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86">
        <v>20.0</v>
      </c>
      <c r="B94" s="98" t="s">
        <v>2702</v>
      </c>
      <c r="C94" s="102" t="s">
        <v>2433</v>
      </c>
      <c r="D94" s="89">
        <v>2.0</v>
      </c>
      <c r="E94" s="89" t="s">
        <v>2434</v>
      </c>
      <c r="F94" s="89" t="s">
        <v>2357</v>
      </c>
      <c r="G94" s="97"/>
      <c r="H94" s="97" t="s">
        <v>2703</v>
      </c>
      <c r="I94" s="90" t="s">
        <v>2704</v>
      </c>
      <c r="J94" s="91" t="s">
        <v>2552</v>
      </c>
      <c r="K94" s="92" t="s">
        <v>2537</v>
      </c>
      <c r="L94" s="93"/>
      <c r="M94" s="93"/>
      <c r="N94" s="94"/>
      <c r="O94" s="94"/>
      <c r="P94" s="94"/>
      <c r="Q94" s="94"/>
      <c r="R94" s="95"/>
      <c r="S94" s="95" t="s">
        <v>2594</v>
      </c>
      <c r="T94" s="96"/>
      <c r="U94" s="96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86">
        <v>21.0</v>
      </c>
      <c r="B95" s="98" t="s">
        <v>2705</v>
      </c>
      <c r="C95" s="102" t="s">
        <v>2433</v>
      </c>
      <c r="D95" s="89">
        <v>2.0</v>
      </c>
      <c r="E95" s="89" t="s">
        <v>2434</v>
      </c>
      <c r="F95" s="89" t="s">
        <v>2357</v>
      </c>
      <c r="G95" s="97" t="s">
        <v>2706</v>
      </c>
      <c r="H95" s="97" t="s">
        <v>2703</v>
      </c>
      <c r="I95" s="90" t="s">
        <v>2707</v>
      </c>
      <c r="J95" s="91" t="s">
        <v>2552</v>
      </c>
      <c r="K95" s="92" t="s">
        <v>2537</v>
      </c>
      <c r="L95" s="93"/>
      <c r="M95" s="93"/>
      <c r="N95" s="94"/>
      <c r="O95" s="94"/>
      <c r="P95" s="94"/>
      <c r="Q95" s="94"/>
      <c r="R95" s="95"/>
      <c r="S95" s="95" t="s">
        <v>22</v>
      </c>
      <c r="T95" s="96"/>
      <c r="U95" s="96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86">
        <v>22.0</v>
      </c>
      <c r="B96" s="98" t="s">
        <v>75</v>
      </c>
      <c r="C96" s="89" t="s">
        <v>2433</v>
      </c>
      <c r="D96" s="89">
        <v>2.0</v>
      </c>
      <c r="E96" s="89" t="s">
        <v>2434</v>
      </c>
      <c r="F96" s="89" t="s">
        <v>2357</v>
      </c>
      <c r="G96" s="97" t="s">
        <v>2454</v>
      </c>
      <c r="H96" s="97" t="s">
        <v>2560</v>
      </c>
      <c r="I96" s="90" t="s">
        <v>2708</v>
      </c>
      <c r="J96" s="91" t="s">
        <v>2552</v>
      </c>
      <c r="K96" s="92" t="s">
        <v>2537</v>
      </c>
      <c r="L96" s="93"/>
      <c r="M96" s="93"/>
      <c r="N96" s="94"/>
      <c r="O96" s="94"/>
      <c r="P96" s="94"/>
      <c r="Q96" s="94"/>
      <c r="R96" s="95"/>
      <c r="S96" s="100"/>
      <c r="T96" s="96"/>
      <c r="U96" s="96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51">
        <v>23.0</v>
      </c>
      <c r="B97" s="152" t="s">
        <v>2462</v>
      </c>
      <c r="C97" s="153" t="s">
        <v>2427</v>
      </c>
      <c r="D97" s="153">
        <v>2.0</v>
      </c>
      <c r="E97" s="153" t="s">
        <v>2434</v>
      </c>
      <c r="F97" s="153" t="s">
        <v>2374</v>
      </c>
      <c r="G97" s="97"/>
      <c r="H97" s="97"/>
      <c r="I97" s="90"/>
      <c r="J97" s="91"/>
      <c r="K97" s="92"/>
      <c r="L97" s="93"/>
      <c r="M97" s="93"/>
      <c r="N97" s="94"/>
      <c r="O97" s="94"/>
      <c r="P97" s="94"/>
      <c r="Q97" s="94"/>
      <c r="R97" s="95"/>
      <c r="S97" s="100"/>
      <c r="T97" s="96"/>
      <c r="U97" s="96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86">
        <v>24.0</v>
      </c>
      <c r="B98" s="98" t="s">
        <v>2709</v>
      </c>
      <c r="C98" s="89" t="s">
        <v>2427</v>
      </c>
      <c r="D98" s="89">
        <v>2.0</v>
      </c>
      <c r="E98" s="89" t="s">
        <v>2434</v>
      </c>
      <c r="F98" s="89" t="s">
        <v>2366</v>
      </c>
      <c r="G98" s="97" t="s">
        <v>2441</v>
      </c>
      <c r="H98" s="97" t="s">
        <v>2563</v>
      </c>
      <c r="I98" s="90" t="s">
        <v>2710</v>
      </c>
      <c r="J98" s="91" t="s">
        <v>2433</v>
      </c>
      <c r="K98" s="92" t="s">
        <v>2537</v>
      </c>
      <c r="L98" s="93"/>
      <c r="M98" s="93"/>
      <c r="N98" s="94"/>
      <c r="O98" s="94"/>
      <c r="P98" s="94"/>
      <c r="Q98" s="94"/>
      <c r="R98" s="95"/>
      <c r="S98" s="100"/>
      <c r="T98" s="96"/>
      <c r="U98" s="96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86">
        <v>25.0</v>
      </c>
      <c r="B99" s="98" t="s">
        <v>2711</v>
      </c>
      <c r="C99" s="89" t="s">
        <v>2427</v>
      </c>
      <c r="D99" s="89">
        <v>2.0</v>
      </c>
      <c r="E99" s="89" t="s">
        <v>2434</v>
      </c>
      <c r="F99" s="89" t="s">
        <v>2348</v>
      </c>
      <c r="G99" s="97"/>
      <c r="H99" s="97" t="s">
        <v>2712</v>
      </c>
      <c r="I99" s="90" t="s">
        <v>2713</v>
      </c>
      <c r="J99" s="91" t="s">
        <v>2526</v>
      </c>
      <c r="K99" s="92" t="s">
        <v>2537</v>
      </c>
      <c r="L99" s="93"/>
      <c r="M99" s="93"/>
      <c r="N99" s="94"/>
      <c r="O99" s="94"/>
      <c r="P99" s="94"/>
      <c r="Q99" s="94"/>
      <c r="R99" s="95"/>
      <c r="S99" s="100"/>
      <c r="T99" s="96"/>
      <c r="U99" s="96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86">
        <v>26.0</v>
      </c>
      <c r="B100" s="98" t="s">
        <v>2714</v>
      </c>
      <c r="C100" s="89" t="s">
        <v>2427</v>
      </c>
      <c r="D100" s="89">
        <v>2.0</v>
      </c>
      <c r="E100" s="89" t="s">
        <v>2434</v>
      </c>
      <c r="F100" s="89" t="s">
        <v>2357</v>
      </c>
      <c r="G100" s="97" t="s">
        <v>2715</v>
      </c>
      <c r="H100" s="97" t="s">
        <v>1632</v>
      </c>
      <c r="I100" s="90" t="s">
        <v>2716</v>
      </c>
      <c r="J100" s="91" t="s">
        <v>2433</v>
      </c>
      <c r="K100" s="92" t="s">
        <v>2537</v>
      </c>
      <c r="L100" s="93"/>
      <c r="M100" s="93"/>
      <c r="N100" s="94"/>
      <c r="O100" s="94"/>
      <c r="P100" s="94"/>
      <c r="Q100" s="94"/>
      <c r="R100" s="95"/>
      <c r="S100" s="100"/>
      <c r="T100" s="96"/>
      <c r="U100" s="96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151">
        <v>27.0</v>
      </c>
      <c r="B101" s="152" t="s">
        <v>2463</v>
      </c>
      <c r="C101" s="153" t="s">
        <v>2433</v>
      </c>
      <c r="D101" s="153">
        <v>3.0</v>
      </c>
      <c r="E101" s="153" t="s">
        <v>2434</v>
      </c>
      <c r="F101" s="153" t="s">
        <v>2374</v>
      </c>
      <c r="G101" s="97"/>
      <c r="H101" s="97"/>
      <c r="I101" s="90"/>
      <c r="J101" s="91"/>
      <c r="K101" s="92"/>
      <c r="L101" s="93"/>
      <c r="M101" s="93"/>
      <c r="N101" s="94"/>
      <c r="O101" s="94"/>
      <c r="P101" s="94"/>
      <c r="Q101" s="94"/>
      <c r="R101" s="95"/>
      <c r="S101" s="100"/>
      <c r="T101" s="96"/>
      <c r="U101" s="96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86">
        <v>28.0</v>
      </c>
      <c r="B102" s="98" t="s">
        <v>2717</v>
      </c>
      <c r="C102" s="89" t="s">
        <v>2433</v>
      </c>
      <c r="D102" s="89">
        <v>3.0</v>
      </c>
      <c r="E102" s="89" t="s">
        <v>2434</v>
      </c>
      <c r="F102" s="89" t="s">
        <v>2374</v>
      </c>
      <c r="G102" s="97" t="s">
        <v>2649</v>
      </c>
      <c r="H102" s="97" t="s">
        <v>2718</v>
      </c>
      <c r="I102" s="90" t="s">
        <v>2719</v>
      </c>
      <c r="J102" s="91" t="s">
        <v>2526</v>
      </c>
      <c r="K102" s="92" t="s">
        <v>2537</v>
      </c>
      <c r="L102" s="93"/>
      <c r="M102" s="93"/>
      <c r="N102" s="94"/>
      <c r="O102" s="94"/>
      <c r="P102" s="94"/>
      <c r="Q102" s="94"/>
      <c r="R102" s="95"/>
      <c r="S102" s="95"/>
      <c r="T102" s="96"/>
      <c r="U102" s="96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86">
        <v>29.0</v>
      </c>
      <c r="B103" s="98" t="s">
        <v>995</v>
      </c>
      <c r="C103" s="89" t="s">
        <v>2433</v>
      </c>
      <c r="D103" s="89">
        <v>3.0</v>
      </c>
      <c r="E103" s="89" t="s">
        <v>2434</v>
      </c>
      <c r="F103" s="89" t="s">
        <v>2366</v>
      </c>
      <c r="G103" s="97" t="s">
        <v>2720</v>
      </c>
      <c r="H103" s="97" t="s">
        <v>2721</v>
      </c>
      <c r="I103" s="90" t="s">
        <v>2722</v>
      </c>
      <c r="J103" s="91" t="s">
        <v>2552</v>
      </c>
      <c r="K103" s="92" t="s">
        <v>2537</v>
      </c>
      <c r="L103" s="93"/>
      <c r="M103" s="93"/>
      <c r="N103" s="94"/>
      <c r="O103" s="94"/>
      <c r="P103" s="94"/>
      <c r="Q103" s="94"/>
      <c r="R103" s="95"/>
      <c r="S103" s="100"/>
      <c r="T103" s="96"/>
      <c r="U103" s="96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86">
        <v>30.0</v>
      </c>
      <c r="B104" s="98" t="s">
        <v>1134</v>
      </c>
      <c r="C104" s="89" t="s">
        <v>2433</v>
      </c>
      <c r="D104" s="89">
        <v>3.0</v>
      </c>
      <c r="E104" s="89" t="s">
        <v>2434</v>
      </c>
      <c r="F104" s="89" t="s">
        <v>2446</v>
      </c>
      <c r="G104" s="97" t="s">
        <v>2695</v>
      </c>
      <c r="H104" s="97" t="s">
        <v>2696</v>
      </c>
      <c r="I104" s="90" t="s">
        <v>2723</v>
      </c>
      <c r="J104" s="91" t="s">
        <v>2552</v>
      </c>
      <c r="K104" s="92" t="s">
        <v>2537</v>
      </c>
      <c r="L104" s="93"/>
      <c r="M104" s="93"/>
      <c r="N104" s="94"/>
      <c r="O104" s="94"/>
      <c r="P104" s="94"/>
      <c r="Q104" s="94"/>
      <c r="R104" s="95"/>
      <c r="S104" s="100"/>
      <c r="T104" s="96"/>
      <c r="U104" s="96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86">
        <v>31.0</v>
      </c>
      <c r="B105" s="98" t="s">
        <v>1907</v>
      </c>
      <c r="C105" s="89" t="s">
        <v>2433</v>
      </c>
      <c r="D105" s="89">
        <v>3.0</v>
      </c>
      <c r="E105" s="89" t="s">
        <v>2434</v>
      </c>
      <c r="F105" s="89" t="s">
        <v>2446</v>
      </c>
      <c r="G105" s="97"/>
      <c r="H105" s="97" t="s">
        <v>2582</v>
      </c>
      <c r="I105" s="90" t="s">
        <v>2724</v>
      </c>
      <c r="J105" s="91" t="s">
        <v>2433</v>
      </c>
      <c r="K105" s="92" t="s">
        <v>2537</v>
      </c>
      <c r="L105" s="93"/>
      <c r="M105" s="93"/>
      <c r="N105" s="94"/>
      <c r="O105" s="94"/>
      <c r="P105" s="94"/>
      <c r="Q105" s="94"/>
      <c r="R105" s="95"/>
      <c r="S105" s="95" t="s">
        <v>22</v>
      </c>
      <c r="T105" s="96"/>
      <c r="U105" s="96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51">
        <v>32.0</v>
      </c>
      <c r="B106" s="152" t="s">
        <v>2328</v>
      </c>
      <c r="C106" s="153" t="s">
        <v>2433</v>
      </c>
      <c r="D106" s="153">
        <v>3.0</v>
      </c>
      <c r="E106" s="153" t="s">
        <v>2434</v>
      </c>
      <c r="F106" s="153" t="s">
        <v>2446</v>
      </c>
      <c r="G106" s="97"/>
      <c r="H106" s="97"/>
      <c r="I106" s="90"/>
      <c r="J106" s="91"/>
      <c r="K106" s="92"/>
      <c r="L106" s="93"/>
      <c r="M106" s="93"/>
      <c r="N106" s="94"/>
      <c r="O106" s="94"/>
      <c r="P106" s="94"/>
      <c r="Q106" s="94"/>
      <c r="R106" s="95"/>
      <c r="S106" s="100"/>
      <c r="T106" s="96"/>
      <c r="U106" s="96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86">
        <v>33.0</v>
      </c>
      <c r="B107" s="98" t="s">
        <v>2725</v>
      </c>
      <c r="C107" s="89" t="s">
        <v>2433</v>
      </c>
      <c r="D107" s="89">
        <v>3.0</v>
      </c>
      <c r="E107" s="89" t="s">
        <v>2434</v>
      </c>
      <c r="F107" s="89" t="s">
        <v>2348</v>
      </c>
      <c r="G107" s="89" t="s">
        <v>2620</v>
      </c>
      <c r="H107" s="97" t="s">
        <v>2621</v>
      </c>
      <c r="I107" s="167" t="s">
        <v>2725</v>
      </c>
      <c r="J107" s="91" t="s">
        <v>2536</v>
      </c>
      <c r="K107" s="92" t="s">
        <v>2537</v>
      </c>
      <c r="L107" s="93"/>
      <c r="M107" s="93"/>
      <c r="N107" s="94"/>
      <c r="O107" s="94"/>
      <c r="P107" s="94"/>
      <c r="Q107" s="94"/>
      <c r="R107" s="95"/>
      <c r="S107" s="100"/>
      <c r="T107" s="96"/>
      <c r="U107" s="96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86">
        <v>34.0</v>
      </c>
      <c r="B108" s="98" t="s">
        <v>2726</v>
      </c>
      <c r="C108" s="89" t="s">
        <v>2433</v>
      </c>
      <c r="D108" s="89">
        <v>3.0</v>
      </c>
      <c r="E108" s="89" t="s">
        <v>2434</v>
      </c>
      <c r="F108" s="89" t="s">
        <v>2348</v>
      </c>
      <c r="G108" s="97" t="s">
        <v>2586</v>
      </c>
      <c r="H108" s="97" t="s">
        <v>2727</v>
      </c>
      <c r="I108" s="90" t="s">
        <v>2728</v>
      </c>
      <c r="J108" s="91" t="s">
        <v>2536</v>
      </c>
      <c r="K108" s="92" t="s">
        <v>2537</v>
      </c>
      <c r="L108" s="93"/>
      <c r="M108" s="93"/>
      <c r="N108" s="94"/>
      <c r="O108" s="94"/>
      <c r="P108" s="94"/>
      <c r="Q108" s="94"/>
      <c r="R108" s="95"/>
      <c r="S108" s="100"/>
      <c r="T108" s="96"/>
      <c r="U108" s="96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86">
        <v>35.0</v>
      </c>
      <c r="B109" s="98" t="s">
        <v>1017</v>
      </c>
      <c r="C109" s="89" t="s">
        <v>2433</v>
      </c>
      <c r="D109" s="89">
        <v>3.0</v>
      </c>
      <c r="E109" s="89" t="s">
        <v>2434</v>
      </c>
      <c r="F109" s="89" t="s">
        <v>2348</v>
      </c>
      <c r="G109" s="97" t="s">
        <v>2729</v>
      </c>
      <c r="H109" s="97" t="s">
        <v>2730</v>
      </c>
      <c r="I109" s="90" t="s">
        <v>2731</v>
      </c>
      <c r="J109" s="91" t="s">
        <v>2433</v>
      </c>
      <c r="K109" s="92" t="s">
        <v>2537</v>
      </c>
      <c r="L109" s="93"/>
      <c r="M109" s="93"/>
      <c r="N109" s="94"/>
      <c r="O109" s="94"/>
      <c r="P109" s="94"/>
      <c r="Q109" s="94"/>
      <c r="R109" s="95"/>
      <c r="S109" s="95"/>
      <c r="T109" s="96"/>
      <c r="U109" s="96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86">
        <v>36.0</v>
      </c>
      <c r="B110" s="98" t="s">
        <v>2732</v>
      </c>
      <c r="C110" s="89" t="s">
        <v>2433</v>
      </c>
      <c r="D110" s="89">
        <v>3.0</v>
      </c>
      <c r="E110" s="89" t="s">
        <v>2434</v>
      </c>
      <c r="F110" s="89" t="s">
        <v>2348</v>
      </c>
      <c r="G110" s="97" t="s">
        <v>2729</v>
      </c>
      <c r="H110" s="97" t="s">
        <v>2730</v>
      </c>
      <c r="I110" s="90" t="s">
        <v>2733</v>
      </c>
      <c r="J110" s="91" t="s">
        <v>2552</v>
      </c>
      <c r="K110" s="92" t="s">
        <v>2537</v>
      </c>
      <c r="L110" s="93"/>
      <c r="M110" s="93"/>
      <c r="N110" s="94"/>
      <c r="O110" s="94"/>
      <c r="P110" s="94"/>
      <c r="Q110" s="94"/>
      <c r="R110" s="95"/>
      <c r="S110" s="95"/>
      <c r="T110" s="96"/>
      <c r="U110" s="96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86">
        <v>37.0</v>
      </c>
      <c r="B111" s="98" t="s">
        <v>2734</v>
      </c>
      <c r="C111" s="89" t="s">
        <v>2433</v>
      </c>
      <c r="D111" s="89">
        <v>3.0</v>
      </c>
      <c r="E111" s="89" t="s">
        <v>2434</v>
      </c>
      <c r="F111" s="89" t="s">
        <v>2357</v>
      </c>
      <c r="G111" s="97" t="s">
        <v>2735</v>
      </c>
      <c r="H111" s="97" t="s">
        <v>2560</v>
      </c>
      <c r="I111" s="90" t="s">
        <v>1541</v>
      </c>
      <c r="J111" s="91" t="s">
        <v>2433</v>
      </c>
      <c r="K111" s="92" t="s">
        <v>2537</v>
      </c>
      <c r="L111" s="93"/>
      <c r="M111" s="93"/>
      <c r="N111" s="94"/>
      <c r="O111" s="94"/>
      <c r="P111" s="94"/>
      <c r="Q111" s="94"/>
      <c r="R111" s="95"/>
      <c r="S111" s="95" t="s">
        <v>22</v>
      </c>
      <c r="T111" s="96"/>
      <c r="U111" s="96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86">
        <v>38.0</v>
      </c>
      <c r="B112" s="98" t="s">
        <v>955</v>
      </c>
      <c r="C112" s="89" t="s">
        <v>2433</v>
      </c>
      <c r="D112" s="89">
        <v>3.0</v>
      </c>
      <c r="E112" s="89" t="s">
        <v>2434</v>
      </c>
      <c r="F112" s="89" t="s">
        <v>2357</v>
      </c>
      <c r="G112" s="97" t="s">
        <v>2452</v>
      </c>
      <c r="H112" s="86" t="s">
        <v>2572</v>
      </c>
      <c r="I112" s="90" t="s">
        <v>2736</v>
      </c>
      <c r="J112" s="91" t="s">
        <v>2552</v>
      </c>
      <c r="K112" s="92" t="s">
        <v>2557</v>
      </c>
      <c r="L112" s="93"/>
      <c r="M112" s="93"/>
      <c r="N112" s="94"/>
      <c r="O112" s="94"/>
      <c r="P112" s="94"/>
      <c r="Q112" s="94"/>
      <c r="R112" s="95"/>
      <c r="S112" s="100"/>
      <c r="T112" s="96"/>
      <c r="U112" s="96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86">
        <v>39.0</v>
      </c>
      <c r="B113" s="98" t="s">
        <v>2737</v>
      </c>
      <c r="C113" s="89" t="s">
        <v>2433</v>
      </c>
      <c r="D113" s="89">
        <v>3.0</v>
      </c>
      <c r="E113" s="89" t="s">
        <v>2434</v>
      </c>
      <c r="F113" s="89" t="s">
        <v>2357</v>
      </c>
      <c r="G113" s="97" t="s">
        <v>2452</v>
      </c>
      <c r="H113" s="97" t="s">
        <v>2572</v>
      </c>
      <c r="I113" s="90" t="s">
        <v>2738</v>
      </c>
      <c r="J113" s="91" t="s">
        <v>2552</v>
      </c>
      <c r="K113" s="92" t="s">
        <v>2557</v>
      </c>
      <c r="L113" s="93"/>
      <c r="M113" s="93"/>
      <c r="N113" s="94"/>
      <c r="O113" s="94"/>
      <c r="P113" s="94"/>
      <c r="Q113" s="94"/>
      <c r="R113" s="95"/>
      <c r="S113" s="100"/>
      <c r="T113" s="96"/>
      <c r="U113" s="96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86">
        <v>40.0</v>
      </c>
      <c r="B114" s="98" t="s">
        <v>1587</v>
      </c>
      <c r="C114" s="89" t="s">
        <v>2433</v>
      </c>
      <c r="D114" s="89">
        <v>3.0</v>
      </c>
      <c r="E114" s="89" t="s">
        <v>2434</v>
      </c>
      <c r="F114" s="89" t="s">
        <v>2357</v>
      </c>
      <c r="G114" s="97" t="s">
        <v>2454</v>
      </c>
      <c r="H114" s="97" t="s">
        <v>2560</v>
      </c>
      <c r="I114" s="90" t="s">
        <v>2739</v>
      </c>
      <c r="J114" s="91" t="s">
        <v>2552</v>
      </c>
      <c r="K114" s="92" t="s">
        <v>2537</v>
      </c>
      <c r="L114" s="93"/>
      <c r="M114" s="93"/>
      <c r="N114" s="94"/>
      <c r="O114" s="94"/>
      <c r="P114" s="94"/>
      <c r="Q114" s="94"/>
      <c r="R114" s="95"/>
      <c r="S114" s="95" t="s">
        <v>22</v>
      </c>
      <c r="T114" s="96"/>
      <c r="U114" s="96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86">
        <v>41.0</v>
      </c>
      <c r="B115" s="98" t="s">
        <v>1603</v>
      </c>
      <c r="C115" s="89" t="s">
        <v>2427</v>
      </c>
      <c r="D115" s="89">
        <v>3.0</v>
      </c>
      <c r="E115" s="89" t="s">
        <v>2434</v>
      </c>
      <c r="F115" s="89" t="s">
        <v>2374</v>
      </c>
      <c r="G115" s="97" t="s">
        <v>2649</v>
      </c>
      <c r="H115" s="97" t="s">
        <v>2718</v>
      </c>
      <c r="I115" s="90" t="s">
        <v>1603</v>
      </c>
      <c r="J115" s="91" t="s">
        <v>2526</v>
      </c>
      <c r="K115" s="92" t="s">
        <v>2537</v>
      </c>
      <c r="L115" s="93"/>
      <c r="M115" s="93"/>
      <c r="N115" s="94"/>
      <c r="O115" s="94"/>
      <c r="P115" s="94"/>
      <c r="Q115" s="94"/>
      <c r="R115" s="95"/>
      <c r="S115" s="95" t="s">
        <v>22</v>
      </c>
      <c r="T115" s="96"/>
      <c r="U115" s="96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51">
        <v>42.0</v>
      </c>
      <c r="B116" s="152" t="s">
        <v>2464</v>
      </c>
      <c r="C116" s="153" t="s">
        <v>2427</v>
      </c>
      <c r="D116" s="153">
        <v>3.0</v>
      </c>
      <c r="E116" s="153" t="s">
        <v>2434</v>
      </c>
      <c r="F116" s="153" t="s">
        <v>2374</v>
      </c>
      <c r="G116" s="97"/>
      <c r="H116" s="97"/>
      <c r="I116" s="90"/>
      <c r="J116" s="91"/>
      <c r="K116" s="92"/>
      <c r="L116" s="93"/>
      <c r="M116" s="93"/>
      <c r="N116" s="94"/>
      <c r="O116" s="94"/>
      <c r="P116" s="94"/>
      <c r="Q116" s="94"/>
      <c r="R116" s="95"/>
      <c r="S116" s="100"/>
      <c r="T116" s="96"/>
      <c r="U116" s="96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86">
        <v>43.0</v>
      </c>
      <c r="B117" s="98" t="s">
        <v>733</v>
      </c>
      <c r="C117" s="89" t="s">
        <v>2427</v>
      </c>
      <c r="D117" s="89">
        <v>3.0</v>
      </c>
      <c r="E117" s="89" t="s">
        <v>2434</v>
      </c>
      <c r="F117" s="89" t="s">
        <v>2353</v>
      </c>
      <c r="G117" s="97" t="s">
        <v>2740</v>
      </c>
      <c r="H117" s="97" t="s">
        <v>2543</v>
      </c>
      <c r="I117" s="90" t="s">
        <v>733</v>
      </c>
      <c r="J117" s="91" t="s">
        <v>2433</v>
      </c>
      <c r="K117" s="92" t="s">
        <v>2537</v>
      </c>
      <c r="L117" s="93"/>
      <c r="M117" s="93"/>
      <c r="N117" s="94"/>
      <c r="O117" s="94"/>
      <c r="P117" s="94"/>
      <c r="Q117" s="94"/>
      <c r="R117" s="95"/>
      <c r="S117" s="95" t="s">
        <v>22</v>
      </c>
      <c r="T117" s="96"/>
      <c r="U117" s="96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86">
        <v>44.0</v>
      </c>
      <c r="B118" s="98" t="s">
        <v>1569</v>
      </c>
      <c r="C118" s="89" t="s">
        <v>2427</v>
      </c>
      <c r="D118" s="89">
        <v>3.0</v>
      </c>
      <c r="E118" s="89" t="s">
        <v>2434</v>
      </c>
      <c r="F118" s="89" t="s">
        <v>2353</v>
      </c>
      <c r="G118" s="97" t="s">
        <v>2740</v>
      </c>
      <c r="H118" s="97" t="s">
        <v>2543</v>
      </c>
      <c r="I118" s="90" t="s">
        <v>2741</v>
      </c>
      <c r="J118" s="91" t="s">
        <v>2433</v>
      </c>
      <c r="K118" s="92" t="s">
        <v>2537</v>
      </c>
      <c r="L118" s="93"/>
      <c r="M118" s="93"/>
      <c r="N118" s="94"/>
      <c r="O118" s="94"/>
      <c r="P118" s="94"/>
      <c r="Q118" s="94"/>
      <c r="R118" s="95"/>
      <c r="S118" s="95" t="s">
        <v>22</v>
      </c>
      <c r="T118" s="96"/>
      <c r="U118" s="96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86">
        <v>45.0</v>
      </c>
      <c r="B119" s="98" t="s">
        <v>391</v>
      </c>
      <c r="C119" s="89" t="s">
        <v>2427</v>
      </c>
      <c r="D119" s="89">
        <v>3.0</v>
      </c>
      <c r="E119" s="89" t="s">
        <v>2434</v>
      </c>
      <c r="F119" s="89" t="s">
        <v>2387</v>
      </c>
      <c r="G119" s="97"/>
      <c r="H119" s="97" t="s">
        <v>2614</v>
      </c>
      <c r="I119" s="90" t="s">
        <v>2742</v>
      </c>
      <c r="J119" s="91" t="s">
        <v>2433</v>
      </c>
      <c r="K119" s="92" t="s">
        <v>2537</v>
      </c>
      <c r="L119" s="93"/>
      <c r="M119" s="93"/>
      <c r="N119" s="94"/>
      <c r="O119" s="94"/>
      <c r="P119" s="94"/>
      <c r="Q119" s="94"/>
      <c r="R119" s="95"/>
      <c r="S119" s="100"/>
      <c r="T119" s="96"/>
      <c r="U119" s="96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86">
        <v>46.0</v>
      </c>
      <c r="B120" s="98" t="s">
        <v>2743</v>
      </c>
      <c r="C120" s="89" t="s">
        <v>2427</v>
      </c>
      <c r="D120" s="89">
        <v>3.0</v>
      </c>
      <c r="E120" s="89" t="s">
        <v>2434</v>
      </c>
      <c r="F120" s="89" t="s">
        <v>2387</v>
      </c>
      <c r="G120" s="97"/>
      <c r="H120" s="97" t="s">
        <v>2589</v>
      </c>
      <c r="I120" s="90" t="s">
        <v>2744</v>
      </c>
      <c r="J120" s="91" t="s">
        <v>2552</v>
      </c>
      <c r="K120" s="92" t="s">
        <v>2537</v>
      </c>
      <c r="L120" s="93"/>
      <c r="M120" s="93"/>
      <c r="N120" s="94"/>
      <c r="O120" s="94"/>
      <c r="P120" s="94"/>
      <c r="Q120" s="94"/>
      <c r="R120" s="95"/>
      <c r="S120" s="100"/>
      <c r="T120" s="96"/>
      <c r="U120" s="96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51">
        <v>47.0</v>
      </c>
      <c r="B121" s="152" t="s">
        <v>2444</v>
      </c>
      <c r="C121" s="153" t="s">
        <v>2427</v>
      </c>
      <c r="D121" s="153">
        <v>3.0</v>
      </c>
      <c r="E121" s="153" t="s">
        <v>2434</v>
      </c>
      <c r="F121" s="153" t="s">
        <v>2366</v>
      </c>
      <c r="G121" s="97"/>
      <c r="H121" s="97"/>
      <c r="I121" s="90"/>
      <c r="J121" s="91"/>
      <c r="K121" s="92"/>
      <c r="L121" s="93"/>
      <c r="M121" s="93"/>
      <c r="N121" s="94"/>
      <c r="O121" s="94"/>
      <c r="P121" s="94"/>
      <c r="Q121" s="94"/>
      <c r="R121" s="95"/>
      <c r="S121" s="100"/>
      <c r="T121" s="96"/>
      <c r="U121" s="96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86">
        <v>48.0</v>
      </c>
      <c r="B122" s="98" t="s">
        <v>2745</v>
      </c>
      <c r="C122" s="89" t="s">
        <v>2427</v>
      </c>
      <c r="D122" s="89">
        <v>3.0</v>
      </c>
      <c r="E122" s="89" t="s">
        <v>2434</v>
      </c>
      <c r="F122" s="89" t="s">
        <v>2366</v>
      </c>
      <c r="G122" s="97"/>
      <c r="H122" s="97" t="s">
        <v>2587</v>
      </c>
      <c r="I122" s="90" t="s">
        <v>2746</v>
      </c>
      <c r="J122" s="91" t="s">
        <v>2526</v>
      </c>
      <c r="K122" s="92" t="s">
        <v>2557</v>
      </c>
      <c r="L122" s="93"/>
      <c r="M122" s="93"/>
      <c r="N122" s="94"/>
      <c r="O122" s="94"/>
      <c r="P122" s="94"/>
      <c r="Q122" s="94"/>
      <c r="R122" s="95"/>
      <c r="S122" s="100"/>
      <c r="T122" s="96"/>
      <c r="U122" s="96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86">
        <v>49.0</v>
      </c>
      <c r="B123" s="98" t="s">
        <v>2747</v>
      </c>
      <c r="C123" s="89" t="s">
        <v>2427</v>
      </c>
      <c r="D123" s="89">
        <v>3.0</v>
      </c>
      <c r="E123" s="89" t="s">
        <v>2434</v>
      </c>
      <c r="F123" s="89" t="s">
        <v>2361</v>
      </c>
      <c r="G123" s="97" t="s">
        <v>2429</v>
      </c>
      <c r="H123" s="97" t="s">
        <v>2569</v>
      </c>
      <c r="I123" s="90" t="s">
        <v>2748</v>
      </c>
      <c r="J123" s="91" t="s">
        <v>2433</v>
      </c>
      <c r="K123" s="92" t="s">
        <v>2537</v>
      </c>
      <c r="L123" s="93"/>
      <c r="M123" s="93"/>
      <c r="N123" s="94"/>
      <c r="O123" s="94"/>
      <c r="P123" s="94"/>
      <c r="Q123" s="94"/>
      <c r="R123" s="95"/>
      <c r="S123" s="100"/>
      <c r="T123" s="96"/>
      <c r="U123" s="96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86">
        <v>50.0</v>
      </c>
      <c r="B124" s="98" t="s">
        <v>1841</v>
      </c>
      <c r="C124" s="89" t="s">
        <v>2427</v>
      </c>
      <c r="D124" s="89">
        <v>3.0</v>
      </c>
      <c r="E124" s="89" t="s">
        <v>2434</v>
      </c>
      <c r="F124" s="89" t="s">
        <v>2466</v>
      </c>
      <c r="G124" s="97" t="s">
        <v>2749</v>
      </c>
      <c r="H124" s="97" t="s">
        <v>2534</v>
      </c>
      <c r="I124" s="90" t="s">
        <v>2750</v>
      </c>
      <c r="J124" s="91" t="s">
        <v>2433</v>
      </c>
      <c r="K124" s="92" t="s">
        <v>2537</v>
      </c>
      <c r="L124" s="93"/>
      <c r="M124" s="93"/>
      <c r="N124" s="94"/>
      <c r="O124" s="94"/>
      <c r="P124" s="94"/>
      <c r="Q124" s="94"/>
      <c r="R124" s="95"/>
      <c r="S124" s="95" t="s">
        <v>2751</v>
      </c>
      <c r="T124" s="96"/>
      <c r="U124" s="96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86">
        <v>51.0</v>
      </c>
      <c r="B125" s="98" t="s">
        <v>2752</v>
      </c>
      <c r="C125" s="89" t="s">
        <v>2427</v>
      </c>
      <c r="D125" s="89">
        <v>3.0</v>
      </c>
      <c r="E125" s="89" t="s">
        <v>2434</v>
      </c>
      <c r="F125" s="89" t="s">
        <v>2466</v>
      </c>
      <c r="G125" s="97" t="s">
        <v>2753</v>
      </c>
      <c r="H125" s="97" t="s">
        <v>2754</v>
      </c>
      <c r="I125" s="90" t="s">
        <v>2755</v>
      </c>
      <c r="J125" s="91" t="s">
        <v>2552</v>
      </c>
      <c r="K125" s="92" t="s">
        <v>2537</v>
      </c>
      <c r="L125" s="93"/>
      <c r="M125" s="93"/>
      <c r="N125" s="94"/>
      <c r="O125" s="94"/>
      <c r="P125" s="94"/>
      <c r="Q125" s="94"/>
      <c r="R125" s="95"/>
      <c r="S125" s="95" t="s">
        <v>2756</v>
      </c>
      <c r="T125" s="96"/>
      <c r="U125" s="96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86">
        <v>52.0</v>
      </c>
      <c r="B126" s="98" t="s">
        <v>2757</v>
      </c>
      <c r="C126" s="89" t="s">
        <v>2427</v>
      </c>
      <c r="D126" s="89">
        <v>3.0</v>
      </c>
      <c r="E126" s="89" t="s">
        <v>2434</v>
      </c>
      <c r="F126" s="89" t="s">
        <v>2446</v>
      </c>
      <c r="G126" s="97" t="s">
        <v>2616</v>
      </c>
      <c r="H126" s="97" t="s">
        <v>2617</v>
      </c>
      <c r="I126" s="90" t="s">
        <v>2758</v>
      </c>
      <c r="J126" s="91" t="s">
        <v>2552</v>
      </c>
      <c r="K126" s="92" t="s">
        <v>2537</v>
      </c>
      <c r="L126" s="93"/>
      <c r="M126" s="93"/>
      <c r="N126" s="94"/>
      <c r="O126" s="94"/>
      <c r="P126" s="94"/>
      <c r="Q126" s="94"/>
      <c r="R126" s="95"/>
      <c r="S126" s="95" t="s">
        <v>22</v>
      </c>
      <c r="T126" s="96"/>
      <c r="U126" s="96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51">
        <v>53.0</v>
      </c>
      <c r="B127" s="152" t="s">
        <v>2262</v>
      </c>
      <c r="C127" s="153" t="s">
        <v>2427</v>
      </c>
      <c r="D127" s="153">
        <v>3.0</v>
      </c>
      <c r="E127" s="153" t="s">
        <v>2434</v>
      </c>
      <c r="F127" s="153" t="s">
        <v>2446</v>
      </c>
      <c r="G127" s="97"/>
      <c r="H127" s="97"/>
      <c r="I127" s="90"/>
      <c r="J127" s="91"/>
      <c r="K127" s="92"/>
      <c r="L127" s="93"/>
      <c r="M127" s="93"/>
      <c r="N127" s="94"/>
      <c r="O127" s="94"/>
      <c r="P127" s="94"/>
      <c r="Q127" s="94"/>
      <c r="R127" s="95"/>
      <c r="S127" s="100"/>
      <c r="T127" s="96"/>
      <c r="U127" s="96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86">
        <v>54.0</v>
      </c>
      <c r="B128" s="98" t="s">
        <v>2759</v>
      </c>
      <c r="C128" s="89" t="s">
        <v>2427</v>
      </c>
      <c r="D128" s="89">
        <v>3.0</v>
      </c>
      <c r="E128" s="89" t="s">
        <v>2434</v>
      </c>
      <c r="F128" s="89" t="s">
        <v>2446</v>
      </c>
      <c r="G128" s="97" t="s">
        <v>2581</v>
      </c>
      <c r="H128" s="97"/>
      <c r="I128" s="90" t="s">
        <v>2760</v>
      </c>
      <c r="J128" s="91" t="s">
        <v>2552</v>
      </c>
      <c r="K128" s="92" t="s">
        <v>2537</v>
      </c>
      <c r="L128" s="93"/>
      <c r="M128" s="93"/>
      <c r="N128" s="94"/>
      <c r="O128" s="94"/>
      <c r="P128" s="94"/>
      <c r="Q128" s="94"/>
      <c r="R128" s="95"/>
      <c r="S128" s="95" t="s">
        <v>2527</v>
      </c>
      <c r="T128" s="96"/>
      <c r="U128" s="96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68">
        <v>55.0</v>
      </c>
      <c r="B129" s="169" t="s">
        <v>1768</v>
      </c>
      <c r="C129" s="170" t="s">
        <v>2427</v>
      </c>
      <c r="D129" s="170">
        <v>3.0</v>
      </c>
      <c r="E129" s="170" t="s">
        <v>2434</v>
      </c>
      <c r="F129" s="170" t="s">
        <v>2357</v>
      </c>
      <c r="G129" s="171"/>
      <c r="H129" s="97"/>
      <c r="I129" s="90"/>
      <c r="J129" s="91"/>
      <c r="K129" s="92"/>
      <c r="L129" s="93"/>
      <c r="M129" s="93"/>
      <c r="N129" s="94"/>
      <c r="O129" s="94"/>
      <c r="P129" s="94"/>
      <c r="Q129" s="94"/>
      <c r="R129" s="95"/>
      <c r="S129" s="100"/>
      <c r="T129" s="96"/>
      <c r="U129" s="96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55">
        <v>56.0</v>
      </c>
      <c r="B130" s="156" t="s">
        <v>2456</v>
      </c>
      <c r="C130" s="155" t="s">
        <v>2427</v>
      </c>
      <c r="D130" s="155">
        <v>3.0</v>
      </c>
      <c r="E130" s="155" t="s">
        <v>2434</v>
      </c>
      <c r="F130" s="155" t="s">
        <v>2357</v>
      </c>
      <c r="G130" s="97"/>
      <c r="H130" s="108"/>
      <c r="I130" s="90"/>
      <c r="J130" s="91"/>
      <c r="K130" s="92"/>
      <c r="L130" s="93"/>
      <c r="M130" s="93"/>
      <c r="N130" s="94"/>
      <c r="O130" s="94"/>
      <c r="P130" s="94"/>
      <c r="Q130" s="94"/>
      <c r="R130" s="95"/>
      <c r="S130" s="100"/>
      <c r="T130" s="96"/>
      <c r="U130" s="96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57">
        <v>57.0</v>
      </c>
      <c r="B131" s="172" t="s">
        <v>1701</v>
      </c>
      <c r="C131" s="173" t="s">
        <v>2433</v>
      </c>
      <c r="D131" s="173">
        <v>1.0</v>
      </c>
      <c r="E131" s="173" t="s">
        <v>2450</v>
      </c>
      <c r="F131" s="173" t="s">
        <v>2374</v>
      </c>
      <c r="G131" s="174"/>
      <c r="H131" s="97"/>
      <c r="I131" s="90"/>
      <c r="J131" s="91"/>
      <c r="K131" s="92"/>
      <c r="L131" s="93"/>
      <c r="M131" s="93"/>
      <c r="N131" s="94"/>
      <c r="O131" s="94"/>
      <c r="P131" s="94"/>
      <c r="Q131" s="94"/>
      <c r="R131" s="95"/>
      <c r="S131" s="100"/>
      <c r="T131" s="96"/>
      <c r="U131" s="96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51">
        <v>58.0</v>
      </c>
      <c r="B132" s="152" t="s">
        <v>2465</v>
      </c>
      <c r="C132" s="153" t="s">
        <v>2433</v>
      </c>
      <c r="D132" s="153">
        <v>1.0</v>
      </c>
      <c r="E132" s="153" t="s">
        <v>2450</v>
      </c>
      <c r="F132" s="153" t="s">
        <v>2466</v>
      </c>
      <c r="G132" s="97" t="s">
        <v>2467</v>
      </c>
      <c r="H132" s="97"/>
      <c r="I132" s="90"/>
      <c r="J132" s="91"/>
      <c r="K132" s="92"/>
      <c r="L132" s="93"/>
      <c r="M132" s="93"/>
      <c r="N132" s="94"/>
      <c r="O132" s="94"/>
      <c r="P132" s="94"/>
      <c r="Q132" s="94"/>
      <c r="R132" s="95"/>
      <c r="S132" s="100"/>
      <c r="T132" s="96"/>
      <c r="U132" s="96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03">
        <v>59.0</v>
      </c>
      <c r="B133" s="98" t="s">
        <v>1811</v>
      </c>
      <c r="C133" s="89" t="s">
        <v>2433</v>
      </c>
      <c r="D133" s="89">
        <v>1.0</v>
      </c>
      <c r="E133" s="89" t="s">
        <v>2450</v>
      </c>
      <c r="F133" s="89" t="s">
        <v>2466</v>
      </c>
      <c r="G133" s="97" t="s">
        <v>2761</v>
      </c>
      <c r="H133" s="97" t="s">
        <v>2762</v>
      </c>
      <c r="I133" s="90" t="s">
        <v>2763</v>
      </c>
      <c r="J133" s="91" t="s">
        <v>2552</v>
      </c>
      <c r="K133" s="92" t="s">
        <v>2557</v>
      </c>
      <c r="L133" s="93"/>
      <c r="M133" s="93"/>
      <c r="N133" s="94"/>
      <c r="O133" s="94"/>
      <c r="P133" s="94"/>
      <c r="Q133" s="94"/>
      <c r="R133" s="95"/>
      <c r="S133" s="100"/>
      <c r="T133" s="96"/>
      <c r="U133" s="96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51">
        <v>60.0</v>
      </c>
      <c r="B134" s="152" t="s">
        <v>2468</v>
      </c>
      <c r="C134" s="153" t="s">
        <v>2433</v>
      </c>
      <c r="D134" s="153">
        <v>1.0</v>
      </c>
      <c r="E134" s="153" t="s">
        <v>2450</v>
      </c>
      <c r="F134" s="153" t="s">
        <v>2466</v>
      </c>
      <c r="G134" s="97"/>
      <c r="H134" s="97"/>
      <c r="I134" s="90"/>
      <c r="J134" s="91"/>
      <c r="K134" s="92"/>
      <c r="L134" s="93"/>
      <c r="M134" s="93"/>
      <c r="N134" s="94"/>
      <c r="O134" s="94"/>
      <c r="P134" s="94"/>
      <c r="Q134" s="94"/>
      <c r="R134" s="95"/>
      <c r="S134" s="100"/>
      <c r="T134" s="96"/>
      <c r="U134" s="96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57">
        <v>61.0</v>
      </c>
      <c r="B135" s="152" t="s">
        <v>2469</v>
      </c>
      <c r="C135" s="153" t="s">
        <v>2433</v>
      </c>
      <c r="D135" s="153">
        <v>1.0</v>
      </c>
      <c r="E135" s="153" t="s">
        <v>2450</v>
      </c>
      <c r="F135" s="153" t="s">
        <v>2348</v>
      </c>
      <c r="G135" s="97"/>
      <c r="H135" s="97"/>
      <c r="I135" s="90"/>
      <c r="J135" s="91"/>
      <c r="K135" s="92"/>
      <c r="L135" s="93"/>
      <c r="M135" s="93"/>
      <c r="N135" s="94"/>
      <c r="O135" s="94"/>
      <c r="P135" s="94"/>
      <c r="Q135" s="94"/>
      <c r="R135" s="95"/>
      <c r="S135" s="95"/>
      <c r="T135" s="96"/>
      <c r="U135" s="96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51">
        <v>62.0</v>
      </c>
      <c r="B136" s="152" t="s">
        <v>2470</v>
      </c>
      <c r="C136" s="153" t="s">
        <v>2433</v>
      </c>
      <c r="D136" s="153">
        <v>1.0</v>
      </c>
      <c r="E136" s="153" t="s">
        <v>2450</v>
      </c>
      <c r="F136" s="153" t="s">
        <v>2348</v>
      </c>
      <c r="G136" s="97"/>
      <c r="H136" s="97"/>
      <c r="I136" s="90"/>
      <c r="J136" s="91"/>
      <c r="K136" s="92"/>
      <c r="L136" s="93"/>
      <c r="M136" s="93"/>
      <c r="N136" s="94"/>
      <c r="O136" s="94"/>
      <c r="P136" s="94"/>
      <c r="Q136" s="94"/>
      <c r="R136" s="95"/>
      <c r="S136" s="100"/>
      <c r="T136" s="96"/>
      <c r="U136" s="96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03">
        <v>63.0</v>
      </c>
      <c r="B137" s="98" t="s">
        <v>929</v>
      </c>
      <c r="C137" s="89" t="s">
        <v>2433</v>
      </c>
      <c r="D137" s="89">
        <v>1.0</v>
      </c>
      <c r="E137" s="89" t="s">
        <v>2450</v>
      </c>
      <c r="F137" s="89" t="s">
        <v>2348</v>
      </c>
      <c r="G137" s="97" t="s">
        <v>2592</v>
      </c>
      <c r="H137" s="97" t="s">
        <v>2764</v>
      </c>
      <c r="I137" s="90" t="s">
        <v>2765</v>
      </c>
      <c r="J137" s="91" t="s">
        <v>2552</v>
      </c>
      <c r="K137" s="92" t="s">
        <v>2537</v>
      </c>
      <c r="L137" s="93"/>
      <c r="M137" s="93"/>
      <c r="N137" s="94"/>
      <c r="O137" s="94"/>
      <c r="P137" s="94"/>
      <c r="Q137" s="94"/>
      <c r="R137" s="95"/>
      <c r="S137" s="95" t="s">
        <v>2756</v>
      </c>
      <c r="T137" s="96"/>
      <c r="U137" s="96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86">
        <v>64.0</v>
      </c>
      <c r="B138" s="98" t="s">
        <v>2766</v>
      </c>
      <c r="C138" s="89" t="s">
        <v>2433</v>
      </c>
      <c r="D138" s="89">
        <v>1.0</v>
      </c>
      <c r="E138" s="89" t="s">
        <v>2450</v>
      </c>
      <c r="F138" s="89" t="s">
        <v>2348</v>
      </c>
      <c r="G138" s="89" t="s">
        <v>2479</v>
      </c>
      <c r="H138" s="97" t="s">
        <v>2480</v>
      </c>
      <c r="I138" s="90" t="s">
        <v>2767</v>
      </c>
      <c r="J138" s="91" t="s">
        <v>2536</v>
      </c>
      <c r="K138" s="92" t="s">
        <v>2557</v>
      </c>
      <c r="L138" s="93"/>
      <c r="M138" s="93"/>
      <c r="N138" s="94"/>
      <c r="O138" s="94"/>
      <c r="P138" s="94"/>
      <c r="Q138" s="94"/>
      <c r="R138" s="95"/>
      <c r="S138" s="95" t="s">
        <v>2768</v>
      </c>
      <c r="T138" s="96"/>
      <c r="U138" s="96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03">
        <v>65.0</v>
      </c>
      <c r="B139" s="98" t="s">
        <v>1756</v>
      </c>
      <c r="C139" s="89" t="s">
        <v>2433</v>
      </c>
      <c r="D139" s="89">
        <v>1.0</v>
      </c>
      <c r="E139" s="89" t="s">
        <v>2450</v>
      </c>
      <c r="F139" s="89" t="s">
        <v>2357</v>
      </c>
      <c r="G139" s="97"/>
      <c r="H139" s="97" t="s">
        <v>2560</v>
      </c>
      <c r="I139" s="90" t="s">
        <v>2769</v>
      </c>
      <c r="J139" s="91" t="s">
        <v>2770</v>
      </c>
      <c r="K139" s="92" t="s">
        <v>2537</v>
      </c>
      <c r="L139" s="93"/>
      <c r="M139" s="93"/>
      <c r="N139" s="94"/>
      <c r="O139" s="94"/>
      <c r="P139" s="94"/>
      <c r="Q139" s="94"/>
      <c r="R139" s="95"/>
      <c r="S139" s="100"/>
      <c r="T139" s="96"/>
      <c r="U139" s="96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86">
        <v>66.0</v>
      </c>
      <c r="B140" s="98" t="s">
        <v>2771</v>
      </c>
      <c r="C140" s="89" t="s">
        <v>2433</v>
      </c>
      <c r="D140" s="89">
        <v>1.0</v>
      </c>
      <c r="E140" s="89" t="s">
        <v>2450</v>
      </c>
      <c r="F140" s="89" t="s">
        <v>2357</v>
      </c>
      <c r="G140" s="97"/>
      <c r="H140" s="97" t="s">
        <v>2560</v>
      </c>
      <c r="I140" s="90" t="s">
        <v>2772</v>
      </c>
      <c r="J140" s="91" t="s">
        <v>2536</v>
      </c>
      <c r="K140" s="92" t="s">
        <v>2537</v>
      </c>
      <c r="L140" s="93"/>
      <c r="M140" s="93"/>
      <c r="N140" s="94"/>
      <c r="O140" s="94"/>
      <c r="P140" s="94"/>
      <c r="Q140" s="94"/>
      <c r="R140" s="95"/>
      <c r="S140" s="100"/>
      <c r="T140" s="96"/>
      <c r="U140" s="96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57">
        <v>67.0</v>
      </c>
      <c r="B141" s="152" t="s">
        <v>2449</v>
      </c>
      <c r="C141" s="153" t="s">
        <v>2433</v>
      </c>
      <c r="D141" s="153">
        <v>1.0</v>
      </c>
      <c r="E141" s="153" t="s">
        <v>2450</v>
      </c>
      <c r="F141" s="153" t="s">
        <v>2357</v>
      </c>
      <c r="G141" s="97"/>
      <c r="H141" s="97"/>
      <c r="I141" s="90"/>
      <c r="J141" s="91"/>
      <c r="K141" s="92"/>
      <c r="L141" s="93"/>
      <c r="M141" s="93"/>
      <c r="N141" s="94"/>
      <c r="O141" s="94"/>
      <c r="P141" s="94"/>
      <c r="Q141" s="94"/>
      <c r="R141" s="95"/>
      <c r="S141" s="100"/>
      <c r="T141" s="96"/>
      <c r="U141" s="96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51">
        <v>68.0</v>
      </c>
      <c r="B142" s="152" t="s">
        <v>2471</v>
      </c>
      <c r="C142" s="153" t="s">
        <v>2433</v>
      </c>
      <c r="D142" s="153">
        <v>2.0</v>
      </c>
      <c r="E142" s="153" t="s">
        <v>2450</v>
      </c>
      <c r="F142" s="153" t="s">
        <v>2387</v>
      </c>
      <c r="G142" s="97"/>
      <c r="H142" s="97"/>
      <c r="I142" s="90"/>
      <c r="J142" s="91"/>
      <c r="K142" s="92"/>
      <c r="L142" s="93"/>
      <c r="M142" s="93"/>
      <c r="N142" s="94"/>
      <c r="O142" s="94"/>
      <c r="P142" s="94"/>
      <c r="Q142" s="94"/>
      <c r="R142" s="95"/>
      <c r="S142" s="100"/>
      <c r="T142" s="96"/>
      <c r="U142" s="96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57">
        <v>69.0</v>
      </c>
      <c r="B143" s="152" t="s">
        <v>2472</v>
      </c>
      <c r="C143" s="153" t="s">
        <v>2433</v>
      </c>
      <c r="D143" s="153">
        <v>2.0</v>
      </c>
      <c r="E143" s="153" t="s">
        <v>2450</v>
      </c>
      <c r="F143" s="153" t="s">
        <v>2387</v>
      </c>
      <c r="G143" s="97"/>
      <c r="H143" s="97"/>
      <c r="I143" s="90"/>
      <c r="J143" s="91"/>
      <c r="K143" s="92"/>
      <c r="L143" s="93"/>
      <c r="M143" s="93"/>
      <c r="N143" s="94"/>
      <c r="O143" s="94"/>
      <c r="P143" s="94"/>
      <c r="Q143" s="94"/>
      <c r="R143" s="95"/>
      <c r="S143" s="100"/>
      <c r="T143" s="96"/>
      <c r="U143" s="96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51">
        <v>70.0</v>
      </c>
      <c r="B144" s="152" t="s">
        <v>2476</v>
      </c>
      <c r="C144" s="153" t="s">
        <v>2433</v>
      </c>
      <c r="D144" s="153">
        <v>2.0</v>
      </c>
      <c r="E144" s="153" t="s">
        <v>2450</v>
      </c>
      <c r="F144" s="153" t="s">
        <v>2446</v>
      </c>
      <c r="G144" s="97"/>
      <c r="H144" s="97"/>
      <c r="I144" s="90"/>
      <c r="J144" s="91"/>
      <c r="K144" s="92"/>
      <c r="L144" s="93"/>
      <c r="M144" s="93"/>
      <c r="N144" s="94"/>
      <c r="O144" s="94"/>
      <c r="P144" s="94"/>
      <c r="Q144" s="94"/>
      <c r="R144" s="95"/>
      <c r="S144" s="100"/>
      <c r="T144" s="96"/>
      <c r="U144" s="96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57">
        <v>71.0</v>
      </c>
      <c r="B145" s="152" t="s">
        <v>2283</v>
      </c>
      <c r="C145" s="153" t="s">
        <v>2433</v>
      </c>
      <c r="D145" s="153">
        <v>2.0</v>
      </c>
      <c r="E145" s="153" t="s">
        <v>2450</v>
      </c>
      <c r="F145" s="153" t="s">
        <v>2446</v>
      </c>
      <c r="G145" s="97"/>
      <c r="H145" s="97"/>
      <c r="I145" s="90"/>
      <c r="J145" s="91"/>
      <c r="K145" s="92"/>
      <c r="L145" s="93"/>
      <c r="M145" s="93"/>
      <c r="N145" s="94"/>
      <c r="O145" s="94"/>
      <c r="P145" s="94"/>
      <c r="Q145" s="94"/>
      <c r="R145" s="95"/>
      <c r="S145" s="100"/>
      <c r="T145" s="96"/>
      <c r="U145" s="96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51">
        <v>72.0</v>
      </c>
      <c r="B146" s="152" t="s">
        <v>2477</v>
      </c>
      <c r="C146" s="153" t="s">
        <v>2433</v>
      </c>
      <c r="D146" s="153">
        <v>2.0</v>
      </c>
      <c r="E146" s="153" t="s">
        <v>2450</v>
      </c>
      <c r="F146" s="153" t="s">
        <v>2446</v>
      </c>
      <c r="G146" s="97"/>
      <c r="H146" s="97"/>
      <c r="I146" s="90"/>
      <c r="J146" s="91"/>
      <c r="K146" s="92"/>
      <c r="L146" s="93"/>
      <c r="M146" s="93"/>
      <c r="N146" s="94"/>
      <c r="O146" s="94"/>
      <c r="P146" s="94"/>
      <c r="Q146" s="94"/>
      <c r="R146" s="95"/>
      <c r="S146" s="100"/>
      <c r="T146" s="96"/>
      <c r="U146" s="96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57">
        <v>73.0</v>
      </c>
      <c r="B147" s="152" t="s">
        <v>2478</v>
      </c>
      <c r="C147" s="153" t="s">
        <v>2433</v>
      </c>
      <c r="D147" s="153">
        <v>2.0</v>
      </c>
      <c r="E147" s="153" t="s">
        <v>2450</v>
      </c>
      <c r="F147" s="153" t="s">
        <v>2348</v>
      </c>
      <c r="G147" s="89" t="s">
        <v>2479</v>
      </c>
      <c r="H147" s="97" t="s">
        <v>2480</v>
      </c>
      <c r="I147" s="90"/>
      <c r="J147" s="91"/>
      <c r="K147" s="92"/>
      <c r="L147" s="93"/>
      <c r="M147" s="93"/>
      <c r="N147" s="94"/>
      <c r="O147" s="94"/>
      <c r="P147" s="94"/>
      <c r="Q147" s="94"/>
      <c r="R147" s="95"/>
      <c r="S147" s="100"/>
      <c r="T147" s="96"/>
      <c r="U147" s="96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51">
        <v>74.0</v>
      </c>
      <c r="B148" s="152" t="s">
        <v>2481</v>
      </c>
      <c r="C148" s="153" t="s">
        <v>2433</v>
      </c>
      <c r="D148" s="153">
        <v>2.0</v>
      </c>
      <c r="E148" s="153" t="s">
        <v>2450</v>
      </c>
      <c r="F148" s="153" t="s">
        <v>2348</v>
      </c>
      <c r="G148" s="89" t="s">
        <v>2479</v>
      </c>
      <c r="H148" s="97" t="s">
        <v>2480</v>
      </c>
      <c r="I148" s="90" t="s">
        <v>2482</v>
      </c>
      <c r="J148" s="91" t="s">
        <v>2433</v>
      </c>
      <c r="K148" s="92"/>
      <c r="L148" s="93"/>
      <c r="M148" s="93"/>
      <c r="N148" s="94"/>
      <c r="O148" s="94"/>
      <c r="P148" s="94"/>
      <c r="Q148" s="94"/>
      <c r="R148" s="95"/>
      <c r="S148" s="100"/>
      <c r="T148" s="96"/>
      <c r="U148" s="96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57">
        <v>75.0</v>
      </c>
      <c r="B149" s="152" t="s">
        <v>2483</v>
      </c>
      <c r="C149" s="153" t="s">
        <v>2433</v>
      </c>
      <c r="D149" s="153">
        <v>2.0</v>
      </c>
      <c r="E149" s="153" t="s">
        <v>2450</v>
      </c>
      <c r="F149" s="153" t="s">
        <v>2357</v>
      </c>
      <c r="G149" s="97"/>
      <c r="H149" s="97"/>
      <c r="I149" s="90"/>
      <c r="J149" s="91"/>
      <c r="K149" s="92"/>
      <c r="L149" s="93"/>
      <c r="M149" s="93"/>
      <c r="N149" s="94"/>
      <c r="O149" s="94"/>
      <c r="P149" s="94"/>
      <c r="Q149" s="94"/>
      <c r="R149" s="95"/>
      <c r="S149" s="100"/>
      <c r="T149" s="96"/>
      <c r="U149" s="96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86">
        <v>76.0</v>
      </c>
      <c r="B150" s="98" t="s">
        <v>2773</v>
      </c>
      <c r="C150" s="89" t="s">
        <v>2433</v>
      </c>
      <c r="D150" s="89">
        <v>2.0</v>
      </c>
      <c r="E150" s="89" t="s">
        <v>2450</v>
      </c>
      <c r="F150" s="89" t="s">
        <v>2357</v>
      </c>
      <c r="G150" s="97"/>
      <c r="H150" s="97" t="s">
        <v>2587</v>
      </c>
      <c r="I150" s="90" t="s">
        <v>2774</v>
      </c>
      <c r="J150" s="91" t="s">
        <v>2536</v>
      </c>
      <c r="K150" s="92" t="s">
        <v>2557</v>
      </c>
      <c r="L150" s="93"/>
      <c r="M150" s="93"/>
      <c r="N150" s="94"/>
      <c r="O150" s="94"/>
      <c r="P150" s="94"/>
      <c r="Q150" s="94"/>
      <c r="R150" s="95"/>
      <c r="S150" s="100"/>
      <c r="T150" s="96"/>
      <c r="U150" s="96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57">
        <v>77.0</v>
      </c>
      <c r="B151" s="152" t="s">
        <v>2474</v>
      </c>
      <c r="C151" s="153" t="s">
        <v>2427</v>
      </c>
      <c r="D151" s="153">
        <v>2.0</v>
      </c>
      <c r="E151" s="153" t="s">
        <v>2450</v>
      </c>
      <c r="F151" s="153" t="s">
        <v>2387</v>
      </c>
      <c r="G151" s="97"/>
      <c r="H151" s="97"/>
      <c r="I151" s="90"/>
      <c r="J151" s="91"/>
      <c r="K151" s="92"/>
      <c r="L151" s="93"/>
      <c r="M151" s="93"/>
      <c r="N151" s="94"/>
      <c r="O151" s="94"/>
      <c r="P151" s="94"/>
      <c r="Q151" s="94"/>
      <c r="R151" s="95"/>
      <c r="S151" s="100"/>
      <c r="T151" s="96"/>
      <c r="U151" s="96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51">
        <v>78.0</v>
      </c>
      <c r="B152" s="152" t="s">
        <v>2484</v>
      </c>
      <c r="C152" s="153" t="s">
        <v>2427</v>
      </c>
      <c r="D152" s="153">
        <v>2.0</v>
      </c>
      <c r="E152" s="153" t="s">
        <v>2450</v>
      </c>
      <c r="F152" s="153" t="s">
        <v>2366</v>
      </c>
      <c r="G152" s="97"/>
      <c r="H152" s="97"/>
      <c r="I152" s="90"/>
      <c r="J152" s="91"/>
      <c r="K152" s="92"/>
      <c r="L152" s="93"/>
      <c r="M152" s="93"/>
      <c r="N152" s="94"/>
      <c r="O152" s="94"/>
      <c r="P152" s="94"/>
      <c r="Q152" s="94"/>
      <c r="R152" s="95"/>
      <c r="S152" s="100"/>
      <c r="T152" s="96"/>
      <c r="U152" s="96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57">
        <v>79.0</v>
      </c>
      <c r="B153" s="152" t="s">
        <v>2268</v>
      </c>
      <c r="C153" s="153" t="s">
        <v>2427</v>
      </c>
      <c r="D153" s="153">
        <v>2.0</v>
      </c>
      <c r="E153" s="153" t="s">
        <v>2450</v>
      </c>
      <c r="F153" s="153" t="s">
        <v>2348</v>
      </c>
      <c r="G153" s="97" t="s">
        <v>2479</v>
      </c>
      <c r="H153" s="97" t="s">
        <v>2480</v>
      </c>
      <c r="I153" s="90"/>
      <c r="J153" s="91"/>
      <c r="K153" s="92"/>
      <c r="L153" s="93"/>
      <c r="M153" s="93"/>
      <c r="N153" s="94"/>
      <c r="O153" s="94"/>
      <c r="P153" s="94"/>
      <c r="Q153" s="94"/>
      <c r="R153" s="95"/>
      <c r="S153" s="100"/>
      <c r="T153" s="96"/>
      <c r="U153" s="96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51">
        <v>80.0</v>
      </c>
      <c r="B154" s="152" t="s">
        <v>2485</v>
      </c>
      <c r="C154" s="153" t="s">
        <v>2427</v>
      </c>
      <c r="D154" s="153">
        <v>2.0</v>
      </c>
      <c r="E154" s="153" t="s">
        <v>2450</v>
      </c>
      <c r="F154" s="153" t="s">
        <v>2348</v>
      </c>
      <c r="G154" s="89" t="s">
        <v>2479</v>
      </c>
      <c r="H154" s="97" t="s">
        <v>2480</v>
      </c>
      <c r="I154" s="90"/>
      <c r="J154" s="91"/>
      <c r="K154" s="92"/>
      <c r="L154" s="93"/>
      <c r="M154" s="93"/>
      <c r="N154" s="94"/>
      <c r="O154" s="94"/>
      <c r="P154" s="94"/>
      <c r="Q154" s="94"/>
      <c r="R154" s="95"/>
      <c r="S154" s="100"/>
      <c r="T154" s="96"/>
      <c r="U154" s="96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03">
        <v>81.0</v>
      </c>
      <c r="B155" s="98" t="s">
        <v>2775</v>
      </c>
      <c r="C155" s="89" t="s">
        <v>2427</v>
      </c>
      <c r="D155" s="89">
        <v>2.0</v>
      </c>
      <c r="E155" s="89" t="s">
        <v>2450</v>
      </c>
      <c r="F155" s="89" t="s">
        <v>2357</v>
      </c>
      <c r="G155" s="97"/>
      <c r="H155" s="97" t="s">
        <v>2776</v>
      </c>
      <c r="I155" s="90" t="s">
        <v>2777</v>
      </c>
      <c r="J155" s="91" t="s">
        <v>2433</v>
      </c>
      <c r="K155" s="92" t="s">
        <v>2537</v>
      </c>
      <c r="L155" s="93"/>
      <c r="M155" s="93"/>
      <c r="N155" s="94"/>
      <c r="O155" s="94"/>
      <c r="P155" s="94"/>
      <c r="Q155" s="94"/>
      <c r="R155" s="95"/>
      <c r="S155" s="100"/>
      <c r="T155" s="96"/>
      <c r="U155" s="96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86">
        <v>82.0</v>
      </c>
      <c r="B156" s="98" t="s">
        <v>2778</v>
      </c>
      <c r="C156" s="89" t="s">
        <v>2427</v>
      </c>
      <c r="D156" s="89">
        <v>2.0</v>
      </c>
      <c r="E156" s="89" t="s">
        <v>2450</v>
      </c>
      <c r="F156" s="89" t="s">
        <v>2357</v>
      </c>
      <c r="G156" s="97"/>
      <c r="H156" s="97" t="s">
        <v>2703</v>
      </c>
      <c r="I156" s="90" t="s">
        <v>2779</v>
      </c>
      <c r="J156" s="91" t="s">
        <v>2433</v>
      </c>
      <c r="K156" s="92" t="s">
        <v>2537</v>
      </c>
      <c r="L156" s="93"/>
      <c r="M156" s="93"/>
      <c r="N156" s="94"/>
      <c r="O156" s="94"/>
      <c r="P156" s="94"/>
      <c r="Q156" s="94"/>
      <c r="R156" s="95"/>
      <c r="S156" s="100"/>
      <c r="T156" s="96"/>
      <c r="U156" s="96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103">
        <v>83.0</v>
      </c>
      <c r="B157" s="98" t="s">
        <v>1273</v>
      </c>
      <c r="C157" s="89" t="s">
        <v>2427</v>
      </c>
      <c r="D157" s="89">
        <v>2.0</v>
      </c>
      <c r="E157" s="89" t="s">
        <v>2450</v>
      </c>
      <c r="F157" s="89" t="s">
        <v>2357</v>
      </c>
      <c r="G157" s="97"/>
      <c r="H157" s="97"/>
      <c r="I157" s="90"/>
      <c r="J157" s="91"/>
      <c r="K157" s="92" t="s">
        <v>2537</v>
      </c>
      <c r="L157" s="93"/>
      <c r="M157" s="93"/>
      <c r="N157" s="94"/>
      <c r="O157" s="94"/>
      <c r="P157" s="94"/>
      <c r="Q157" s="94"/>
      <c r="R157" s="95"/>
      <c r="S157" s="100"/>
      <c r="T157" s="96"/>
      <c r="U157" s="96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86">
        <v>84.0</v>
      </c>
      <c r="B158" s="98" t="s">
        <v>2780</v>
      </c>
      <c r="C158" s="89" t="s">
        <v>2433</v>
      </c>
      <c r="D158" s="89">
        <v>3.0</v>
      </c>
      <c r="E158" s="89" t="s">
        <v>2450</v>
      </c>
      <c r="F158" s="89" t="s">
        <v>2366</v>
      </c>
      <c r="G158" s="97"/>
      <c r="H158" s="97"/>
      <c r="I158" s="90"/>
      <c r="J158" s="91"/>
      <c r="K158" s="92" t="s">
        <v>2537</v>
      </c>
      <c r="L158" s="93"/>
      <c r="M158" s="93"/>
      <c r="N158" s="94"/>
      <c r="O158" s="94"/>
      <c r="P158" s="94"/>
      <c r="Q158" s="94"/>
      <c r="R158" s="95"/>
      <c r="S158" s="100"/>
      <c r="T158" s="96"/>
      <c r="U158" s="96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157">
        <v>85.0</v>
      </c>
      <c r="B159" s="152" t="s">
        <v>2486</v>
      </c>
      <c r="C159" s="153" t="s">
        <v>2433</v>
      </c>
      <c r="D159" s="153">
        <v>3.0</v>
      </c>
      <c r="E159" s="153" t="s">
        <v>2450</v>
      </c>
      <c r="F159" s="153" t="s">
        <v>2366</v>
      </c>
      <c r="G159" s="97"/>
      <c r="H159" s="97"/>
      <c r="I159" s="90"/>
      <c r="J159" s="91"/>
      <c r="K159" s="92"/>
      <c r="L159" s="93"/>
      <c r="M159" s="93"/>
      <c r="N159" s="94"/>
      <c r="O159" s="94"/>
      <c r="P159" s="94"/>
      <c r="Q159" s="94"/>
      <c r="R159" s="95"/>
      <c r="S159" s="100"/>
      <c r="T159" s="96"/>
      <c r="U159" s="96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151">
        <v>86.0</v>
      </c>
      <c r="B160" s="152" t="s">
        <v>2487</v>
      </c>
      <c r="C160" s="153" t="s">
        <v>2433</v>
      </c>
      <c r="D160" s="153">
        <v>3.0</v>
      </c>
      <c r="E160" s="153" t="s">
        <v>2450</v>
      </c>
      <c r="F160" s="153" t="s">
        <v>2446</v>
      </c>
      <c r="G160" s="97"/>
      <c r="H160" s="97"/>
      <c r="I160" s="90"/>
      <c r="J160" s="91"/>
      <c r="K160" s="92"/>
      <c r="L160" s="93"/>
      <c r="M160" s="93"/>
      <c r="N160" s="94"/>
      <c r="O160" s="94"/>
      <c r="P160" s="94"/>
      <c r="Q160" s="94"/>
      <c r="R160" s="95"/>
      <c r="S160" s="100"/>
      <c r="T160" s="96"/>
      <c r="U160" s="96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157">
        <v>87.0</v>
      </c>
      <c r="B161" s="152" t="s">
        <v>2488</v>
      </c>
      <c r="C161" s="153" t="s">
        <v>2433</v>
      </c>
      <c r="D161" s="153">
        <v>3.0</v>
      </c>
      <c r="E161" s="153" t="s">
        <v>2450</v>
      </c>
      <c r="F161" s="153" t="s">
        <v>2348</v>
      </c>
      <c r="G161" s="97"/>
      <c r="H161" s="97"/>
      <c r="I161" s="90"/>
      <c r="J161" s="91"/>
      <c r="K161" s="92"/>
      <c r="L161" s="93"/>
      <c r="M161" s="93"/>
      <c r="N161" s="94"/>
      <c r="O161" s="94"/>
      <c r="P161" s="94"/>
      <c r="Q161" s="94"/>
      <c r="R161" s="95"/>
      <c r="S161" s="100"/>
      <c r="T161" s="96"/>
      <c r="U161" s="96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86">
        <v>88.0</v>
      </c>
      <c r="B162" s="98" t="s">
        <v>1988</v>
      </c>
      <c r="C162" s="89" t="s">
        <v>2433</v>
      </c>
      <c r="D162" s="89">
        <v>3.0</v>
      </c>
      <c r="E162" s="89" t="s">
        <v>2450</v>
      </c>
      <c r="F162" s="89" t="s">
        <v>2348</v>
      </c>
      <c r="G162" s="97" t="s">
        <v>2523</v>
      </c>
      <c r="H162" s="97" t="s">
        <v>2781</v>
      </c>
      <c r="I162" s="90" t="s">
        <v>2782</v>
      </c>
      <c r="J162" s="91" t="s">
        <v>2552</v>
      </c>
      <c r="K162" s="92" t="s">
        <v>2537</v>
      </c>
      <c r="L162" s="93"/>
      <c r="M162" s="93"/>
      <c r="N162" s="94"/>
      <c r="O162" s="94"/>
      <c r="P162" s="94"/>
      <c r="Q162" s="94"/>
      <c r="R162" s="95"/>
      <c r="S162" s="100"/>
      <c r="T162" s="96"/>
      <c r="U162" s="96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03">
        <v>89.0</v>
      </c>
      <c r="B163" s="98" t="s">
        <v>1711</v>
      </c>
      <c r="C163" s="89" t="s">
        <v>2433</v>
      </c>
      <c r="D163" s="89">
        <v>3.0</v>
      </c>
      <c r="E163" s="89" t="s">
        <v>2450</v>
      </c>
      <c r="F163" s="89" t="s">
        <v>2357</v>
      </c>
      <c r="G163" s="97"/>
      <c r="H163" s="97" t="s">
        <v>2703</v>
      </c>
      <c r="I163" s="90" t="s">
        <v>2783</v>
      </c>
      <c r="J163" s="91" t="s">
        <v>2433</v>
      </c>
      <c r="K163" s="92" t="s">
        <v>2537</v>
      </c>
      <c r="L163" s="93"/>
      <c r="M163" s="93"/>
      <c r="N163" s="94"/>
      <c r="O163" s="94"/>
      <c r="P163" s="94"/>
      <c r="Q163" s="94"/>
      <c r="R163" s="95"/>
      <c r="S163" s="95" t="s">
        <v>2784</v>
      </c>
      <c r="T163" s="96"/>
      <c r="U163" s="96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51">
        <v>90.0</v>
      </c>
      <c r="B164" s="98" t="s">
        <v>2785</v>
      </c>
      <c r="C164" s="89" t="s">
        <v>2427</v>
      </c>
      <c r="D164" s="89">
        <v>3.0</v>
      </c>
      <c r="E164" s="89" t="s">
        <v>2450</v>
      </c>
      <c r="F164" s="89" t="s">
        <v>2374</v>
      </c>
      <c r="G164" s="97" t="s">
        <v>2649</v>
      </c>
      <c r="H164" s="97" t="s">
        <v>2718</v>
      </c>
      <c r="I164" s="90">
        <f>SUM(B164:H167)</f>
        <v>12</v>
      </c>
      <c r="J164" s="91" t="s">
        <v>2526</v>
      </c>
      <c r="K164" s="92"/>
      <c r="L164" s="93"/>
      <c r="M164" s="93"/>
      <c r="N164" s="94"/>
      <c r="O164" s="94"/>
      <c r="P164" s="94"/>
      <c r="Q164" s="94"/>
      <c r="R164" s="95"/>
      <c r="S164" s="100"/>
      <c r="T164" s="96"/>
      <c r="U164" s="96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103">
        <v>91.0</v>
      </c>
      <c r="B165" s="98" t="s">
        <v>463</v>
      </c>
      <c r="C165" s="89" t="s">
        <v>2427</v>
      </c>
      <c r="D165" s="89">
        <v>3.0</v>
      </c>
      <c r="E165" s="89" t="s">
        <v>2450</v>
      </c>
      <c r="F165" s="89" t="s">
        <v>2374</v>
      </c>
      <c r="G165" s="97" t="s">
        <v>2649</v>
      </c>
      <c r="H165" s="97" t="s">
        <v>2718</v>
      </c>
      <c r="I165" s="90" t="s">
        <v>463</v>
      </c>
      <c r="J165" s="91" t="s">
        <v>2526</v>
      </c>
      <c r="K165" s="92" t="s">
        <v>2537</v>
      </c>
      <c r="L165" s="93"/>
      <c r="M165" s="93"/>
      <c r="N165" s="94"/>
      <c r="O165" s="94"/>
      <c r="P165" s="94"/>
      <c r="Q165" s="94"/>
      <c r="R165" s="95"/>
      <c r="S165" s="100"/>
      <c r="T165" s="96"/>
      <c r="U165" s="96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86">
        <v>92.0</v>
      </c>
      <c r="B166" s="98" t="s">
        <v>659</v>
      </c>
      <c r="C166" s="89" t="s">
        <v>2427</v>
      </c>
      <c r="D166" s="89">
        <v>3.0</v>
      </c>
      <c r="E166" s="89" t="s">
        <v>2450</v>
      </c>
      <c r="F166" s="89" t="s">
        <v>2374</v>
      </c>
      <c r="G166" s="97" t="s">
        <v>2649</v>
      </c>
      <c r="H166" s="97" t="s">
        <v>2718</v>
      </c>
      <c r="I166" s="90" t="s">
        <v>2786</v>
      </c>
      <c r="J166" s="91" t="s">
        <v>2552</v>
      </c>
      <c r="K166" s="92" t="s">
        <v>2537</v>
      </c>
      <c r="L166" s="93"/>
      <c r="M166" s="93"/>
      <c r="N166" s="94"/>
      <c r="O166" s="94"/>
      <c r="P166" s="94"/>
      <c r="Q166" s="94"/>
      <c r="R166" s="95"/>
      <c r="S166" s="95" t="s">
        <v>2784</v>
      </c>
      <c r="T166" s="96"/>
      <c r="U166" s="96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157">
        <v>93.0</v>
      </c>
      <c r="B167" s="152" t="s">
        <v>2475</v>
      </c>
      <c r="C167" s="153" t="s">
        <v>2427</v>
      </c>
      <c r="D167" s="153">
        <v>3.0</v>
      </c>
      <c r="E167" s="153" t="s">
        <v>2450</v>
      </c>
      <c r="F167" s="153" t="s">
        <v>2387</v>
      </c>
      <c r="G167" s="97"/>
      <c r="H167" s="97"/>
      <c r="I167" s="90"/>
      <c r="J167" s="91"/>
      <c r="K167" s="92"/>
      <c r="L167" s="93"/>
      <c r="M167" s="93"/>
      <c r="N167" s="94"/>
      <c r="O167" s="94"/>
      <c r="P167" s="94"/>
      <c r="Q167" s="94"/>
      <c r="R167" s="95"/>
      <c r="S167" s="100"/>
      <c r="T167" s="96"/>
      <c r="U167" s="96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86">
        <v>94.0</v>
      </c>
      <c r="B168" s="98" t="s">
        <v>2787</v>
      </c>
      <c r="C168" s="89" t="s">
        <v>2427</v>
      </c>
      <c r="D168" s="89">
        <v>3.0</v>
      </c>
      <c r="E168" s="89" t="s">
        <v>2450</v>
      </c>
      <c r="F168" s="89" t="s">
        <v>2446</v>
      </c>
      <c r="G168" s="97"/>
      <c r="H168" s="97" t="s">
        <v>2788</v>
      </c>
      <c r="I168" s="90" t="s">
        <v>2789</v>
      </c>
      <c r="J168" s="91" t="s">
        <v>2433</v>
      </c>
      <c r="K168" s="92" t="s">
        <v>2537</v>
      </c>
      <c r="L168" s="93"/>
      <c r="M168" s="93"/>
      <c r="N168" s="94"/>
      <c r="O168" s="94"/>
      <c r="P168" s="94"/>
      <c r="Q168" s="94"/>
      <c r="R168" s="95"/>
      <c r="S168" s="100"/>
      <c r="T168" s="96"/>
      <c r="U168" s="96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57">
        <v>95.0</v>
      </c>
      <c r="B169" s="152" t="s">
        <v>2489</v>
      </c>
      <c r="C169" s="153" t="s">
        <v>2427</v>
      </c>
      <c r="D169" s="153">
        <v>3.0</v>
      </c>
      <c r="E169" s="153" t="s">
        <v>2450</v>
      </c>
      <c r="F169" s="153" t="s">
        <v>2446</v>
      </c>
      <c r="G169" s="97"/>
      <c r="H169" s="97"/>
      <c r="I169" s="90"/>
      <c r="J169" s="91"/>
      <c r="K169" s="92"/>
      <c r="L169" s="93"/>
      <c r="M169" s="93"/>
      <c r="N169" s="94"/>
      <c r="O169" s="94"/>
      <c r="P169" s="94"/>
      <c r="Q169" s="94"/>
      <c r="R169" s="95"/>
      <c r="S169" s="100"/>
      <c r="T169" s="96"/>
      <c r="U169" s="96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151">
        <v>96.0</v>
      </c>
      <c r="B170" s="152" t="s">
        <v>2490</v>
      </c>
      <c r="C170" s="153" t="s">
        <v>2427</v>
      </c>
      <c r="D170" s="153">
        <v>3.0</v>
      </c>
      <c r="E170" s="153" t="s">
        <v>2450</v>
      </c>
      <c r="F170" s="153" t="s">
        <v>2348</v>
      </c>
      <c r="G170" s="89" t="s">
        <v>2479</v>
      </c>
      <c r="H170" s="97" t="s">
        <v>2480</v>
      </c>
      <c r="I170" s="90"/>
      <c r="J170" s="91"/>
      <c r="K170" s="92"/>
      <c r="L170" s="93"/>
      <c r="M170" s="93"/>
      <c r="N170" s="94"/>
      <c r="O170" s="94"/>
      <c r="P170" s="94"/>
      <c r="Q170" s="94"/>
      <c r="R170" s="95"/>
      <c r="S170" s="100"/>
      <c r="T170" s="96"/>
      <c r="U170" s="96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03">
        <v>97.0</v>
      </c>
      <c r="B171" s="98" t="s">
        <v>2790</v>
      </c>
      <c r="C171" s="89" t="s">
        <v>2427</v>
      </c>
      <c r="D171" s="89">
        <v>3.0</v>
      </c>
      <c r="E171" s="89" t="s">
        <v>2450</v>
      </c>
      <c r="F171" s="89" t="s">
        <v>2348</v>
      </c>
      <c r="G171" s="97" t="s">
        <v>2523</v>
      </c>
      <c r="H171" s="97" t="s">
        <v>2781</v>
      </c>
      <c r="I171" s="90" t="s">
        <v>2791</v>
      </c>
      <c r="J171" s="91" t="s">
        <v>2526</v>
      </c>
      <c r="K171" s="92" t="s">
        <v>2537</v>
      </c>
      <c r="L171" s="93"/>
      <c r="M171" s="93"/>
      <c r="N171" s="94"/>
      <c r="O171" s="94"/>
      <c r="P171" s="94"/>
      <c r="Q171" s="94"/>
      <c r="R171" s="95"/>
      <c r="S171" s="95" t="s">
        <v>2792</v>
      </c>
      <c r="T171" s="96"/>
      <c r="U171" s="96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175">
        <v>98.0</v>
      </c>
      <c r="B172" s="87" t="s">
        <v>2793</v>
      </c>
      <c r="C172" s="88" t="s">
        <v>2427</v>
      </c>
      <c r="D172" s="88">
        <v>3.0</v>
      </c>
      <c r="E172" s="88" t="s">
        <v>2450</v>
      </c>
      <c r="F172" s="88" t="s">
        <v>2357</v>
      </c>
      <c r="G172" s="97"/>
      <c r="H172" s="97"/>
      <c r="I172" s="90"/>
      <c r="J172" s="91"/>
      <c r="K172" s="92"/>
      <c r="L172" s="93"/>
      <c r="M172" s="93"/>
      <c r="N172" s="94"/>
      <c r="O172" s="94"/>
      <c r="P172" s="94"/>
      <c r="Q172" s="94"/>
      <c r="R172" s="95"/>
      <c r="S172" s="95" t="s">
        <v>2794</v>
      </c>
      <c r="T172" s="96"/>
      <c r="U172" s="96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103">
        <v>99.0</v>
      </c>
      <c r="B173" s="98" t="s">
        <v>716</v>
      </c>
      <c r="C173" s="89" t="s">
        <v>2427</v>
      </c>
      <c r="D173" s="89">
        <v>3.0</v>
      </c>
      <c r="E173" s="89" t="s">
        <v>2450</v>
      </c>
      <c r="F173" s="89" t="s">
        <v>2357</v>
      </c>
      <c r="G173" s="97"/>
      <c r="H173" s="97"/>
      <c r="I173" s="90"/>
      <c r="J173" s="91"/>
      <c r="K173" s="92" t="s">
        <v>2537</v>
      </c>
      <c r="L173" s="93"/>
      <c r="M173" s="93"/>
      <c r="N173" s="94"/>
      <c r="O173" s="94"/>
      <c r="P173" s="94"/>
      <c r="Q173" s="94"/>
      <c r="R173" s="95"/>
      <c r="S173" s="100"/>
      <c r="T173" s="96"/>
      <c r="U173" s="96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86"/>
      <c r="B174" s="176" t="s">
        <v>2795</v>
      </c>
      <c r="C174" s="97"/>
      <c r="D174" s="97"/>
      <c r="E174" s="97"/>
      <c r="F174" s="97"/>
      <c r="G174" s="97"/>
      <c r="H174" s="97"/>
      <c r="I174" s="90"/>
      <c r="J174" s="91"/>
      <c r="K174" s="92"/>
      <c r="L174" s="93"/>
      <c r="M174" s="93"/>
      <c r="N174" s="94"/>
      <c r="O174" s="94"/>
      <c r="P174" s="94"/>
      <c r="Q174" s="94"/>
      <c r="R174" s="95"/>
      <c r="S174" s="100"/>
      <c r="T174" s="96"/>
      <c r="U174" s="96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86"/>
      <c r="B175" s="176" t="s">
        <v>2796</v>
      </c>
      <c r="C175" s="97"/>
      <c r="D175" s="97"/>
      <c r="E175" s="97"/>
      <c r="F175" s="97"/>
      <c r="G175" s="97"/>
      <c r="H175" s="97"/>
      <c r="I175" s="90"/>
      <c r="J175" s="91"/>
      <c r="K175" s="92"/>
      <c r="L175" s="93"/>
      <c r="M175" s="93"/>
      <c r="N175" s="94"/>
      <c r="O175" s="94"/>
      <c r="P175" s="94"/>
      <c r="Q175" s="94"/>
      <c r="R175" s="95"/>
      <c r="S175" s="100"/>
      <c r="T175" s="96"/>
      <c r="U175" s="96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86"/>
      <c r="B176" s="176" t="s">
        <v>2796</v>
      </c>
      <c r="C176" s="97"/>
      <c r="D176" s="97"/>
      <c r="E176" s="97"/>
      <c r="F176" s="97"/>
      <c r="G176" s="97"/>
      <c r="H176" s="97"/>
      <c r="I176" s="90"/>
      <c r="J176" s="91"/>
      <c r="K176" s="92"/>
      <c r="L176" s="93"/>
      <c r="M176" s="93"/>
      <c r="N176" s="94"/>
      <c r="O176" s="94"/>
      <c r="P176" s="94"/>
      <c r="Q176" s="94"/>
      <c r="R176" s="95"/>
      <c r="S176" s="100"/>
      <c r="T176" s="96"/>
      <c r="U176" s="96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86"/>
      <c r="B177" s="176" t="s">
        <v>2796</v>
      </c>
      <c r="C177" s="97"/>
      <c r="D177" s="97"/>
      <c r="E177" s="97"/>
      <c r="F177" s="97"/>
      <c r="G177" s="97"/>
      <c r="H177" s="97"/>
      <c r="I177" s="90"/>
      <c r="J177" s="91"/>
      <c r="K177" s="92"/>
      <c r="L177" s="93"/>
      <c r="M177" s="93"/>
      <c r="N177" s="94"/>
      <c r="O177" s="94"/>
      <c r="P177" s="94"/>
      <c r="Q177" s="94"/>
      <c r="R177" s="95"/>
      <c r="S177" s="100"/>
      <c r="T177" s="96"/>
      <c r="U177" s="96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86"/>
      <c r="B178" s="176" t="s">
        <v>2796</v>
      </c>
      <c r="C178" s="97"/>
      <c r="D178" s="97"/>
      <c r="E178" s="97"/>
      <c r="F178" s="97"/>
      <c r="G178" s="97"/>
      <c r="H178" s="97"/>
      <c r="I178" s="90"/>
      <c r="J178" s="91"/>
      <c r="K178" s="92"/>
      <c r="L178" s="93"/>
      <c r="M178" s="93"/>
      <c r="N178" s="94"/>
      <c r="O178" s="94"/>
      <c r="P178" s="94"/>
      <c r="Q178" s="94"/>
      <c r="R178" s="95"/>
      <c r="S178" s="100"/>
      <c r="T178" s="96"/>
      <c r="U178" s="96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86"/>
      <c r="B179" s="176" t="s">
        <v>2796</v>
      </c>
      <c r="C179" s="97"/>
      <c r="D179" s="97"/>
      <c r="E179" s="97"/>
      <c r="F179" s="97"/>
      <c r="G179" s="97"/>
      <c r="H179" s="97"/>
      <c r="I179" s="90"/>
      <c r="J179" s="91"/>
      <c r="K179" s="92"/>
      <c r="L179" s="93"/>
      <c r="M179" s="93"/>
      <c r="N179" s="94"/>
      <c r="O179" s="94"/>
      <c r="P179" s="94"/>
      <c r="Q179" s="94"/>
      <c r="R179" s="95"/>
      <c r="S179" s="100"/>
      <c r="T179" s="96"/>
      <c r="U179" s="96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86"/>
      <c r="B180" s="176" t="s">
        <v>2796</v>
      </c>
      <c r="C180" s="97"/>
      <c r="D180" s="97"/>
      <c r="E180" s="97"/>
      <c r="F180" s="97"/>
      <c r="G180" s="97"/>
      <c r="H180" s="97"/>
      <c r="I180" s="90"/>
      <c r="J180" s="91"/>
      <c r="K180" s="92"/>
      <c r="L180" s="93"/>
      <c r="M180" s="93"/>
      <c r="N180" s="94"/>
      <c r="O180" s="94"/>
      <c r="P180" s="94"/>
      <c r="Q180" s="94"/>
      <c r="R180" s="95"/>
      <c r="S180" s="100"/>
      <c r="T180" s="96"/>
      <c r="U180" s="96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86"/>
      <c r="B181" s="176" t="s">
        <v>2796</v>
      </c>
      <c r="C181" s="97"/>
      <c r="D181" s="97"/>
      <c r="E181" s="97"/>
      <c r="F181" s="97"/>
      <c r="G181" s="97"/>
      <c r="H181" s="97"/>
      <c r="I181" s="90"/>
      <c r="J181" s="91"/>
      <c r="K181" s="92"/>
      <c r="L181" s="93"/>
      <c r="M181" s="93"/>
      <c r="N181" s="94"/>
      <c r="O181" s="94"/>
      <c r="P181" s="94"/>
      <c r="Q181" s="94"/>
      <c r="R181" s="95"/>
      <c r="S181" s="100"/>
      <c r="T181" s="96"/>
      <c r="U181" s="96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09"/>
      <c r="B182" s="110"/>
      <c r="C182" s="109"/>
      <c r="D182" s="109"/>
      <c r="E182" s="109"/>
      <c r="F182" s="109"/>
      <c r="G182" s="109"/>
      <c r="H182" s="109"/>
      <c r="I182" s="111"/>
      <c r="J182" s="112"/>
      <c r="K182" s="113"/>
      <c r="L182" s="113"/>
      <c r="M182" s="113"/>
      <c r="N182" s="112"/>
      <c r="O182" s="112"/>
      <c r="P182" s="112"/>
      <c r="Q182" s="112"/>
      <c r="R182" s="114"/>
      <c r="S182" s="115"/>
      <c r="T182" s="116"/>
      <c r="U182" s="116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17"/>
      <c r="B183" s="118"/>
      <c r="C183" s="117"/>
      <c r="D183" s="117"/>
      <c r="E183" s="117"/>
      <c r="F183" s="117"/>
      <c r="G183" s="117"/>
      <c r="H183" s="117"/>
      <c r="I183" s="119"/>
      <c r="J183" s="117"/>
      <c r="K183" s="120"/>
      <c r="L183" s="120"/>
      <c r="M183" s="120"/>
      <c r="N183" s="117"/>
      <c r="O183" s="117"/>
      <c r="P183" s="117"/>
      <c r="Q183" s="117"/>
      <c r="R183" s="121"/>
      <c r="S183" s="121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17"/>
      <c r="B184" s="120" t="str">
        <f>CONCATENATE(COUNTIF($C$9:$C$173, "M"), "/", COUNTA($A$9:A173), " MALE")</f>
        <v>85/165 MALE</v>
      </c>
      <c r="C184" s="121" t="str">
        <f>CONCATENATE(COUNTIF($D$9:$D173,"1"), "/", COUNTA($A$9:$A$173), " GRP 1")</f>
        <v>59/165 GRP 1</v>
      </c>
      <c r="D184" s="117"/>
      <c r="E184" s="121" t="str">
        <f>CONCATENATE(COUNTIF($E$9:$E$173,"A1"), "/", COUNTA($A$9:$A$173), " CAT A1")</f>
        <v>2/165 CAT A1</v>
      </c>
      <c r="F184" s="121"/>
      <c r="G184" s="117"/>
      <c r="H184" s="117"/>
      <c r="I184" s="122" t="str">
        <f>CONCATENATE(COUNTblank($I$9:$I$173), " NOT RESPONDED")</f>
        <v>56 NOT RESPONDED</v>
      </c>
      <c r="J184" s="117" t="str">
        <f>CONCATENATE(COUNTIF($J$9:$J$182,"S"), " S")</f>
        <v>14 S</v>
      </c>
      <c r="K184" s="117" t="str">
        <f>CONCATENATE(COUNTIF($K$9:$K$182,"Y"), " YES")</f>
        <v>91 YES</v>
      </c>
      <c r="L184" s="117"/>
      <c r="M184" s="120"/>
      <c r="N184" s="117" t="str">
        <f>CONCATENATE(COUNTIF($N$9:$N$182,"0"), " -0")</f>
        <v>0 -0</v>
      </c>
      <c r="O184" s="117" t="str">
        <f>CONCATENATE(COUNTIF($O$9:$O$182,"0"), " -0")</f>
        <v>0 -0</v>
      </c>
      <c r="P184" s="117" t="str">
        <f>CONCATENATE(COUNTIF($P$9:$P$182,"Y"), " YES")</f>
        <v>0 YES</v>
      </c>
      <c r="Q184" s="117" t="str">
        <f>CONCATENATE(COUNTIF($Q$9:$Q$182,"TRANSPORT FROM BJ"), " -BJ")</f>
        <v>0 -BJ</v>
      </c>
      <c r="R184" s="121" t="str">
        <f>CONCATENATE(COUNTIF($R$9:$R$182,"FOLLOW PARENTS - RELEASE ON 28th Jun 2025 at SIN (1-way only)"), " -1-WAY (PARENTS PICKUP AT SIN)")</f>
        <v>0 -1-WAY (PARENTS PICKUP AT SIN)</v>
      </c>
      <c r="S184" s="121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17"/>
      <c r="B185" s="118" t="str">
        <f>CONCATENATE(COUNTIF($C$9:$C$173,"F"), "/", COUNTA($A$9:$A$173), " FEMALE")</f>
        <v>80/165 FEMALE</v>
      </c>
      <c r="C185" s="121" t="str">
        <f>CONCATENATE(COUNTIF($D$9:$D$173,"2"), "/", COUNTA($A$9:$A$173), " GRP 2")</f>
        <v>54/165 GRP 2</v>
      </c>
      <c r="D185" s="117"/>
      <c r="E185" s="121" t="str">
        <f>CONCATENATE(COUNTIF($E$9:$E$173,"A2"), "/", COUNTA($A$9:$A$173), " CAT A2")</f>
        <v>12/165 CAT A2</v>
      </c>
      <c r="F185" s="121"/>
      <c r="G185" s="117"/>
      <c r="H185" s="117"/>
      <c r="I185" s="119"/>
      <c r="J185" s="117" t="str">
        <f>CONCATENATE(COUNTIF($J$9:$J$182,"M"), " M")</f>
        <v>36 M</v>
      </c>
      <c r="K185" s="117" t="str">
        <f>CONCATENATE(COUNTIF($K$9:$K$182,"N"), " NO")</f>
        <v>19 NO</v>
      </c>
      <c r="L185" s="117"/>
      <c r="M185" s="120"/>
      <c r="N185" s="117" t="str">
        <f>CONCATENATE(COUNTIF($N$9:$N$182,"1"), " -1")</f>
        <v>0 -1</v>
      </c>
      <c r="O185" s="117" t="str">
        <f>CONCATENATE(COUNTIF($O$9:$O$182,"1"), " -1")</f>
        <v>0 -1</v>
      </c>
      <c r="P185" s="117" t="str">
        <f>CONCATENATE(COUNTIF($P$9:$P$182,"N"), " NO")</f>
        <v>0 NO</v>
      </c>
      <c r="Q185" s="117" t="str">
        <f>CONCATENATE(COUNTIF($Q$9:$Q$182,"MEET AT KLIA"), " -KLIA")</f>
        <v>0 -KLIA</v>
      </c>
      <c r="R185" s="121" t="str">
        <f>CONCATENATE(COUNTIF($R$9:$R$182,"Follow Coach - release on 28th Jun at SIN (1-way only)"), "  -1-WAY (FOLLOW COACH AT SIN)")</f>
        <v>0  -1-WAY (FOLLOW COACH AT SIN)</v>
      </c>
      <c r="S185" s="121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17"/>
      <c r="B186" s="120"/>
      <c r="C186" s="121" t="str">
        <f>CONCATENATE(COUNTIF($D$9:$D$173,"3"), "/", COUNTA($A$9:$A$173), " GRP 3")</f>
        <v>52/165 GRP 3</v>
      </c>
      <c r="D186" s="117"/>
      <c r="E186" s="121" t="str">
        <f>CONCATENATE(COUNTIF($E$9:$E$173,"A3"), "/", COUNTA($A$9:$A$173), " CAT A3")</f>
        <v>8/165 CAT A3</v>
      </c>
      <c r="F186" s="121"/>
      <c r="G186" s="117"/>
      <c r="H186" s="117"/>
      <c r="I186" s="119"/>
      <c r="J186" s="117" t="str">
        <f>CONCATENATE(COUNTIF($J$9:$J$182,"L"), " L")</f>
        <v>35 L</v>
      </c>
      <c r="K186" s="117"/>
      <c r="L186" s="117"/>
      <c r="M186" s="120"/>
      <c r="N186" s="117" t="str">
        <f>CONCATENATE(COUNTIF($N$9:$N$182,"2"), " -2")</f>
        <v>0 -2</v>
      </c>
      <c r="O186" s="117" t="str">
        <f>CONCATENATE(COUNTIF($O$9:$O$182,"2"), " -2")</f>
        <v>0 -2</v>
      </c>
      <c r="P186" s="117"/>
      <c r="Q186" s="117" t="str">
        <f>CONCATENATE(COUNTIF($Q$9:$Q$182,"OTHER"), " -OTHER")</f>
        <v>0 -OTHER</v>
      </c>
      <c r="R186" s="121" t="str">
        <f>CONCATENATE(COUNTIF($R$9:$R$182,"Transit through KLIA"), "  -TRANSIT AT KLIA")</f>
        <v>0  -TRANSIT AT KLIA</v>
      </c>
      <c r="S186" s="121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17"/>
      <c r="B187" s="120" t="str">
        <f>CONCATENATE(COUNTIF($F$9:$F$173,"WPKL"), "-WPKL")</f>
        <v>36-WPKL</v>
      </c>
      <c r="C187" s="121"/>
      <c r="D187" s="117"/>
      <c r="E187" s="121" t="str">
        <f>CONCATENATE(COUNTIF($E$9:$E$173,"B1"), "/", COUNTA($A$9:$A$173), " CAT B1")</f>
        <v>24/165 CAT B1</v>
      </c>
      <c r="F187" s="121"/>
      <c r="G187" s="123"/>
      <c r="H187" s="123"/>
      <c r="I187" s="53"/>
      <c r="J187" s="117" t="str">
        <f>CONCATENATE(COUNTIF($J$9:$J$182,"XL"), " XL")</f>
        <v>21 XL</v>
      </c>
      <c r="K187" s="117"/>
      <c r="L187" s="117"/>
      <c r="M187" s="120"/>
      <c r="N187" s="117" t="str">
        <f>CONCATENATE(COUNTIF($N$9:$N$182,"3"), " -3")</f>
        <v>0 -3</v>
      </c>
      <c r="O187" s="117" t="str">
        <f>CONCATENATE(COUNTIF($O$9:$O$182,"3"), " -3")</f>
        <v>0 -3</v>
      </c>
      <c r="P187" s="117"/>
      <c r="Q187" s="117"/>
      <c r="R187" s="121" t="str">
        <f>CONCATENATE(COUNTIF($R$9:$R$182,"Parent pickup from BJ"), "  -PARENT PICKUP FROM BJ")</f>
        <v>0  -PARENT PICKUP FROM BJ</v>
      </c>
      <c r="S187" s="121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17"/>
      <c r="B188" s="120" t="str">
        <f>CONCATENATE(COUNTIF($F$9:$F$173,"SGR"), "-SGR")</f>
        <v>39-SGR</v>
      </c>
      <c r="C188" s="121"/>
      <c r="D188" s="117"/>
      <c r="E188" s="121" t="str">
        <f>CONCATENATE(COUNTIF($E$9:$E$173,"B1R"), "/", COUNTA($A$9:$A$173), " CAT B1 RESERVE")</f>
        <v>3/165 CAT B1 RESERVE</v>
      </c>
      <c r="F188" s="121"/>
      <c r="G188" s="123"/>
      <c r="H188" s="123"/>
      <c r="I188" s="53"/>
      <c r="J188" s="117" t="str">
        <f>CONCATENATE(COUNTIF($J$9:$J$182,"2XL"), " 2XL")</f>
        <v>0 2XL</v>
      </c>
      <c r="K188" s="120"/>
      <c r="L188" s="120"/>
      <c r="M188" s="120"/>
      <c r="N188" s="123" t="s">
        <v>2491</v>
      </c>
      <c r="O188" s="123" t="s">
        <v>2491</v>
      </c>
      <c r="P188" s="117"/>
      <c r="Q188" s="117"/>
      <c r="R188" s="121" t="str">
        <f>CONCATENATE(COUNTIF($R$9:$R$182,"Parent pickup from KLIA"), " -PARENT PICKUP FROM KLIA")</f>
        <v>0 -PARENT PICKUP FROM KLIA</v>
      </c>
      <c r="S188" s="121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17"/>
      <c r="B189" s="120" t="str">
        <f>CONCATENATE(COUNTIF($F$9:$F$173,"SWK"), "-SWK")</f>
        <v>23-SWK</v>
      </c>
      <c r="C189" s="117"/>
      <c r="D189" s="117"/>
      <c r="E189" s="121" t="str">
        <f>CONCATENATE(COUNTIF($E$9:$E$173,"B2"), "/", COUNTA($A$9:$A$173), " CAT B2")</f>
        <v>12/165 CAT B2</v>
      </c>
      <c r="F189" s="117"/>
      <c r="G189" s="123"/>
      <c r="H189" s="123"/>
      <c r="I189" s="119"/>
      <c r="J189" s="117"/>
      <c r="K189" s="120"/>
      <c r="L189" s="120"/>
      <c r="M189" s="120"/>
      <c r="N189" s="117">
        <f t="shared" ref="N189:O189" si="1">SUM(N9:N80)</f>
        <v>0</v>
      </c>
      <c r="O189" s="117">
        <f t="shared" si="1"/>
        <v>0</v>
      </c>
      <c r="P189" s="117"/>
      <c r="Q189" s="117"/>
      <c r="R189" s="121" t="str">
        <f>CONCATENATE(COUNTIF($R$9:$R$182,"OTHER"), "  -OTHER")</f>
        <v>0  -OTHER</v>
      </c>
      <c r="S189" s="121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17"/>
      <c r="B190" s="120" t="str">
        <f>CONCATENATE(COUNTIF($F$9:$F$173,"SBH"), "-SBH")</f>
        <v>10-SBH</v>
      </c>
      <c r="C190" s="117"/>
      <c r="D190" s="117"/>
      <c r="E190" s="124" t="str">
        <f>CONCATENATE(COUNTIF($E$9:$E$173,"B2R"), "/", COUNTA($A$9:$A$173), " CAT B2R")</f>
        <v>5/165 CAT B2R</v>
      </c>
      <c r="F190" s="117"/>
      <c r="G190" s="123"/>
      <c r="H190" s="123"/>
      <c r="I190" s="119"/>
      <c r="J190" s="117"/>
      <c r="K190" s="120"/>
      <c r="L190" s="120"/>
      <c r="M190" s="120"/>
      <c r="N190" s="117"/>
      <c r="O190" s="117"/>
      <c r="P190" s="117"/>
      <c r="Q190" s="117"/>
      <c r="R190" s="121"/>
      <c r="S190" s="121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17"/>
      <c r="B191" s="120" t="str">
        <f>CONCATENATE(COUNTIF($F$9:$F$173,"PRK"), "-PRK")</f>
        <v>7-PRK</v>
      </c>
      <c r="C191" s="117"/>
      <c r="D191" s="117"/>
      <c r="E191" s="124" t="str">
        <f>CONCATENATE(COUNTIF($E$9:$E$173,"C"), "/", COUNTA($A$9:$A$173), " CAT C")</f>
        <v>56/165 CAT C</v>
      </c>
      <c r="F191" s="117"/>
      <c r="G191" s="123"/>
      <c r="H191" s="123"/>
      <c r="I191" s="53"/>
      <c r="J191" s="117"/>
      <c r="K191" s="120"/>
      <c r="L191" s="120"/>
      <c r="M191" s="120"/>
      <c r="N191" s="117"/>
      <c r="O191" s="117"/>
      <c r="P191" s="117"/>
      <c r="Q191" s="117"/>
      <c r="R191" s="121"/>
      <c r="S191" s="121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17"/>
      <c r="B192" s="120" t="str">
        <f>CONCATENATE(COUNTIF($F$9:$F$173,"PEN"), "-PEN")</f>
        <v>21-PEN</v>
      </c>
      <c r="C192" s="117"/>
      <c r="D192" s="117"/>
      <c r="E192" s="124" t="str">
        <f>CONCATENATE(COUNTIF($E$9:$E$173,"CR"), "/", COUNTA($A$9:$A$173), " CAT C RESERVE")</f>
        <v>43/165 CAT C RESERVE</v>
      </c>
      <c r="F192" s="117"/>
      <c r="G192" s="123"/>
      <c r="H192" s="123"/>
      <c r="I192" s="119"/>
      <c r="J192" s="117"/>
      <c r="K192" s="120"/>
      <c r="L192" s="120"/>
      <c r="M192" s="120"/>
      <c r="N192" s="117"/>
      <c r="O192" s="117"/>
      <c r="P192" s="117"/>
      <c r="Q192" s="117"/>
      <c r="R192" s="121"/>
      <c r="S192" s="121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17"/>
      <c r="B193" s="120" t="str">
        <f>CONCATENATE(COUNTIF($F$9:$F$173,"NSE"), "-NSE")</f>
        <v>9-NSE</v>
      </c>
      <c r="C193" s="117"/>
      <c r="D193" s="117"/>
      <c r="E193" s="124"/>
      <c r="F193" s="117"/>
      <c r="G193" s="123"/>
      <c r="H193" s="123"/>
      <c r="I193" s="119"/>
      <c r="J193" s="117"/>
      <c r="K193" s="120"/>
      <c r="L193" s="120"/>
      <c r="M193" s="120"/>
      <c r="N193" s="117"/>
      <c r="O193" s="117"/>
      <c r="P193" s="117"/>
      <c r="Q193" s="117"/>
      <c r="R193" s="121"/>
      <c r="S193" s="121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17"/>
      <c r="B194" s="120" t="str">
        <f>CONCATENATE(COUNTIF($F$9:$F$173,"MLK"), "-MLK")</f>
        <v>6-MLK</v>
      </c>
      <c r="C194" s="117"/>
      <c r="D194" s="117"/>
      <c r="E194" s="124" t="s">
        <v>2492</v>
      </c>
      <c r="F194" s="117"/>
      <c r="G194" s="123"/>
      <c r="H194" s="123"/>
      <c r="I194" s="119"/>
      <c r="J194" s="117"/>
      <c r="K194" s="120"/>
      <c r="L194" s="120"/>
      <c r="M194" s="120"/>
      <c r="N194" s="117"/>
      <c r="O194" s="117"/>
      <c r="P194" s="117"/>
      <c r="Q194" s="117"/>
      <c r="R194" s="121"/>
      <c r="S194" s="121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17"/>
      <c r="B195" s="120" t="str">
        <f>CONCATENATE(COUNTIF($F$9:$F$173,"KDH"), "-KDH")</f>
        <v>2-KDH</v>
      </c>
      <c r="C195" s="117"/>
      <c r="D195" s="117"/>
      <c r="E195" s="124" t="s">
        <v>2493</v>
      </c>
      <c r="F195" s="117"/>
      <c r="G195" s="123"/>
      <c r="H195" s="123"/>
      <c r="I195" s="119"/>
      <c r="J195" s="117"/>
      <c r="K195" s="120"/>
      <c r="L195" s="120"/>
      <c r="M195" s="120"/>
      <c r="N195" s="117"/>
      <c r="O195" s="117"/>
      <c r="P195" s="117"/>
      <c r="Q195" s="117"/>
      <c r="R195" s="121"/>
      <c r="S195" s="121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17"/>
      <c r="B196" s="120" t="str">
        <f>CONCATENATE(COUNTIF($F$9:$F$173,"JHR"), "-JHR")</f>
        <v>11-JHR</v>
      </c>
      <c r="C196" s="117"/>
      <c r="D196" s="117"/>
      <c r="E196" s="124" t="s">
        <v>2494</v>
      </c>
      <c r="F196" s="117"/>
      <c r="G196" s="117"/>
      <c r="H196" s="117"/>
      <c r="I196" s="119"/>
      <c r="J196" s="117"/>
      <c r="K196" s="120"/>
      <c r="L196" s="120"/>
      <c r="M196" s="120"/>
      <c r="N196" s="117"/>
      <c r="O196" s="117"/>
      <c r="P196" s="117"/>
      <c r="Q196" s="117"/>
      <c r="R196" s="121"/>
      <c r="S196" s="121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17"/>
      <c r="B197" s="120"/>
      <c r="C197" s="117"/>
      <c r="D197" s="117"/>
      <c r="E197" s="124" t="s">
        <v>2495</v>
      </c>
      <c r="F197" s="117"/>
      <c r="G197" s="117"/>
      <c r="H197" s="117"/>
      <c r="I197" s="119"/>
      <c r="J197" s="117"/>
      <c r="K197" s="120"/>
      <c r="L197" s="120"/>
      <c r="M197" s="120"/>
      <c r="N197" s="117"/>
      <c r="O197" s="117"/>
      <c r="P197" s="117"/>
      <c r="Q197" s="117"/>
      <c r="R197" s="121"/>
      <c r="S197" s="12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17"/>
      <c r="B198" s="120"/>
      <c r="C198" s="117"/>
      <c r="D198" s="117"/>
      <c r="E198" s="117"/>
      <c r="F198" s="117"/>
      <c r="G198" s="117"/>
      <c r="H198" s="117"/>
      <c r="I198" s="119"/>
      <c r="J198" s="117"/>
      <c r="K198" s="120"/>
      <c r="L198" s="120"/>
      <c r="M198" s="120"/>
      <c r="N198" s="117"/>
      <c r="O198" s="117"/>
      <c r="P198" s="117"/>
      <c r="Q198" s="117"/>
      <c r="R198" s="121"/>
      <c r="S198" s="121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6"/>
      <c r="B199" s="13"/>
      <c r="C199" s="16"/>
      <c r="D199" s="16"/>
      <c r="E199" s="16"/>
      <c r="F199" s="16"/>
      <c r="G199" s="16"/>
      <c r="H199" s="16"/>
      <c r="I199" s="125"/>
      <c r="J199" s="16"/>
      <c r="K199" s="13"/>
      <c r="L199" s="13"/>
      <c r="M199" s="13"/>
      <c r="N199" s="16"/>
      <c r="O199" s="16"/>
      <c r="P199" s="16"/>
      <c r="Q199" s="16"/>
      <c r="R199" s="96"/>
      <c r="S199" s="96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6"/>
      <c r="B200" s="13"/>
      <c r="C200" s="16"/>
      <c r="D200" s="16"/>
      <c r="E200" s="16"/>
      <c r="F200" s="16"/>
      <c r="G200" s="16"/>
      <c r="H200" s="16"/>
      <c r="I200" s="125"/>
      <c r="J200" s="16"/>
      <c r="K200" s="13"/>
      <c r="L200" s="13"/>
      <c r="M200" s="13"/>
      <c r="N200" s="16"/>
      <c r="O200" s="16"/>
      <c r="P200" s="16"/>
      <c r="Q200" s="16"/>
      <c r="R200" s="96"/>
      <c r="S200" s="96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6"/>
      <c r="B201" s="13"/>
      <c r="C201" s="16"/>
      <c r="D201" s="16"/>
      <c r="E201" s="16"/>
      <c r="F201" s="16"/>
      <c r="G201" s="16"/>
      <c r="H201" s="16"/>
      <c r="I201" s="125"/>
      <c r="J201" s="16"/>
      <c r="K201" s="13"/>
      <c r="L201" s="13"/>
      <c r="M201" s="13"/>
      <c r="N201" s="16"/>
      <c r="O201" s="16"/>
      <c r="P201" s="16"/>
      <c r="Q201" s="16"/>
      <c r="R201" s="96"/>
      <c r="S201" s="96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6"/>
      <c r="B202" s="13"/>
      <c r="C202" s="16"/>
      <c r="D202" s="16"/>
      <c r="E202" s="16"/>
      <c r="F202" s="16"/>
      <c r="G202" s="16"/>
      <c r="H202" s="16"/>
      <c r="I202" s="125"/>
      <c r="J202" s="16"/>
      <c r="K202" s="13"/>
      <c r="L202" s="13"/>
      <c r="M202" s="13"/>
      <c r="N202" s="16"/>
      <c r="O202" s="16"/>
      <c r="P202" s="16"/>
      <c r="Q202" s="16"/>
      <c r="R202" s="96"/>
      <c r="S202" s="96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6"/>
      <c r="B203" s="13"/>
      <c r="C203" s="16"/>
      <c r="D203" s="16"/>
      <c r="E203" s="16"/>
      <c r="F203" s="16"/>
      <c r="G203" s="16"/>
      <c r="H203" s="16"/>
      <c r="I203" s="125"/>
      <c r="J203" s="16"/>
      <c r="K203" s="13"/>
      <c r="L203" s="13"/>
      <c r="M203" s="13"/>
      <c r="N203" s="16"/>
      <c r="O203" s="16"/>
      <c r="P203" s="16"/>
      <c r="Q203" s="16"/>
      <c r="R203" s="96"/>
      <c r="S203" s="96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6"/>
      <c r="B204" s="13"/>
      <c r="C204" s="16"/>
      <c r="D204" s="16"/>
      <c r="E204" s="16"/>
      <c r="F204" s="16"/>
      <c r="G204" s="16"/>
      <c r="H204" s="16"/>
      <c r="I204" s="125"/>
      <c r="J204" s="16"/>
      <c r="K204" s="13"/>
      <c r="L204" s="13"/>
      <c r="M204" s="13"/>
      <c r="N204" s="16"/>
      <c r="O204" s="16"/>
      <c r="P204" s="16"/>
      <c r="Q204" s="16"/>
      <c r="R204" s="96"/>
      <c r="S204" s="96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6"/>
      <c r="B205" s="13"/>
      <c r="C205" s="16"/>
      <c r="D205" s="16"/>
      <c r="E205" s="16"/>
      <c r="F205" s="16"/>
      <c r="G205" s="16"/>
      <c r="H205" s="16"/>
      <c r="I205" s="125"/>
      <c r="J205" s="16"/>
      <c r="K205" s="13"/>
      <c r="L205" s="13"/>
      <c r="M205" s="13"/>
      <c r="N205" s="16"/>
      <c r="O205" s="16"/>
      <c r="P205" s="16"/>
      <c r="Q205" s="16"/>
      <c r="R205" s="96"/>
      <c r="S205" s="96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6"/>
      <c r="B206" s="13"/>
      <c r="C206" s="16"/>
      <c r="D206" s="16"/>
      <c r="E206" s="16"/>
      <c r="F206" s="16"/>
      <c r="G206" s="16"/>
      <c r="H206" s="16"/>
      <c r="I206" s="125"/>
      <c r="J206" s="16"/>
      <c r="K206" s="13"/>
      <c r="L206" s="13"/>
      <c r="M206" s="13"/>
      <c r="N206" s="16"/>
      <c r="O206" s="16"/>
      <c r="P206" s="16"/>
      <c r="Q206" s="16"/>
      <c r="R206" s="96"/>
      <c r="S206" s="96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6"/>
      <c r="B207" s="13"/>
      <c r="C207" s="16"/>
      <c r="D207" s="16"/>
      <c r="E207" s="16"/>
      <c r="F207" s="16"/>
      <c r="G207" s="16"/>
      <c r="H207" s="16"/>
      <c r="I207" s="125"/>
      <c r="J207" s="16"/>
      <c r="K207" s="13"/>
      <c r="L207" s="13"/>
      <c r="M207" s="13"/>
      <c r="N207" s="16"/>
      <c r="O207" s="16"/>
      <c r="P207" s="16"/>
      <c r="Q207" s="16"/>
      <c r="R207" s="96"/>
      <c r="S207" s="96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6"/>
      <c r="B208" s="13"/>
      <c r="C208" s="16"/>
      <c r="D208" s="16"/>
      <c r="E208" s="16"/>
      <c r="F208" s="16"/>
      <c r="G208" s="16"/>
      <c r="H208" s="16"/>
      <c r="I208" s="125"/>
      <c r="J208" s="16"/>
      <c r="K208" s="13"/>
      <c r="L208" s="13"/>
      <c r="M208" s="13"/>
      <c r="N208" s="16"/>
      <c r="O208" s="16"/>
      <c r="P208" s="16"/>
      <c r="Q208" s="16"/>
      <c r="R208" s="96"/>
      <c r="S208" s="96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6"/>
      <c r="B209" s="13"/>
      <c r="C209" s="16"/>
      <c r="D209" s="16"/>
      <c r="E209" s="16"/>
      <c r="F209" s="16"/>
      <c r="G209" s="16"/>
      <c r="H209" s="16"/>
      <c r="I209" s="125"/>
      <c r="J209" s="16"/>
      <c r="K209" s="13"/>
      <c r="L209" s="13"/>
      <c r="M209" s="13"/>
      <c r="N209" s="16"/>
      <c r="O209" s="16"/>
      <c r="P209" s="16"/>
      <c r="Q209" s="16"/>
      <c r="R209" s="96"/>
      <c r="S209" s="96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6"/>
      <c r="B210" s="13"/>
      <c r="C210" s="16"/>
      <c r="D210" s="16"/>
      <c r="E210" s="16"/>
      <c r="F210" s="16"/>
      <c r="G210" s="16"/>
      <c r="H210" s="16"/>
      <c r="I210" s="125"/>
      <c r="J210" s="16"/>
      <c r="K210" s="13"/>
      <c r="L210" s="13"/>
      <c r="M210" s="13"/>
      <c r="N210" s="16"/>
      <c r="O210" s="16"/>
      <c r="P210" s="16"/>
      <c r="Q210" s="16"/>
      <c r="R210" s="96"/>
      <c r="S210" s="96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6"/>
      <c r="B211" s="13"/>
      <c r="C211" s="16"/>
      <c r="D211" s="16"/>
      <c r="E211" s="16"/>
      <c r="F211" s="16"/>
      <c r="G211" s="16"/>
      <c r="H211" s="16"/>
      <c r="I211" s="125"/>
      <c r="J211" s="16"/>
      <c r="K211" s="13"/>
      <c r="L211" s="13"/>
      <c r="M211" s="13"/>
      <c r="N211" s="16"/>
      <c r="O211" s="16"/>
      <c r="P211" s="16"/>
      <c r="Q211" s="16"/>
      <c r="R211" s="96"/>
      <c r="S211" s="96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6"/>
      <c r="B212" s="13"/>
      <c r="C212" s="16"/>
      <c r="D212" s="16"/>
      <c r="E212" s="16"/>
      <c r="F212" s="16"/>
      <c r="G212" s="16"/>
      <c r="H212" s="16"/>
      <c r="I212" s="125"/>
      <c r="J212" s="16"/>
      <c r="K212" s="13"/>
      <c r="L212" s="13"/>
      <c r="M212" s="13"/>
      <c r="N212" s="16"/>
      <c r="O212" s="16"/>
      <c r="P212" s="16"/>
      <c r="Q212" s="16"/>
      <c r="R212" s="96"/>
      <c r="S212" s="96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6"/>
      <c r="B213" s="13"/>
      <c r="C213" s="16"/>
      <c r="D213" s="16"/>
      <c r="E213" s="16"/>
      <c r="F213" s="16"/>
      <c r="G213" s="16"/>
      <c r="H213" s="16"/>
      <c r="I213" s="125"/>
      <c r="J213" s="16"/>
      <c r="K213" s="13"/>
      <c r="L213" s="13"/>
      <c r="M213" s="13"/>
      <c r="N213" s="16"/>
      <c r="O213" s="16"/>
      <c r="P213" s="16"/>
      <c r="Q213" s="16"/>
      <c r="R213" s="96"/>
      <c r="S213" s="96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6"/>
      <c r="B214" s="13"/>
      <c r="C214" s="16"/>
      <c r="D214" s="16"/>
      <c r="E214" s="16"/>
      <c r="F214" s="16"/>
      <c r="G214" s="16"/>
      <c r="H214" s="16"/>
      <c r="I214" s="125"/>
      <c r="J214" s="16"/>
      <c r="K214" s="13"/>
      <c r="L214" s="13"/>
      <c r="M214" s="13"/>
      <c r="N214" s="16"/>
      <c r="O214" s="16"/>
      <c r="P214" s="16"/>
      <c r="Q214" s="16"/>
      <c r="R214" s="96"/>
      <c r="S214" s="96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6"/>
      <c r="B215" s="13"/>
      <c r="C215" s="16"/>
      <c r="D215" s="16"/>
      <c r="E215" s="16"/>
      <c r="F215" s="16"/>
      <c r="G215" s="16"/>
      <c r="H215" s="16"/>
      <c r="I215" s="125"/>
      <c r="J215" s="16"/>
      <c r="K215" s="13"/>
      <c r="L215" s="13"/>
      <c r="M215" s="13"/>
      <c r="N215" s="16"/>
      <c r="O215" s="16"/>
      <c r="P215" s="16"/>
      <c r="Q215" s="16"/>
      <c r="R215" s="96"/>
      <c r="S215" s="96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6"/>
      <c r="B216" s="13"/>
      <c r="C216" s="16"/>
      <c r="D216" s="16"/>
      <c r="E216" s="16"/>
      <c r="F216" s="16"/>
      <c r="G216" s="16"/>
      <c r="H216" s="16"/>
      <c r="I216" s="125"/>
      <c r="J216" s="16"/>
      <c r="K216" s="13"/>
      <c r="L216" s="13"/>
      <c r="M216" s="13"/>
      <c r="N216" s="16"/>
      <c r="O216" s="16"/>
      <c r="P216" s="16"/>
      <c r="Q216" s="16"/>
      <c r="R216" s="96"/>
      <c r="S216" s="96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6"/>
      <c r="B217" s="13"/>
      <c r="C217" s="16"/>
      <c r="D217" s="16"/>
      <c r="E217" s="16"/>
      <c r="F217" s="16"/>
      <c r="G217" s="16"/>
      <c r="H217" s="16"/>
      <c r="I217" s="125"/>
      <c r="J217" s="16"/>
      <c r="K217" s="13"/>
      <c r="L217" s="13"/>
      <c r="M217" s="13"/>
      <c r="N217" s="16"/>
      <c r="O217" s="16"/>
      <c r="P217" s="16"/>
      <c r="Q217" s="16"/>
      <c r="R217" s="96"/>
      <c r="S217" s="96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6"/>
      <c r="B218" s="13"/>
      <c r="C218" s="16"/>
      <c r="D218" s="16"/>
      <c r="E218" s="16"/>
      <c r="F218" s="16"/>
      <c r="G218" s="16"/>
      <c r="H218" s="16"/>
      <c r="I218" s="125"/>
      <c r="J218" s="16"/>
      <c r="K218" s="13"/>
      <c r="L218" s="13"/>
      <c r="M218" s="13"/>
      <c r="N218" s="16"/>
      <c r="O218" s="16"/>
      <c r="P218" s="16"/>
      <c r="Q218" s="16"/>
      <c r="R218" s="96"/>
      <c r="S218" s="96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6"/>
      <c r="B219" s="13"/>
      <c r="C219" s="16"/>
      <c r="D219" s="16"/>
      <c r="E219" s="16"/>
      <c r="F219" s="16"/>
      <c r="G219" s="16"/>
      <c r="H219" s="16"/>
      <c r="I219" s="125"/>
      <c r="J219" s="16"/>
      <c r="K219" s="13"/>
      <c r="L219" s="13"/>
      <c r="M219" s="13"/>
      <c r="N219" s="16"/>
      <c r="O219" s="16"/>
      <c r="P219" s="16"/>
      <c r="Q219" s="16"/>
      <c r="R219" s="96"/>
      <c r="S219" s="96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6"/>
      <c r="B220" s="13"/>
      <c r="C220" s="16"/>
      <c r="D220" s="16"/>
      <c r="E220" s="16"/>
      <c r="F220" s="16"/>
      <c r="G220" s="16"/>
      <c r="H220" s="16"/>
      <c r="I220" s="125"/>
      <c r="J220" s="16"/>
      <c r="K220" s="13"/>
      <c r="L220" s="13"/>
      <c r="M220" s="13"/>
      <c r="N220" s="16"/>
      <c r="O220" s="16"/>
      <c r="P220" s="16"/>
      <c r="Q220" s="16"/>
      <c r="R220" s="96"/>
      <c r="S220" s="96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6"/>
      <c r="B221" s="13"/>
      <c r="C221" s="16"/>
      <c r="D221" s="16"/>
      <c r="E221" s="16"/>
      <c r="F221" s="16"/>
      <c r="G221" s="16"/>
      <c r="H221" s="16"/>
      <c r="I221" s="125"/>
      <c r="J221" s="16"/>
      <c r="K221" s="13"/>
      <c r="L221" s="13"/>
      <c r="M221" s="13"/>
      <c r="N221" s="16"/>
      <c r="O221" s="16"/>
      <c r="P221" s="16"/>
      <c r="Q221" s="16"/>
      <c r="R221" s="96"/>
      <c r="S221" s="96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6"/>
      <c r="B222" s="13"/>
      <c r="C222" s="16"/>
      <c r="D222" s="16"/>
      <c r="E222" s="16"/>
      <c r="F222" s="16"/>
      <c r="G222" s="16"/>
      <c r="H222" s="16"/>
      <c r="I222" s="125"/>
      <c r="J222" s="16"/>
      <c r="K222" s="13"/>
      <c r="L222" s="13"/>
      <c r="M222" s="13"/>
      <c r="N222" s="16"/>
      <c r="O222" s="16"/>
      <c r="P222" s="16"/>
      <c r="Q222" s="16"/>
      <c r="R222" s="96"/>
      <c r="S222" s="96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6"/>
      <c r="B223" s="13"/>
      <c r="C223" s="16"/>
      <c r="D223" s="16"/>
      <c r="E223" s="16"/>
      <c r="F223" s="16"/>
      <c r="G223" s="16"/>
      <c r="H223" s="16"/>
      <c r="I223" s="125"/>
      <c r="J223" s="16"/>
      <c r="K223" s="13"/>
      <c r="L223" s="13"/>
      <c r="M223" s="13"/>
      <c r="N223" s="16"/>
      <c r="O223" s="16"/>
      <c r="P223" s="16"/>
      <c r="Q223" s="16"/>
      <c r="R223" s="96"/>
      <c r="S223" s="96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6"/>
      <c r="B224" s="13"/>
      <c r="C224" s="16"/>
      <c r="D224" s="16"/>
      <c r="E224" s="16"/>
      <c r="F224" s="16"/>
      <c r="G224" s="16"/>
      <c r="H224" s="16"/>
      <c r="I224" s="125"/>
      <c r="J224" s="16"/>
      <c r="K224" s="13"/>
      <c r="L224" s="13"/>
      <c r="M224" s="13"/>
      <c r="N224" s="16"/>
      <c r="O224" s="16"/>
      <c r="P224" s="16"/>
      <c r="Q224" s="16"/>
      <c r="R224" s="96"/>
      <c r="S224" s="96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6"/>
      <c r="B225" s="13"/>
      <c r="C225" s="16"/>
      <c r="D225" s="16"/>
      <c r="E225" s="16"/>
      <c r="F225" s="16"/>
      <c r="G225" s="16"/>
      <c r="H225" s="16"/>
      <c r="I225" s="125"/>
      <c r="J225" s="16"/>
      <c r="K225" s="13"/>
      <c r="L225" s="13"/>
      <c r="M225" s="13"/>
      <c r="N225" s="16"/>
      <c r="O225" s="16"/>
      <c r="P225" s="16"/>
      <c r="Q225" s="16"/>
      <c r="R225" s="96"/>
      <c r="S225" s="96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6"/>
      <c r="B226" s="13"/>
      <c r="C226" s="16"/>
      <c r="D226" s="16"/>
      <c r="E226" s="16"/>
      <c r="F226" s="16"/>
      <c r="G226" s="16"/>
      <c r="H226" s="16"/>
      <c r="I226" s="125"/>
      <c r="J226" s="16"/>
      <c r="K226" s="13"/>
      <c r="L226" s="13"/>
      <c r="M226" s="13"/>
      <c r="N226" s="16"/>
      <c r="O226" s="16"/>
      <c r="P226" s="16"/>
      <c r="Q226" s="16"/>
      <c r="R226" s="96"/>
      <c r="S226" s="96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6"/>
      <c r="B227" s="13"/>
      <c r="C227" s="16"/>
      <c r="D227" s="16"/>
      <c r="E227" s="16"/>
      <c r="F227" s="16"/>
      <c r="G227" s="16"/>
      <c r="H227" s="16"/>
      <c r="I227" s="125"/>
      <c r="J227" s="16"/>
      <c r="K227" s="13"/>
      <c r="L227" s="13"/>
      <c r="M227" s="13"/>
      <c r="N227" s="16"/>
      <c r="O227" s="16"/>
      <c r="P227" s="16"/>
      <c r="Q227" s="16"/>
      <c r="R227" s="96"/>
      <c r="S227" s="96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6"/>
      <c r="B228" s="13"/>
      <c r="C228" s="16"/>
      <c r="D228" s="16"/>
      <c r="E228" s="16"/>
      <c r="F228" s="16"/>
      <c r="G228" s="16"/>
      <c r="H228" s="16"/>
      <c r="I228" s="125"/>
      <c r="J228" s="16"/>
      <c r="K228" s="13"/>
      <c r="L228" s="13"/>
      <c r="M228" s="13"/>
      <c r="N228" s="16"/>
      <c r="O228" s="16"/>
      <c r="P228" s="16"/>
      <c r="Q228" s="16"/>
      <c r="R228" s="96"/>
      <c r="S228" s="96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6"/>
      <c r="B229" s="13"/>
      <c r="C229" s="16"/>
      <c r="D229" s="16"/>
      <c r="E229" s="16"/>
      <c r="F229" s="16"/>
      <c r="G229" s="16"/>
      <c r="H229" s="16"/>
      <c r="I229" s="125"/>
      <c r="J229" s="16"/>
      <c r="K229" s="13"/>
      <c r="L229" s="13"/>
      <c r="M229" s="13"/>
      <c r="N229" s="16"/>
      <c r="O229" s="16"/>
      <c r="P229" s="16"/>
      <c r="Q229" s="16"/>
      <c r="R229" s="96"/>
      <c r="S229" s="96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6"/>
      <c r="B230" s="13"/>
      <c r="C230" s="16"/>
      <c r="D230" s="16"/>
      <c r="E230" s="16"/>
      <c r="F230" s="16"/>
      <c r="G230" s="16"/>
      <c r="H230" s="16"/>
      <c r="I230" s="125"/>
      <c r="J230" s="16"/>
      <c r="K230" s="13"/>
      <c r="L230" s="13"/>
      <c r="M230" s="13"/>
      <c r="N230" s="16"/>
      <c r="O230" s="16"/>
      <c r="P230" s="16"/>
      <c r="Q230" s="16"/>
      <c r="R230" s="96"/>
      <c r="S230" s="96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6"/>
      <c r="B231" s="13"/>
      <c r="C231" s="16"/>
      <c r="D231" s="16"/>
      <c r="E231" s="16"/>
      <c r="F231" s="16"/>
      <c r="G231" s="16"/>
      <c r="H231" s="16"/>
      <c r="I231" s="125"/>
      <c r="J231" s="16"/>
      <c r="K231" s="13"/>
      <c r="L231" s="13"/>
      <c r="M231" s="13"/>
      <c r="N231" s="16"/>
      <c r="O231" s="16"/>
      <c r="P231" s="16"/>
      <c r="Q231" s="16"/>
      <c r="R231" s="96"/>
      <c r="S231" s="96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6"/>
      <c r="B232" s="13"/>
      <c r="C232" s="16"/>
      <c r="D232" s="16"/>
      <c r="E232" s="16"/>
      <c r="F232" s="16"/>
      <c r="G232" s="16"/>
      <c r="H232" s="16"/>
      <c r="I232" s="125"/>
      <c r="J232" s="16"/>
      <c r="K232" s="13"/>
      <c r="L232" s="13"/>
      <c r="M232" s="13"/>
      <c r="N232" s="16"/>
      <c r="O232" s="16"/>
      <c r="P232" s="16"/>
      <c r="Q232" s="16"/>
      <c r="R232" s="96"/>
      <c r="S232" s="96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6"/>
      <c r="B233" s="13"/>
      <c r="C233" s="16"/>
      <c r="D233" s="16"/>
      <c r="E233" s="16"/>
      <c r="F233" s="16"/>
      <c r="G233" s="16"/>
      <c r="H233" s="16"/>
      <c r="I233" s="125"/>
      <c r="J233" s="16"/>
      <c r="K233" s="13"/>
      <c r="L233" s="13"/>
      <c r="M233" s="13"/>
      <c r="N233" s="16"/>
      <c r="O233" s="16"/>
      <c r="P233" s="16"/>
      <c r="Q233" s="16"/>
      <c r="R233" s="96"/>
      <c r="S233" s="96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6"/>
      <c r="B234" s="13"/>
      <c r="C234" s="16"/>
      <c r="D234" s="16"/>
      <c r="E234" s="16"/>
      <c r="F234" s="16"/>
      <c r="G234" s="16"/>
      <c r="H234" s="16"/>
      <c r="I234" s="125"/>
      <c r="J234" s="16"/>
      <c r="K234" s="13"/>
      <c r="L234" s="13"/>
      <c r="M234" s="13"/>
      <c r="N234" s="16"/>
      <c r="O234" s="16"/>
      <c r="P234" s="16"/>
      <c r="Q234" s="16"/>
      <c r="R234" s="96"/>
      <c r="S234" s="96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6"/>
      <c r="B235" s="13"/>
      <c r="C235" s="16"/>
      <c r="D235" s="16"/>
      <c r="E235" s="16"/>
      <c r="F235" s="16"/>
      <c r="G235" s="16"/>
      <c r="H235" s="16"/>
      <c r="I235" s="125"/>
      <c r="J235" s="16"/>
      <c r="K235" s="13"/>
      <c r="L235" s="13"/>
      <c r="M235" s="13"/>
      <c r="N235" s="16"/>
      <c r="O235" s="16"/>
      <c r="P235" s="16"/>
      <c r="Q235" s="16"/>
      <c r="R235" s="96"/>
      <c r="S235" s="96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6"/>
      <c r="B236" s="13"/>
      <c r="C236" s="16"/>
      <c r="D236" s="16"/>
      <c r="E236" s="16"/>
      <c r="F236" s="16"/>
      <c r="G236" s="16"/>
      <c r="H236" s="16"/>
      <c r="I236" s="125"/>
      <c r="J236" s="16"/>
      <c r="K236" s="13"/>
      <c r="L236" s="13"/>
      <c r="M236" s="13"/>
      <c r="N236" s="16"/>
      <c r="O236" s="16"/>
      <c r="P236" s="16"/>
      <c r="Q236" s="16"/>
      <c r="R236" s="96"/>
      <c r="S236" s="96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6"/>
      <c r="B237" s="13"/>
      <c r="C237" s="16"/>
      <c r="D237" s="16"/>
      <c r="E237" s="16"/>
      <c r="F237" s="16"/>
      <c r="G237" s="16"/>
      <c r="H237" s="16"/>
      <c r="I237" s="125"/>
      <c r="J237" s="16"/>
      <c r="K237" s="13"/>
      <c r="L237" s="13"/>
      <c r="M237" s="13"/>
      <c r="N237" s="16"/>
      <c r="O237" s="16"/>
      <c r="P237" s="16"/>
      <c r="Q237" s="16"/>
      <c r="R237" s="96"/>
      <c r="S237" s="96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6"/>
      <c r="B238" s="13"/>
      <c r="C238" s="16"/>
      <c r="D238" s="16"/>
      <c r="E238" s="16"/>
      <c r="F238" s="16"/>
      <c r="G238" s="16"/>
      <c r="H238" s="16"/>
      <c r="I238" s="125"/>
      <c r="J238" s="16"/>
      <c r="K238" s="13"/>
      <c r="L238" s="13"/>
      <c r="M238" s="13"/>
      <c r="N238" s="16"/>
      <c r="O238" s="16"/>
      <c r="P238" s="16"/>
      <c r="Q238" s="16"/>
      <c r="R238" s="96"/>
      <c r="S238" s="96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6"/>
      <c r="B239" s="13"/>
      <c r="C239" s="16"/>
      <c r="D239" s="16"/>
      <c r="E239" s="16"/>
      <c r="F239" s="16"/>
      <c r="G239" s="16"/>
      <c r="H239" s="16"/>
      <c r="I239" s="125"/>
      <c r="J239" s="16"/>
      <c r="K239" s="13"/>
      <c r="L239" s="13"/>
      <c r="M239" s="13"/>
      <c r="N239" s="16"/>
      <c r="O239" s="16"/>
      <c r="P239" s="16"/>
      <c r="Q239" s="16"/>
      <c r="R239" s="96"/>
      <c r="S239" s="96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6"/>
      <c r="B240" s="13"/>
      <c r="C240" s="16"/>
      <c r="D240" s="16"/>
      <c r="E240" s="16"/>
      <c r="F240" s="16"/>
      <c r="G240" s="16"/>
      <c r="H240" s="16"/>
      <c r="I240" s="125"/>
      <c r="J240" s="16"/>
      <c r="K240" s="13"/>
      <c r="L240" s="13"/>
      <c r="M240" s="13"/>
      <c r="N240" s="16"/>
      <c r="O240" s="16"/>
      <c r="P240" s="16"/>
      <c r="Q240" s="16"/>
      <c r="R240" s="96"/>
      <c r="S240" s="96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6"/>
      <c r="B241" s="13"/>
      <c r="C241" s="16"/>
      <c r="D241" s="16"/>
      <c r="E241" s="16"/>
      <c r="F241" s="16"/>
      <c r="G241" s="16"/>
      <c r="H241" s="16"/>
      <c r="I241" s="125"/>
      <c r="J241" s="16"/>
      <c r="K241" s="13"/>
      <c r="L241" s="13"/>
      <c r="M241" s="13"/>
      <c r="N241" s="16"/>
      <c r="O241" s="16"/>
      <c r="P241" s="16"/>
      <c r="Q241" s="16"/>
      <c r="R241" s="96"/>
      <c r="S241" s="96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6"/>
      <c r="B242" s="13"/>
      <c r="C242" s="16"/>
      <c r="D242" s="16"/>
      <c r="E242" s="16"/>
      <c r="F242" s="16"/>
      <c r="G242" s="16"/>
      <c r="H242" s="16"/>
      <c r="I242" s="125"/>
      <c r="J242" s="16"/>
      <c r="K242" s="13"/>
      <c r="L242" s="13"/>
      <c r="M242" s="13"/>
      <c r="N242" s="16"/>
      <c r="O242" s="16"/>
      <c r="P242" s="16"/>
      <c r="Q242" s="16"/>
      <c r="R242" s="96"/>
      <c r="S242" s="96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6"/>
      <c r="B243" s="13"/>
      <c r="C243" s="16"/>
      <c r="D243" s="16"/>
      <c r="E243" s="16"/>
      <c r="F243" s="16"/>
      <c r="G243" s="16"/>
      <c r="H243" s="16"/>
      <c r="I243" s="125"/>
      <c r="J243" s="16"/>
      <c r="K243" s="13"/>
      <c r="L243" s="13"/>
      <c r="M243" s="13"/>
      <c r="N243" s="16"/>
      <c r="O243" s="16"/>
      <c r="P243" s="16"/>
      <c r="Q243" s="16"/>
      <c r="R243" s="96"/>
      <c r="S243" s="96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6"/>
      <c r="B244" s="13"/>
      <c r="C244" s="16"/>
      <c r="D244" s="16"/>
      <c r="E244" s="16"/>
      <c r="F244" s="16"/>
      <c r="G244" s="16"/>
      <c r="H244" s="16"/>
      <c r="I244" s="125"/>
      <c r="J244" s="16"/>
      <c r="K244" s="13"/>
      <c r="L244" s="13"/>
      <c r="M244" s="13"/>
      <c r="N244" s="16"/>
      <c r="O244" s="16"/>
      <c r="P244" s="16"/>
      <c r="Q244" s="16"/>
      <c r="R244" s="96"/>
      <c r="S244" s="96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6"/>
      <c r="B245" s="13"/>
      <c r="C245" s="16"/>
      <c r="D245" s="16"/>
      <c r="E245" s="16"/>
      <c r="F245" s="16"/>
      <c r="G245" s="16"/>
      <c r="H245" s="16"/>
      <c r="I245" s="125"/>
      <c r="J245" s="16"/>
      <c r="K245" s="13"/>
      <c r="L245" s="13"/>
      <c r="M245" s="13"/>
      <c r="N245" s="16"/>
      <c r="O245" s="16"/>
      <c r="P245" s="16"/>
      <c r="Q245" s="16"/>
      <c r="R245" s="96"/>
      <c r="S245" s="96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6"/>
      <c r="B246" s="13"/>
      <c r="C246" s="16"/>
      <c r="D246" s="16"/>
      <c r="E246" s="16"/>
      <c r="F246" s="16"/>
      <c r="G246" s="16"/>
      <c r="H246" s="16"/>
      <c r="I246" s="125"/>
      <c r="J246" s="16"/>
      <c r="K246" s="13"/>
      <c r="L246" s="13"/>
      <c r="M246" s="13"/>
      <c r="N246" s="16"/>
      <c r="O246" s="16"/>
      <c r="P246" s="16"/>
      <c r="Q246" s="16"/>
      <c r="R246" s="96"/>
      <c r="S246" s="96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6"/>
      <c r="B247" s="13"/>
      <c r="C247" s="16"/>
      <c r="D247" s="16"/>
      <c r="E247" s="16"/>
      <c r="F247" s="16"/>
      <c r="G247" s="16"/>
      <c r="H247" s="16"/>
      <c r="I247" s="125"/>
      <c r="J247" s="16"/>
      <c r="K247" s="13"/>
      <c r="L247" s="13"/>
      <c r="M247" s="13"/>
      <c r="N247" s="16"/>
      <c r="O247" s="16"/>
      <c r="P247" s="16"/>
      <c r="Q247" s="16"/>
      <c r="R247" s="96"/>
      <c r="S247" s="96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6"/>
      <c r="B248" s="13"/>
      <c r="C248" s="16"/>
      <c r="D248" s="16"/>
      <c r="E248" s="16"/>
      <c r="F248" s="16"/>
      <c r="G248" s="16"/>
      <c r="H248" s="16"/>
      <c r="I248" s="125"/>
      <c r="J248" s="16"/>
      <c r="K248" s="13"/>
      <c r="L248" s="13"/>
      <c r="M248" s="13"/>
      <c r="N248" s="16"/>
      <c r="O248" s="16"/>
      <c r="P248" s="16"/>
      <c r="Q248" s="16"/>
      <c r="R248" s="96"/>
      <c r="S248" s="96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6"/>
      <c r="B249" s="13"/>
      <c r="C249" s="16"/>
      <c r="D249" s="16"/>
      <c r="E249" s="16"/>
      <c r="F249" s="16"/>
      <c r="G249" s="16"/>
      <c r="H249" s="16"/>
      <c r="I249" s="125"/>
      <c r="J249" s="16"/>
      <c r="K249" s="13"/>
      <c r="L249" s="13"/>
      <c r="M249" s="13"/>
      <c r="N249" s="16"/>
      <c r="O249" s="16"/>
      <c r="P249" s="16"/>
      <c r="Q249" s="16"/>
      <c r="R249" s="96"/>
      <c r="S249" s="96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6"/>
      <c r="B250" s="13"/>
      <c r="C250" s="16"/>
      <c r="D250" s="16"/>
      <c r="E250" s="16"/>
      <c r="F250" s="16"/>
      <c r="G250" s="16"/>
      <c r="H250" s="16"/>
      <c r="I250" s="125"/>
      <c r="J250" s="16"/>
      <c r="K250" s="13"/>
      <c r="L250" s="13"/>
      <c r="M250" s="13"/>
      <c r="N250" s="16"/>
      <c r="O250" s="16"/>
      <c r="P250" s="16"/>
      <c r="Q250" s="16"/>
      <c r="R250" s="96"/>
      <c r="S250" s="96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6"/>
      <c r="B251" s="13"/>
      <c r="C251" s="16"/>
      <c r="D251" s="16"/>
      <c r="E251" s="16"/>
      <c r="F251" s="16"/>
      <c r="G251" s="16"/>
      <c r="H251" s="16"/>
      <c r="I251" s="125"/>
      <c r="J251" s="16"/>
      <c r="K251" s="13"/>
      <c r="L251" s="13"/>
      <c r="M251" s="13"/>
      <c r="N251" s="16"/>
      <c r="O251" s="16"/>
      <c r="P251" s="16"/>
      <c r="Q251" s="16"/>
      <c r="R251" s="96"/>
      <c r="S251" s="96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6"/>
      <c r="B252" s="13"/>
      <c r="C252" s="16"/>
      <c r="D252" s="16"/>
      <c r="E252" s="16"/>
      <c r="F252" s="16"/>
      <c r="G252" s="16"/>
      <c r="H252" s="16"/>
      <c r="I252" s="125"/>
      <c r="J252" s="16"/>
      <c r="K252" s="13"/>
      <c r="L252" s="13"/>
      <c r="M252" s="13"/>
      <c r="N252" s="16"/>
      <c r="O252" s="16"/>
      <c r="P252" s="16"/>
      <c r="Q252" s="16"/>
      <c r="R252" s="96"/>
      <c r="S252" s="96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6"/>
      <c r="B253" s="13"/>
      <c r="C253" s="16"/>
      <c r="D253" s="16"/>
      <c r="E253" s="16"/>
      <c r="F253" s="16"/>
      <c r="G253" s="16"/>
      <c r="H253" s="16"/>
      <c r="I253" s="125"/>
      <c r="J253" s="16"/>
      <c r="K253" s="13"/>
      <c r="L253" s="13"/>
      <c r="M253" s="13"/>
      <c r="N253" s="16"/>
      <c r="O253" s="16"/>
      <c r="P253" s="16"/>
      <c r="Q253" s="16"/>
      <c r="R253" s="96"/>
      <c r="S253" s="96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6"/>
      <c r="B254" s="13"/>
      <c r="C254" s="16"/>
      <c r="D254" s="16"/>
      <c r="E254" s="16"/>
      <c r="F254" s="16"/>
      <c r="G254" s="16"/>
      <c r="H254" s="16"/>
      <c r="I254" s="125"/>
      <c r="J254" s="16"/>
      <c r="K254" s="13"/>
      <c r="L254" s="13"/>
      <c r="M254" s="13"/>
      <c r="N254" s="16"/>
      <c r="O254" s="16"/>
      <c r="P254" s="16"/>
      <c r="Q254" s="16"/>
      <c r="R254" s="96"/>
      <c r="S254" s="96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6"/>
      <c r="B255" s="13"/>
      <c r="C255" s="16"/>
      <c r="D255" s="16"/>
      <c r="E255" s="16"/>
      <c r="F255" s="16"/>
      <c r="G255" s="16"/>
      <c r="H255" s="16"/>
      <c r="I255" s="125"/>
      <c r="J255" s="16"/>
      <c r="K255" s="13"/>
      <c r="L255" s="13"/>
      <c r="M255" s="13"/>
      <c r="N255" s="16"/>
      <c r="O255" s="16"/>
      <c r="P255" s="16"/>
      <c r="Q255" s="16"/>
      <c r="R255" s="96"/>
      <c r="S255" s="96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6"/>
      <c r="B256" s="13"/>
      <c r="C256" s="16"/>
      <c r="D256" s="16"/>
      <c r="E256" s="16"/>
      <c r="F256" s="16"/>
      <c r="G256" s="16"/>
      <c r="H256" s="16"/>
      <c r="I256" s="125"/>
      <c r="J256" s="16"/>
      <c r="K256" s="13"/>
      <c r="L256" s="13"/>
      <c r="M256" s="13"/>
      <c r="N256" s="16"/>
      <c r="O256" s="16"/>
      <c r="P256" s="16"/>
      <c r="Q256" s="16"/>
      <c r="R256" s="96"/>
      <c r="S256" s="96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6"/>
      <c r="B257" s="13"/>
      <c r="C257" s="16"/>
      <c r="D257" s="16"/>
      <c r="E257" s="16"/>
      <c r="F257" s="16"/>
      <c r="G257" s="16"/>
      <c r="H257" s="16"/>
      <c r="I257" s="125"/>
      <c r="J257" s="16"/>
      <c r="K257" s="13"/>
      <c r="L257" s="13"/>
      <c r="M257" s="13"/>
      <c r="N257" s="16"/>
      <c r="O257" s="16"/>
      <c r="P257" s="16"/>
      <c r="Q257" s="16"/>
      <c r="R257" s="96"/>
      <c r="S257" s="96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6"/>
      <c r="B258" s="13"/>
      <c r="C258" s="16"/>
      <c r="D258" s="16"/>
      <c r="E258" s="16"/>
      <c r="F258" s="16"/>
      <c r="G258" s="16"/>
      <c r="H258" s="16"/>
      <c r="I258" s="125"/>
      <c r="J258" s="16"/>
      <c r="K258" s="13"/>
      <c r="L258" s="13"/>
      <c r="M258" s="13"/>
      <c r="N258" s="16"/>
      <c r="O258" s="16"/>
      <c r="P258" s="16"/>
      <c r="Q258" s="16"/>
      <c r="R258" s="96"/>
      <c r="S258" s="96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6"/>
      <c r="B259" s="13"/>
      <c r="C259" s="16"/>
      <c r="D259" s="16"/>
      <c r="E259" s="16"/>
      <c r="F259" s="16"/>
      <c r="G259" s="16"/>
      <c r="H259" s="16"/>
      <c r="I259" s="125"/>
      <c r="J259" s="16"/>
      <c r="K259" s="13"/>
      <c r="L259" s="13"/>
      <c r="M259" s="13"/>
      <c r="N259" s="16"/>
      <c r="O259" s="16"/>
      <c r="P259" s="16"/>
      <c r="Q259" s="16"/>
      <c r="R259" s="96"/>
      <c r="S259" s="96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6"/>
      <c r="B260" s="13"/>
      <c r="C260" s="16"/>
      <c r="D260" s="16"/>
      <c r="E260" s="16"/>
      <c r="F260" s="16"/>
      <c r="G260" s="16"/>
      <c r="H260" s="16"/>
      <c r="I260" s="125"/>
      <c r="J260" s="16"/>
      <c r="K260" s="13"/>
      <c r="L260" s="13"/>
      <c r="M260" s="13"/>
      <c r="N260" s="16"/>
      <c r="O260" s="16"/>
      <c r="P260" s="16"/>
      <c r="Q260" s="16"/>
      <c r="R260" s="96"/>
      <c r="S260" s="96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6"/>
      <c r="B261" s="13"/>
      <c r="C261" s="16"/>
      <c r="D261" s="16"/>
      <c r="E261" s="16"/>
      <c r="F261" s="16"/>
      <c r="G261" s="16"/>
      <c r="H261" s="16"/>
      <c r="I261" s="125"/>
      <c r="J261" s="16"/>
      <c r="K261" s="13"/>
      <c r="L261" s="13"/>
      <c r="M261" s="13"/>
      <c r="N261" s="16"/>
      <c r="O261" s="16"/>
      <c r="P261" s="16"/>
      <c r="Q261" s="16"/>
      <c r="R261" s="96"/>
      <c r="S261" s="96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6"/>
      <c r="B262" s="13"/>
      <c r="C262" s="16"/>
      <c r="D262" s="16"/>
      <c r="E262" s="16"/>
      <c r="F262" s="16"/>
      <c r="G262" s="16"/>
      <c r="H262" s="16"/>
      <c r="I262" s="125"/>
      <c r="J262" s="16"/>
      <c r="K262" s="13"/>
      <c r="L262" s="13"/>
      <c r="M262" s="13"/>
      <c r="N262" s="16"/>
      <c r="O262" s="16"/>
      <c r="P262" s="16"/>
      <c r="Q262" s="16"/>
      <c r="R262" s="96"/>
      <c r="S262" s="96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6"/>
      <c r="B263" s="13"/>
      <c r="C263" s="16"/>
      <c r="D263" s="16"/>
      <c r="E263" s="16"/>
      <c r="F263" s="16"/>
      <c r="G263" s="16"/>
      <c r="H263" s="16"/>
      <c r="I263" s="125"/>
      <c r="J263" s="16"/>
      <c r="K263" s="13"/>
      <c r="L263" s="13"/>
      <c r="M263" s="13"/>
      <c r="N263" s="16"/>
      <c r="O263" s="16"/>
      <c r="P263" s="16"/>
      <c r="Q263" s="16"/>
      <c r="R263" s="96"/>
      <c r="S263" s="96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6"/>
      <c r="B264" s="13"/>
      <c r="C264" s="16"/>
      <c r="D264" s="16"/>
      <c r="E264" s="16"/>
      <c r="F264" s="16"/>
      <c r="G264" s="16"/>
      <c r="H264" s="16"/>
      <c r="I264" s="125"/>
      <c r="J264" s="16"/>
      <c r="K264" s="13"/>
      <c r="L264" s="13"/>
      <c r="M264" s="13"/>
      <c r="N264" s="16"/>
      <c r="O264" s="16"/>
      <c r="P264" s="16"/>
      <c r="Q264" s="16"/>
      <c r="R264" s="96"/>
      <c r="S264" s="96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6"/>
      <c r="B265" s="13"/>
      <c r="C265" s="16"/>
      <c r="D265" s="16"/>
      <c r="E265" s="16"/>
      <c r="F265" s="16"/>
      <c r="G265" s="16"/>
      <c r="H265" s="16"/>
      <c r="I265" s="125"/>
      <c r="J265" s="16"/>
      <c r="K265" s="13"/>
      <c r="L265" s="13"/>
      <c r="M265" s="13"/>
      <c r="N265" s="16"/>
      <c r="O265" s="16"/>
      <c r="P265" s="16"/>
      <c r="Q265" s="16"/>
      <c r="R265" s="96"/>
      <c r="S265" s="96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6"/>
      <c r="B266" s="13"/>
      <c r="C266" s="16"/>
      <c r="D266" s="16"/>
      <c r="E266" s="16"/>
      <c r="F266" s="16"/>
      <c r="G266" s="16"/>
      <c r="H266" s="16"/>
      <c r="I266" s="125"/>
      <c r="J266" s="16"/>
      <c r="K266" s="13"/>
      <c r="L266" s="13"/>
      <c r="M266" s="13"/>
      <c r="N266" s="16"/>
      <c r="O266" s="16"/>
      <c r="P266" s="16"/>
      <c r="Q266" s="16"/>
      <c r="R266" s="96"/>
      <c r="S266" s="96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6"/>
      <c r="B267" s="13"/>
      <c r="C267" s="16"/>
      <c r="D267" s="16"/>
      <c r="E267" s="16"/>
      <c r="F267" s="16"/>
      <c r="G267" s="16"/>
      <c r="H267" s="16"/>
      <c r="I267" s="125"/>
      <c r="J267" s="16"/>
      <c r="K267" s="13"/>
      <c r="L267" s="13"/>
      <c r="M267" s="13"/>
      <c r="N267" s="16"/>
      <c r="O267" s="16"/>
      <c r="P267" s="16"/>
      <c r="Q267" s="16"/>
      <c r="R267" s="96"/>
      <c r="S267" s="96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6"/>
      <c r="B268" s="13"/>
      <c r="C268" s="16"/>
      <c r="D268" s="16"/>
      <c r="E268" s="16"/>
      <c r="F268" s="16"/>
      <c r="G268" s="16"/>
      <c r="H268" s="16"/>
      <c r="I268" s="125"/>
      <c r="J268" s="16"/>
      <c r="K268" s="13"/>
      <c r="L268" s="13"/>
      <c r="M268" s="13"/>
      <c r="N268" s="16"/>
      <c r="O268" s="16"/>
      <c r="P268" s="16"/>
      <c r="Q268" s="16"/>
      <c r="R268" s="96"/>
      <c r="S268" s="96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6"/>
      <c r="B269" s="13"/>
      <c r="C269" s="16"/>
      <c r="D269" s="16"/>
      <c r="E269" s="16"/>
      <c r="F269" s="16"/>
      <c r="G269" s="16"/>
      <c r="H269" s="16"/>
      <c r="I269" s="125"/>
      <c r="J269" s="16"/>
      <c r="K269" s="13"/>
      <c r="L269" s="13"/>
      <c r="M269" s="13"/>
      <c r="N269" s="16"/>
      <c r="O269" s="16"/>
      <c r="P269" s="16"/>
      <c r="Q269" s="16"/>
      <c r="R269" s="96"/>
      <c r="S269" s="96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6"/>
      <c r="B270" s="13"/>
      <c r="C270" s="16"/>
      <c r="D270" s="16"/>
      <c r="E270" s="16"/>
      <c r="F270" s="16"/>
      <c r="G270" s="16"/>
      <c r="H270" s="16"/>
      <c r="I270" s="125"/>
      <c r="J270" s="16"/>
      <c r="K270" s="13"/>
      <c r="L270" s="13"/>
      <c r="M270" s="13"/>
      <c r="N270" s="16"/>
      <c r="O270" s="16"/>
      <c r="P270" s="16"/>
      <c r="Q270" s="16"/>
      <c r="R270" s="96"/>
      <c r="S270" s="96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6"/>
      <c r="B271" s="13"/>
      <c r="C271" s="16"/>
      <c r="D271" s="16"/>
      <c r="E271" s="16"/>
      <c r="F271" s="16"/>
      <c r="G271" s="16"/>
      <c r="H271" s="16"/>
      <c r="I271" s="125"/>
      <c r="J271" s="16"/>
      <c r="K271" s="13"/>
      <c r="L271" s="13"/>
      <c r="M271" s="13"/>
      <c r="N271" s="16"/>
      <c r="O271" s="16"/>
      <c r="P271" s="16"/>
      <c r="Q271" s="16"/>
      <c r="R271" s="96"/>
      <c r="S271" s="96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6"/>
      <c r="B272" s="13"/>
      <c r="C272" s="16"/>
      <c r="D272" s="16"/>
      <c r="E272" s="16"/>
      <c r="F272" s="16"/>
      <c r="G272" s="16"/>
      <c r="H272" s="16"/>
      <c r="I272" s="125"/>
      <c r="J272" s="16"/>
      <c r="K272" s="13"/>
      <c r="L272" s="13"/>
      <c r="M272" s="13"/>
      <c r="N272" s="16"/>
      <c r="O272" s="16"/>
      <c r="P272" s="16"/>
      <c r="Q272" s="16"/>
      <c r="R272" s="96"/>
      <c r="S272" s="96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6"/>
      <c r="B273" s="13"/>
      <c r="C273" s="16"/>
      <c r="D273" s="16"/>
      <c r="E273" s="16"/>
      <c r="F273" s="16"/>
      <c r="G273" s="16"/>
      <c r="H273" s="16"/>
      <c r="I273" s="125"/>
      <c r="J273" s="16"/>
      <c r="K273" s="13"/>
      <c r="L273" s="13"/>
      <c r="M273" s="13"/>
      <c r="N273" s="16"/>
      <c r="O273" s="16"/>
      <c r="P273" s="16"/>
      <c r="Q273" s="16"/>
      <c r="R273" s="96"/>
      <c r="S273" s="96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6"/>
      <c r="B274" s="13"/>
      <c r="C274" s="16"/>
      <c r="D274" s="16"/>
      <c r="E274" s="16"/>
      <c r="F274" s="16"/>
      <c r="G274" s="16"/>
      <c r="H274" s="16"/>
      <c r="I274" s="125"/>
      <c r="J274" s="16"/>
      <c r="K274" s="13"/>
      <c r="L274" s="13"/>
      <c r="M274" s="13"/>
      <c r="N274" s="16"/>
      <c r="O274" s="16"/>
      <c r="P274" s="16"/>
      <c r="Q274" s="16"/>
      <c r="R274" s="96"/>
      <c r="S274" s="96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6"/>
      <c r="B275" s="13"/>
      <c r="C275" s="16"/>
      <c r="D275" s="16"/>
      <c r="E275" s="16"/>
      <c r="F275" s="16"/>
      <c r="G275" s="16"/>
      <c r="H275" s="16"/>
      <c r="I275" s="125"/>
      <c r="J275" s="16"/>
      <c r="K275" s="13"/>
      <c r="L275" s="13"/>
      <c r="M275" s="13"/>
      <c r="N275" s="16"/>
      <c r="O275" s="16"/>
      <c r="P275" s="16"/>
      <c r="Q275" s="16"/>
      <c r="R275" s="96"/>
      <c r="S275" s="96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6"/>
      <c r="B276" s="13"/>
      <c r="C276" s="16"/>
      <c r="D276" s="16"/>
      <c r="E276" s="16"/>
      <c r="F276" s="16"/>
      <c r="G276" s="16"/>
      <c r="H276" s="16"/>
      <c r="I276" s="125"/>
      <c r="J276" s="16"/>
      <c r="K276" s="13"/>
      <c r="L276" s="13"/>
      <c r="M276" s="13"/>
      <c r="N276" s="16"/>
      <c r="O276" s="16"/>
      <c r="P276" s="16"/>
      <c r="Q276" s="16"/>
      <c r="R276" s="96"/>
      <c r="S276" s="96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6"/>
      <c r="B277" s="13"/>
      <c r="C277" s="16"/>
      <c r="D277" s="16"/>
      <c r="E277" s="16"/>
      <c r="F277" s="16"/>
      <c r="G277" s="16"/>
      <c r="H277" s="16"/>
      <c r="I277" s="125"/>
      <c r="J277" s="16"/>
      <c r="K277" s="13"/>
      <c r="L277" s="13"/>
      <c r="M277" s="13"/>
      <c r="N277" s="16"/>
      <c r="O277" s="16"/>
      <c r="P277" s="16"/>
      <c r="Q277" s="16"/>
      <c r="R277" s="96"/>
      <c r="S277" s="96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6"/>
      <c r="B278" s="13"/>
      <c r="C278" s="16"/>
      <c r="D278" s="16"/>
      <c r="E278" s="16"/>
      <c r="F278" s="16"/>
      <c r="G278" s="16"/>
      <c r="H278" s="16"/>
      <c r="I278" s="125"/>
      <c r="J278" s="16"/>
      <c r="K278" s="13"/>
      <c r="L278" s="13"/>
      <c r="M278" s="13"/>
      <c r="N278" s="16"/>
      <c r="O278" s="16"/>
      <c r="P278" s="16"/>
      <c r="Q278" s="16"/>
      <c r="R278" s="96"/>
      <c r="S278" s="96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6"/>
      <c r="B279" s="13"/>
      <c r="C279" s="16"/>
      <c r="D279" s="16"/>
      <c r="E279" s="16"/>
      <c r="F279" s="16"/>
      <c r="G279" s="16"/>
      <c r="H279" s="16"/>
      <c r="I279" s="125"/>
      <c r="J279" s="16"/>
      <c r="K279" s="13"/>
      <c r="L279" s="13"/>
      <c r="M279" s="13"/>
      <c r="N279" s="16"/>
      <c r="O279" s="16"/>
      <c r="P279" s="16"/>
      <c r="Q279" s="16"/>
      <c r="R279" s="96"/>
      <c r="S279" s="96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6"/>
      <c r="B280" s="13"/>
      <c r="C280" s="16"/>
      <c r="D280" s="16"/>
      <c r="E280" s="16"/>
      <c r="F280" s="16"/>
      <c r="G280" s="16"/>
      <c r="H280" s="16"/>
      <c r="I280" s="125"/>
      <c r="J280" s="16"/>
      <c r="K280" s="13"/>
      <c r="L280" s="13"/>
      <c r="M280" s="13"/>
      <c r="N280" s="16"/>
      <c r="O280" s="16"/>
      <c r="P280" s="16"/>
      <c r="Q280" s="16"/>
      <c r="R280" s="96"/>
      <c r="S280" s="96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6"/>
      <c r="B281" s="13"/>
      <c r="C281" s="16"/>
      <c r="D281" s="16"/>
      <c r="E281" s="16"/>
      <c r="F281" s="16"/>
      <c r="G281" s="16"/>
      <c r="H281" s="16"/>
      <c r="I281" s="125"/>
      <c r="J281" s="16"/>
      <c r="K281" s="13"/>
      <c r="L281" s="13"/>
      <c r="M281" s="13"/>
      <c r="N281" s="16"/>
      <c r="O281" s="16"/>
      <c r="P281" s="16"/>
      <c r="Q281" s="16"/>
      <c r="R281" s="96"/>
      <c r="S281" s="96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6"/>
      <c r="B282" s="13"/>
      <c r="C282" s="16"/>
      <c r="D282" s="16"/>
      <c r="E282" s="16"/>
      <c r="F282" s="16"/>
      <c r="G282" s="16"/>
      <c r="H282" s="16"/>
      <c r="I282" s="125"/>
      <c r="J282" s="16"/>
      <c r="K282" s="13"/>
      <c r="L282" s="13"/>
      <c r="M282" s="13"/>
      <c r="N282" s="16"/>
      <c r="O282" s="16"/>
      <c r="P282" s="16"/>
      <c r="Q282" s="16"/>
      <c r="R282" s="96"/>
      <c r="S282" s="96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6"/>
      <c r="B283" s="13"/>
      <c r="C283" s="16"/>
      <c r="D283" s="16"/>
      <c r="E283" s="16"/>
      <c r="F283" s="16"/>
      <c r="G283" s="16"/>
      <c r="H283" s="16"/>
      <c r="I283" s="125"/>
      <c r="J283" s="16"/>
      <c r="K283" s="13"/>
      <c r="L283" s="13"/>
      <c r="M283" s="13"/>
      <c r="N283" s="16"/>
      <c r="O283" s="16"/>
      <c r="P283" s="16"/>
      <c r="Q283" s="16"/>
      <c r="R283" s="96"/>
      <c r="S283" s="96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6"/>
      <c r="B284" s="13"/>
      <c r="C284" s="16"/>
      <c r="D284" s="16"/>
      <c r="E284" s="16"/>
      <c r="F284" s="16"/>
      <c r="G284" s="16"/>
      <c r="H284" s="16"/>
      <c r="I284" s="125"/>
      <c r="J284" s="16"/>
      <c r="K284" s="13"/>
      <c r="L284" s="13"/>
      <c r="M284" s="13"/>
      <c r="N284" s="16"/>
      <c r="O284" s="16"/>
      <c r="P284" s="16"/>
      <c r="Q284" s="16"/>
      <c r="R284" s="96"/>
      <c r="S284" s="96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6"/>
      <c r="B285" s="13"/>
      <c r="C285" s="16"/>
      <c r="D285" s="16"/>
      <c r="E285" s="16"/>
      <c r="F285" s="16"/>
      <c r="G285" s="16"/>
      <c r="H285" s="16"/>
      <c r="I285" s="125"/>
      <c r="J285" s="16"/>
      <c r="K285" s="13"/>
      <c r="L285" s="13"/>
      <c r="M285" s="13"/>
      <c r="N285" s="16"/>
      <c r="O285" s="16"/>
      <c r="P285" s="16"/>
      <c r="Q285" s="16"/>
      <c r="R285" s="96"/>
      <c r="S285" s="96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6"/>
      <c r="B286" s="13"/>
      <c r="C286" s="16"/>
      <c r="D286" s="16"/>
      <c r="E286" s="16"/>
      <c r="F286" s="16"/>
      <c r="G286" s="16"/>
      <c r="H286" s="16"/>
      <c r="I286" s="125"/>
      <c r="J286" s="16"/>
      <c r="K286" s="13"/>
      <c r="L286" s="13"/>
      <c r="M286" s="13"/>
      <c r="N286" s="16"/>
      <c r="O286" s="16"/>
      <c r="P286" s="16"/>
      <c r="Q286" s="16"/>
      <c r="R286" s="96"/>
      <c r="S286" s="96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6"/>
      <c r="B287" s="13"/>
      <c r="C287" s="16"/>
      <c r="D287" s="16"/>
      <c r="E287" s="16"/>
      <c r="F287" s="16"/>
      <c r="G287" s="16"/>
      <c r="H287" s="16"/>
      <c r="I287" s="125"/>
      <c r="J287" s="16"/>
      <c r="K287" s="13"/>
      <c r="L287" s="13"/>
      <c r="M287" s="13"/>
      <c r="N287" s="16"/>
      <c r="O287" s="16"/>
      <c r="P287" s="16"/>
      <c r="Q287" s="16"/>
      <c r="R287" s="96"/>
      <c r="S287" s="96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6"/>
      <c r="B288" s="13"/>
      <c r="C288" s="16"/>
      <c r="D288" s="16"/>
      <c r="E288" s="16"/>
      <c r="F288" s="16"/>
      <c r="G288" s="16"/>
      <c r="H288" s="16"/>
      <c r="I288" s="125"/>
      <c r="J288" s="16"/>
      <c r="K288" s="13"/>
      <c r="L288" s="13"/>
      <c r="M288" s="13"/>
      <c r="N288" s="16"/>
      <c r="O288" s="16"/>
      <c r="P288" s="16"/>
      <c r="Q288" s="16"/>
      <c r="R288" s="96"/>
      <c r="S288" s="96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6"/>
      <c r="B289" s="13"/>
      <c r="C289" s="16"/>
      <c r="D289" s="16"/>
      <c r="E289" s="16"/>
      <c r="F289" s="16"/>
      <c r="G289" s="16"/>
      <c r="H289" s="16"/>
      <c r="I289" s="125"/>
      <c r="J289" s="16"/>
      <c r="K289" s="13"/>
      <c r="L289" s="13"/>
      <c r="M289" s="13"/>
      <c r="N289" s="16"/>
      <c r="O289" s="16"/>
      <c r="P289" s="16"/>
      <c r="Q289" s="16"/>
      <c r="R289" s="96"/>
      <c r="S289" s="96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6"/>
      <c r="B290" s="13"/>
      <c r="C290" s="16"/>
      <c r="D290" s="16"/>
      <c r="E290" s="16"/>
      <c r="F290" s="16"/>
      <c r="G290" s="16"/>
      <c r="H290" s="16"/>
      <c r="I290" s="125"/>
      <c r="J290" s="16"/>
      <c r="K290" s="13"/>
      <c r="L290" s="13"/>
      <c r="M290" s="13"/>
      <c r="N290" s="16"/>
      <c r="O290" s="16"/>
      <c r="P290" s="16"/>
      <c r="Q290" s="16"/>
      <c r="R290" s="96"/>
      <c r="S290" s="96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6"/>
      <c r="B291" s="13"/>
      <c r="C291" s="16"/>
      <c r="D291" s="16"/>
      <c r="E291" s="16"/>
      <c r="F291" s="16"/>
      <c r="G291" s="16"/>
      <c r="H291" s="16"/>
      <c r="I291" s="125"/>
      <c r="J291" s="16"/>
      <c r="K291" s="13"/>
      <c r="L291" s="13"/>
      <c r="M291" s="13"/>
      <c r="N291" s="16"/>
      <c r="O291" s="16"/>
      <c r="P291" s="16"/>
      <c r="Q291" s="16"/>
      <c r="R291" s="96"/>
      <c r="S291" s="96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6"/>
      <c r="B292" s="13"/>
      <c r="C292" s="16"/>
      <c r="D292" s="16"/>
      <c r="E292" s="16"/>
      <c r="F292" s="16"/>
      <c r="G292" s="16"/>
      <c r="H292" s="16"/>
      <c r="I292" s="125"/>
      <c r="J292" s="16"/>
      <c r="K292" s="13"/>
      <c r="L292" s="13"/>
      <c r="M292" s="13"/>
      <c r="N292" s="16"/>
      <c r="O292" s="16"/>
      <c r="P292" s="16"/>
      <c r="Q292" s="16"/>
      <c r="R292" s="96"/>
      <c r="S292" s="96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6"/>
      <c r="B293" s="13"/>
      <c r="C293" s="16"/>
      <c r="D293" s="16"/>
      <c r="E293" s="16"/>
      <c r="F293" s="16"/>
      <c r="G293" s="16"/>
      <c r="H293" s="16"/>
      <c r="I293" s="125"/>
      <c r="J293" s="16"/>
      <c r="K293" s="13"/>
      <c r="L293" s="13"/>
      <c r="M293" s="13"/>
      <c r="N293" s="16"/>
      <c r="O293" s="16"/>
      <c r="P293" s="16"/>
      <c r="Q293" s="16"/>
      <c r="R293" s="96"/>
      <c r="S293" s="9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6"/>
      <c r="B294" s="13"/>
      <c r="C294" s="16"/>
      <c r="D294" s="16"/>
      <c r="E294" s="16"/>
      <c r="F294" s="16"/>
      <c r="G294" s="16"/>
      <c r="H294" s="16"/>
      <c r="I294" s="125"/>
      <c r="J294" s="16"/>
      <c r="K294" s="13"/>
      <c r="L294" s="13"/>
      <c r="M294" s="13"/>
      <c r="N294" s="16"/>
      <c r="O294" s="16"/>
      <c r="P294" s="16"/>
      <c r="Q294" s="16"/>
      <c r="R294" s="96"/>
      <c r="S294" s="96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6"/>
      <c r="B295" s="13"/>
      <c r="C295" s="16"/>
      <c r="D295" s="16"/>
      <c r="E295" s="16"/>
      <c r="F295" s="16"/>
      <c r="G295" s="16"/>
      <c r="H295" s="16"/>
      <c r="I295" s="125"/>
      <c r="J295" s="16"/>
      <c r="K295" s="13"/>
      <c r="L295" s="13"/>
      <c r="M295" s="13"/>
      <c r="N295" s="16"/>
      <c r="O295" s="16"/>
      <c r="P295" s="16"/>
      <c r="Q295" s="16"/>
      <c r="R295" s="96"/>
      <c r="S295" s="96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6"/>
      <c r="B296" s="13"/>
      <c r="C296" s="16"/>
      <c r="D296" s="16"/>
      <c r="E296" s="16"/>
      <c r="F296" s="16"/>
      <c r="G296" s="16"/>
      <c r="H296" s="16"/>
      <c r="I296" s="125"/>
      <c r="J296" s="16"/>
      <c r="K296" s="13"/>
      <c r="L296" s="13"/>
      <c r="M296" s="13"/>
      <c r="N296" s="16"/>
      <c r="O296" s="16"/>
      <c r="P296" s="16"/>
      <c r="Q296" s="16"/>
      <c r="R296" s="96"/>
      <c r="S296" s="96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6"/>
      <c r="B297" s="13"/>
      <c r="C297" s="16"/>
      <c r="D297" s="16"/>
      <c r="E297" s="16"/>
      <c r="F297" s="16"/>
      <c r="G297" s="16"/>
      <c r="H297" s="16"/>
      <c r="I297" s="125"/>
      <c r="J297" s="16"/>
      <c r="K297" s="13"/>
      <c r="L297" s="13"/>
      <c r="M297" s="13"/>
      <c r="N297" s="16"/>
      <c r="O297" s="16"/>
      <c r="P297" s="16"/>
      <c r="Q297" s="16"/>
      <c r="R297" s="96"/>
      <c r="S297" s="96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6"/>
      <c r="B298" s="13"/>
      <c r="C298" s="16"/>
      <c r="D298" s="16"/>
      <c r="E298" s="16"/>
      <c r="F298" s="16"/>
      <c r="G298" s="16"/>
      <c r="H298" s="16"/>
      <c r="I298" s="125"/>
      <c r="J298" s="16"/>
      <c r="K298" s="13"/>
      <c r="L298" s="13"/>
      <c r="M298" s="13"/>
      <c r="N298" s="16"/>
      <c r="O298" s="16"/>
      <c r="P298" s="16"/>
      <c r="Q298" s="16"/>
      <c r="R298" s="96"/>
      <c r="S298" s="96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6"/>
      <c r="B299" s="13"/>
      <c r="C299" s="16"/>
      <c r="D299" s="16"/>
      <c r="E299" s="16"/>
      <c r="F299" s="16"/>
      <c r="G299" s="16"/>
      <c r="H299" s="16"/>
      <c r="I299" s="125"/>
      <c r="J299" s="16"/>
      <c r="K299" s="13"/>
      <c r="L299" s="13"/>
      <c r="M299" s="13"/>
      <c r="N299" s="16"/>
      <c r="O299" s="16"/>
      <c r="P299" s="16"/>
      <c r="Q299" s="16"/>
      <c r="R299" s="96"/>
      <c r="S299" s="96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6"/>
      <c r="B300" s="13"/>
      <c r="C300" s="16"/>
      <c r="D300" s="16"/>
      <c r="E300" s="16"/>
      <c r="F300" s="16"/>
      <c r="G300" s="16"/>
      <c r="H300" s="16"/>
      <c r="I300" s="125"/>
      <c r="J300" s="16"/>
      <c r="K300" s="13"/>
      <c r="L300" s="13"/>
      <c r="M300" s="13"/>
      <c r="N300" s="16"/>
      <c r="O300" s="16"/>
      <c r="P300" s="16"/>
      <c r="Q300" s="16"/>
      <c r="R300" s="96"/>
      <c r="S300" s="96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6"/>
      <c r="B301" s="13"/>
      <c r="C301" s="16"/>
      <c r="D301" s="16"/>
      <c r="E301" s="16"/>
      <c r="F301" s="16"/>
      <c r="G301" s="16"/>
      <c r="H301" s="16"/>
      <c r="I301" s="125"/>
      <c r="J301" s="16"/>
      <c r="K301" s="13"/>
      <c r="L301" s="13"/>
      <c r="M301" s="13"/>
      <c r="N301" s="16"/>
      <c r="O301" s="16"/>
      <c r="P301" s="16"/>
      <c r="Q301" s="16"/>
      <c r="R301" s="96"/>
      <c r="S301" s="96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6"/>
      <c r="B302" s="13"/>
      <c r="C302" s="16"/>
      <c r="D302" s="16"/>
      <c r="E302" s="16"/>
      <c r="F302" s="16"/>
      <c r="G302" s="16"/>
      <c r="H302" s="16"/>
      <c r="I302" s="125"/>
      <c r="J302" s="16"/>
      <c r="K302" s="13"/>
      <c r="L302" s="13"/>
      <c r="M302" s="13"/>
      <c r="N302" s="16"/>
      <c r="O302" s="16"/>
      <c r="P302" s="16"/>
      <c r="Q302" s="16"/>
      <c r="R302" s="96"/>
      <c r="S302" s="96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6"/>
      <c r="B303" s="13"/>
      <c r="C303" s="16"/>
      <c r="D303" s="16"/>
      <c r="E303" s="16"/>
      <c r="F303" s="16"/>
      <c r="G303" s="16"/>
      <c r="H303" s="16"/>
      <c r="I303" s="125"/>
      <c r="J303" s="16"/>
      <c r="K303" s="13"/>
      <c r="L303" s="13"/>
      <c r="M303" s="13"/>
      <c r="N303" s="16"/>
      <c r="O303" s="16"/>
      <c r="P303" s="16"/>
      <c r="Q303" s="16"/>
      <c r="R303" s="96"/>
      <c r="S303" s="96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6"/>
      <c r="B304" s="13"/>
      <c r="C304" s="16"/>
      <c r="D304" s="16"/>
      <c r="E304" s="16"/>
      <c r="F304" s="16"/>
      <c r="G304" s="16"/>
      <c r="H304" s="16"/>
      <c r="I304" s="125"/>
      <c r="J304" s="16"/>
      <c r="K304" s="13"/>
      <c r="L304" s="13"/>
      <c r="M304" s="13"/>
      <c r="N304" s="16"/>
      <c r="O304" s="16"/>
      <c r="P304" s="16"/>
      <c r="Q304" s="16"/>
      <c r="R304" s="96"/>
      <c r="S304" s="96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6"/>
      <c r="B305" s="13"/>
      <c r="C305" s="16"/>
      <c r="D305" s="16"/>
      <c r="E305" s="16"/>
      <c r="F305" s="16"/>
      <c r="G305" s="16"/>
      <c r="H305" s="16"/>
      <c r="I305" s="125"/>
      <c r="J305" s="16"/>
      <c r="K305" s="13"/>
      <c r="L305" s="13"/>
      <c r="M305" s="13"/>
      <c r="N305" s="16"/>
      <c r="O305" s="16"/>
      <c r="P305" s="16"/>
      <c r="Q305" s="16"/>
      <c r="R305" s="96"/>
      <c r="S305" s="96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6"/>
      <c r="B306" s="13"/>
      <c r="C306" s="16"/>
      <c r="D306" s="16"/>
      <c r="E306" s="16"/>
      <c r="F306" s="16"/>
      <c r="G306" s="16"/>
      <c r="H306" s="16"/>
      <c r="I306" s="125"/>
      <c r="J306" s="16"/>
      <c r="K306" s="13"/>
      <c r="L306" s="13"/>
      <c r="M306" s="13"/>
      <c r="N306" s="16"/>
      <c r="O306" s="16"/>
      <c r="P306" s="16"/>
      <c r="Q306" s="16"/>
      <c r="R306" s="96"/>
      <c r="S306" s="96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6"/>
      <c r="B307" s="13"/>
      <c r="C307" s="16"/>
      <c r="D307" s="16"/>
      <c r="E307" s="16"/>
      <c r="F307" s="16"/>
      <c r="G307" s="16"/>
      <c r="H307" s="16"/>
      <c r="I307" s="125"/>
      <c r="J307" s="16"/>
      <c r="K307" s="13"/>
      <c r="L307" s="13"/>
      <c r="M307" s="13"/>
      <c r="N307" s="16"/>
      <c r="O307" s="16"/>
      <c r="P307" s="16"/>
      <c r="Q307" s="16"/>
      <c r="R307" s="96"/>
      <c r="S307" s="96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6"/>
      <c r="B308" s="13"/>
      <c r="C308" s="16"/>
      <c r="D308" s="16"/>
      <c r="E308" s="16"/>
      <c r="F308" s="16"/>
      <c r="G308" s="16"/>
      <c r="H308" s="16"/>
      <c r="I308" s="125"/>
      <c r="J308" s="16"/>
      <c r="K308" s="13"/>
      <c r="L308" s="13"/>
      <c r="M308" s="13"/>
      <c r="N308" s="16"/>
      <c r="O308" s="16"/>
      <c r="P308" s="16"/>
      <c r="Q308" s="16"/>
      <c r="R308" s="96"/>
      <c r="S308" s="96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6"/>
      <c r="B309" s="13"/>
      <c r="C309" s="16"/>
      <c r="D309" s="16"/>
      <c r="E309" s="16"/>
      <c r="F309" s="16"/>
      <c r="G309" s="16"/>
      <c r="H309" s="16"/>
      <c r="I309" s="125"/>
      <c r="J309" s="16"/>
      <c r="K309" s="13"/>
      <c r="L309" s="13"/>
      <c r="M309" s="13"/>
      <c r="N309" s="16"/>
      <c r="O309" s="16"/>
      <c r="P309" s="16"/>
      <c r="Q309" s="16"/>
      <c r="R309" s="96"/>
      <c r="S309" s="96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6"/>
      <c r="B310" s="13"/>
      <c r="C310" s="16"/>
      <c r="D310" s="16"/>
      <c r="E310" s="16"/>
      <c r="F310" s="16"/>
      <c r="G310" s="16"/>
      <c r="H310" s="16"/>
      <c r="I310" s="125"/>
      <c r="J310" s="16"/>
      <c r="K310" s="13"/>
      <c r="L310" s="13"/>
      <c r="M310" s="13"/>
      <c r="N310" s="16"/>
      <c r="O310" s="16"/>
      <c r="P310" s="16"/>
      <c r="Q310" s="16"/>
      <c r="R310" s="96"/>
      <c r="S310" s="96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6"/>
      <c r="B311" s="13"/>
      <c r="C311" s="16"/>
      <c r="D311" s="16"/>
      <c r="E311" s="16"/>
      <c r="F311" s="16"/>
      <c r="G311" s="16"/>
      <c r="H311" s="16"/>
      <c r="I311" s="125"/>
      <c r="J311" s="16"/>
      <c r="K311" s="13"/>
      <c r="L311" s="13"/>
      <c r="M311" s="13"/>
      <c r="N311" s="16"/>
      <c r="O311" s="16"/>
      <c r="P311" s="16"/>
      <c r="Q311" s="16"/>
      <c r="R311" s="96"/>
      <c r="S311" s="96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6"/>
      <c r="B312" s="13"/>
      <c r="C312" s="16"/>
      <c r="D312" s="16"/>
      <c r="E312" s="16"/>
      <c r="F312" s="16"/>
      <c r="G312" s="16"/>
      <c r="H312" s="16"/>
      <c r="I312" s="125"/>
      <c r="J312" s="16"/>
      <c r="K312" s="13"/>
      <c r="L312" s="13"/>
      <c r="M312" s="13"/>
      <c r="N312" s="16"/>
      <c r="O312" s="16"/>
      <c r="P312" s="16"/>
      <c r="Q312" s="16"/>
      <c r="R312" s="96"/>
      <c r="S312" s="96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6"/>
      <c r="B313" s="13"/>
      <c r="C313" s="16"/>
      <c r="D313" s="16"/>
      <c r="E313" s="16"/>
      <c r="F313" s="16"/>
      <c r="G313" s="16"/>
      <c r="H313" s="16"/>
      <c r="I313" s="125"/>
      <c r="J313" s="16"/>
      <c r="K313" s="13"/>
      <c r="L313" s="13"/>
      <c r="M313" s="13"/>
      <c r="N313" s="16"/>
      <c r="O313" s="16"/>
      <c r="P313" s="16"/>
      <c r="Q313" s="16"/>
      <c r="R313" s="96"/>
      <c r="S313" s="96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6"/>
      <c r="B314" s="13"/>
      <c r="C314" s="16"/>
      <c r="D314" s="16"/>
      <c r="E314" s="16"/>
      <c r="F314" s="16"/>
      <c r="G314" s="16"/>
      <c r="H314" s="16"/>
      <c r="I314" s="125"/>
      <c r="J314" s="16"/>
      <c r="K314" s="13"/>
      <c r="L314" s="13"/>
      <c r="M314" s="13"/>
      <c r="N314" s="16"/>
      <c r="O314" s="16"/>
      <c r="P314" s="16"/>
      <c r="Q314" s="16"/>
      <c r="R314" s="96"/>
      <c r="S314" s="96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6"/>
      <c r="B315" s="13"/>
      <c r="C315" s="16"/>
      <c r="D315" s="16"/>
      <c r="E315" s="16"/>
      <c r="F315" s="16"/>
      <c r="G315" s="16"/>
      <c r="H315" s="16"/>
      <c r="I315" s="125"/>
      <c r="J315" s="16"/>
      <c r="K315" s="13"/>
      <c r="L315" s="13"/>
      <c r="M315" s="13"/>
      <c r="N315" s="16"/>
      <c r="O315" s="16"/>
      <c r="P315" s="16"/>
      <c r="Q315" s="16"/>
      <c r="R315" s="96"/>
      <c r="S315" s="96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6"/>
      <c r="B316" s="13"/>
      <c r="C316" s="16"/>
      <c r="D316" s="16"/>
      <c r="E316" s="16"/>
      <c r="F316" s="16"/>
      <c r="G316" s="16"/>
      <c r="H316" s="16"/>
      <c r="I316" s="125"/>
      <c r="J316" s="16"/>
      <c r="K316" s="13"/>
      <c r="L316" s="13"/>
      <c r="M316" s="13"/>
      <c r="N316" s="16"/>
      <c r="O316" s="16"/>
      <c r="P316" s="16"/>
      <c r="Q316" s="16"/>
      <c r="R316" s="96"/>
      <c r="S316" s="96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6"/>
      <c r="B317" s="13"/>
      <c r="C317" s="16"/>
      <c r="D317" s="16"/>
      <c r="E317" s="16"/>
      <c r="F317" s="16"/>
      <c r="G317" s="16"/>
      <c r="H317" s="16"/>
      <c r="I317" s="125"/>
      <c r="J317" s="16"/>
      <c r="K317" s="13"/>
      <c r="L317" s="13"/>
      <c r="M317" s="13"/>
      <c r="N317" s="16"/>
      <c r="O317" s="16"/>
      <c r="P317" s="16"/>
      <c r="Q317" s="16"/>
      <c r="R317" s="96"/>
      <c r="S317" s="96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6"/>
      <c r="B318" s="13"/>
      <c r="C318" s="16"/>
      <c r="D318" s="16"/>
      <c r="E318" s="16"/>
      <c r="F318" s="16"/>
      <c r="G318" s="16"/>
      <c r="H318" s="16"/>
      <c r="I318" s="125"/>
      <c r="J318" s="16"/>
      <c r="K318" s="13"/>
      <c r="L318" s="13"/>
      <c r="M318" s="13"/>
      <c r="N318" s="16"/>
      <c r="O318" s="16"/>
      <c r="P318" s="16"/>
      <c r="Q318" s="16"/>
      <c r="R318" s="96"/>
      <c r="S318" s="96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6"/>
      <c r="B319" s="13"/>
      <c r="C319" s="16"/>
      <c r="D319" s="16"/>
      <c r="E319" s="16"/>
      <c r="F319" s="16"/>
      <c r="G319" s="16"/>
      <c r="H319" s="16"/>
      <c r="I319" s="125"/>
      <c r="J319" s="16"/>
      <c r="K319" s="13"/>
      <c r="L319" s="13"/>
      <c r="M319" s="13"/>
      <c r="N319" s="16"/>
      <c r="O319" s="16"/>
      <c r="P319" s="16"/>
      <c r="Q319" s="16"/>
      <c r="R319" s="96"/>
      <c r="S319" s="96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6"/>
      <c r="B320" s="13"/>
      <c r="C320" s="16"/>
      <c r="D320" s="16"/>
      <c r="E320" s="16"/>
      <c r="F320" s="16"/>
      <c r="G320" s="16"/>
      <c r="H320" s="16"/>
      <c r="I320" s="125"/>
      <c r="J320" s="16"/>
      <c r="K320" s="13"/>
      <c r="L320" s="13"/>
      <c r="M320" s="13"/>
      <c r="N320" s="16"/>
      <c r="O320" s="16"/>
      <c r="P320" s="16"/>
      <c r="Q320" s="16"/>
      <c r="R320" s="96"/>
      <c r="S320" s="96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6"/>
      <c r="B321" s="13"/>
      <c r="C321" s="16"/>
      <c r="D321" s="16"/>
      <c r="E321" s="16"/>
      <c r="F321" s="16"/>
      <c r="G321" s="16"/>
      <c r="H321" s="16"/>
      <c r="I321" s="125"/>
      <c r="J321" s="16"/>
      <c r="K321" s="13"/>
      <c r="L321" s="13"/>
      <c r="M321" s="13"/>
      <c r="N321" s="16"/>
      <c r="O321" s="16"/>
      <c r="P321" s="16"/>
      <c r="Q321" s="16"/>
      <c r="R321" s="96"/>
      <c r="S321" s="96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6"/>
      <c r="B322" s="13"/>
      <c r="C322" s="16"/>
      <c r="D322" s="16"/>
      <c r="E322" s="16"/>
      <c r="F322" s="16"/>
      <c r="G322" s="16"/>
      <c r="H322" s="16"/>
      <c r="I322" s="125"/>
      <c r="J322" s="16"/>
      <c r="K322" s="13"/>
      <c r="L322" s="13"/>
      <c r="M322" s="13"/>
      <c r="N322" s="16"/>
      <c r="O322" s="16"/>
      <c r="P322" s="16"/>
      <c r="Q322" s="16"/>
      <c r="R322" s="96"/>
      <c r="S322" s="96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6"/>
      <c r="B323" s="13"/>
      <c r="C323" s="16"/>
      <c r="D323" s="16"/>
      <c r="E323" s="16"/>
      <c r="F323" s="16"/>
      <c r="G323" s="16"/>
      <c r="H323" s="16"/>
      <c r="I323" s="125"/>
      <c r="J323" s="16"/>
      <c r="K323" s="13"/>
      <c r="L323" s="13"/>
      <c r="M323" s="13"/>
      <c r="N323" s="16"/>
      <c r="O323" s="16"/>
      <c r="P323" s="16"/>
      <c r="Q323" s="16"/>
      <c r="R323" s="96"/>
      <c r="S323" s="96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6"/>
      <c r="B324" s="13"/>
      <c r="C324" s="16"/>
      <c r="D324" s="16"/>
      <c r="E324" s="16"/>
      <c r="F324" s="16"/>
      <c r="G324" s="16"/>
      <c r="H324" s="16"/>
      <c r="I324" s="125"/>
      <c r="J324" s="16"/>
      <c r="K324" s="13"/>
      <c r="L324" s="13"/>
      <c r="M324" s="13"/>
      <c r="N324" s="16"/>
      <c r="O324" s="16"/>
      <c r="P324" s="16"/>
      <c r="Q324" s="16"/>
      <c r="R324" s="96"/>
      <c r="S324" s="96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6"/>
      <c r="B325" s="13"/>
      <c r="C325" s="16"/>
      <c r="D325" s="16"/>
      <c r="E325" s="16"/>
      <c r="F325" s="16"/>
      <c r="G325" s="16"/>
      <c r="H325" s="16"/>
      <c r="I325" s="125"/>
      <c r="J325" s="16"/>
      <c r="K325" s="13"/>
      <c r="L325" s="13"/>
      <c r="M325" s="13"/>
      <c r="N325" s="16"/>
      <c r="O325" s="16"/>
      <c r="P325" s="16"/>
      <c r="Q325" s="16"/>
      <c r="R325" s="96"/>
      <c r="S325" s="96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6"/>
      <c r="B326" s="13"/>
      <c r="C326" s="16"/>
      <c r="D326" s="16"/>
      <c r="E326" s="16"/>
      <c r="F326" s="16"/>
      <c r="G326" s="16"/>
      <c r="H326" s="16"/>
      <c r="I326" s="125"/>
      <c r="J326" s="16"/>
      <c r="K326" s="13"/>
      <c r="L326" s="13"/>
      <c r="M326" s="13"/>
      <c r="N326" s="16"/>
      <c r="O326" s="16"/>
      <c r="P326" s="16"/>
      <c r="Q326" s="16"/>
      <c r="R326" s="96"/>
      <c r="S326" s="96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6"/>
      <c r="B327" s="13"/>
      <c r="C327" s="16"/>
      <c r="D327" s="16"/>
      <c r="E327" s="16"/>
      <c r="F327" s="16"/>
      <c r="G327" s="16"/>
      <c r="H327" s="16"/>
      <c r="I327" s="125"/>
      <c r="J327" s="16"/>
      <c r="K327" s="13"/>
      <c r="L327" s="13"/>
      <c r="M327" s="13"/>
      <c r="N327" s="16"/>
      <c r="O327" s="16"/>
      <c r="P327" s="16"/>
      <c r="Q327" s="16"/>
      <c r="R327" s="96"/>
      <c r="S327" s="96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6"/>
      <c r="B328" s="13"/>
      <c r="C328" s="16"/>
      <c r="D328" s="16"/>
      <c r="E328" s="16"/>
      <c r="F328" s="16"/>
      <c r="G328" s="16"/>
      <c r="H328" s="16"/>
      <c r="I328" s="125"/>
      <c r="J328" s="16"/>
      <c r="K328" s="13"/>
      <c r="L328" s="13"/>
      <c r="M328" s="13"/>
      <c r="N328" s="16"/>
      <c r="O328" s="16"/>
      <c r="P328" s="16"/>
      <c r="Q328" s="16"/>
      <c r="R328" s="96"/>
      <c r="S328" s="96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6"/>
      <c r="B329" s="13"/>
      <c r="C329" s="16"/>
      <c r="D329" s="16"/>
      <c r="E329" s="16"/>
      <c r="F329" s="16"/>
      <c r="G329" s="16"/>
      <c r="H329" s="16"/>
      <c r="I329" s="125"/>
      <c r="J329" s="16"/>
      <c r="K329" s="13"/>
      <c r="L329" s="13"/>
      <c r="M329" s="13"/>
      <c r="N329" s="16"/>
      <c r="O329" s="16"/>
      <c r="P329" s="16"/>
      <c r="Q329" s="16"/>
      <c r="R329" s="96"/>
      <c r="S329" s="96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6"/>
      <c r="B330" s="13"/>
      <c r="C330" s="16"/>
      <c r="D330" s="16"/>
      <c r="E330" s="16"/>
      <c r="F330" s="16"/>
      <c r="G330" s="16"/>
      <c r="H330" s="16"/>
      <c r="I330" s="125"/>
      <c r="J330" s="16"/>
      <c r="K330" s="13"/>
      <c r="L330" s="13"/>
      <c r="M330" s="13"/>
      <c r="N330" s="16"/>
      <c r="O330" s="16"/>
      <c r="P330" s="16"/>
      <c r="Q330" s="16"/>
      <c r="R330" s="96"/>
      <c r="S330" s="96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6"/>
      <c r="B331" s="13"/>
      <c r="C331" s="16"/>
      <c r="D331" s="16"/>
      <c r="E331" s="16"/>
      <c r="F331" s="16"/>
      <c r="G331" s="16"/>
      <c r="H331" s="16"/>
      <c r="I331" s="125"/>
      <c r="J331" s="16"/>
      <c r="K331" s="13"/>
      <c r="L331" s="13"/>
      <c r="M331" s="13"/>
      <c r="N331" s="16"/>
      <c r="O331" s="16"/>
      <c r="P331" s="16"/>
      <c r="Q331" s="16"/>
      <c r="R331" s="96"/>
      <c r="S331" s="96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6"/>
      <c r="B332" s="13"/>
      <c r="C332" s="16"/>
      <c r="D332" s="16"/>
      <c r="E332" s="16"/>
      <c r="F332" s="16"/>
      <c r="G332" s="16"/>
      <c r="H332" s="16"/>
      <c r="I332" s="125"/>
      <c r="J332" s="16"/>
      <c r="K332" s="13"/>
      <c r="L332" s="13"/>
      <c r="M332" s="13"/>
      <c r="N332" s="16"/>
      <c r="O332" s="16"/>
      <c r="P332" s="16"/>
      <c r="Q332" s="16"/>
      <c r="R332" s="96"/>
      <c r="S332" s="96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6"/>
      <c r="B333" s="13"/>
      <c r="C333" s="16"/>
      <c r="D333" s="16"/>
      <c r="E333" s="16"/>
      <c r="F333" s="16"/>
      <c r="G333" s="16"/>
      <c r="H333" s="16"/>
      <c r="I333" s="125"/>
      <c r="J333" s="16"/>
      <c r="K333" s="13"/>
      <c r="L333" s="13"/>
      <c r="M333" s="13"/>
      <c r="N333" s="16"/>
      <c r="O333" s="16"/>
      <c r="P333" s="16"/>
      <c r="Q333" s="16"/>
      <c r="R333" s="96"/>
      <c r="S333" s="96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6"/>
      <c r="B334" s="13"/>
      <c r="C334" s="16"/>
      <c r="D334" s="16"/>
      <c r="E334" s="16"/>
      <c r="F334" s="16"/>
      <c r="G334" s="16"/>
      <c r="H334" s="16"/>
      <c r="I334" s="125"/>
      <c r="J334" s="16"/>
      <c r="K334" s="13"/>
      <c r="L334" s="13"/>
      <c r="M334" s="13"/>
      <c r="N334" s="16"/>
      <c r="O334" s="16"/>
      <c r="P334" s="16"/>
      <c r="Q334" s="16"/>
      <c r="R334" s="96"/>
      <c r="S334" s="96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6"/>
      <c r="B335" s="13"/>
      <c r="C335" s="16"/>
      <c r="D335" s="16"/>
      <c r="E335" s="16"/>
      <c r="F335" s="16"/>
      <c r="G335" s="16"/>
      <c r="H335" s="16"/>
      <c r="I335" s="125"/>
      <c r="J335" s="16"/>
      <c r="K335" s="13"/>
      <c r="L335" s="13"/>
      <c r="M335" s="13"/>
      <c r="N335" s="16"/>
      <c r="O335" s="16"/>
      <c r="P335" s="16"/>
      <c r="Q335" s="16"/>
      <c r="R335" s="96"/>
      <c r="S335" s="96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6"/>
      <c r="B336" s="13"/>
      <c r="C336" s="16"/>
      <c r="D336" s="16"/>
      <c r="E336" s="16"/>
      <c r="F336" s="16"/>
      <c r="G336" s="16"/>
      <c r="H336" s="16"/>
      <c r="I336" s="125"/>
      <c r="J336" s="16"/>
      <c r="K336" s="13"/>
      <c r="L336" s="13"/>
      <c r="M336" s="13"/>
      <c r="N336" s="16"/>
      <c r="O336" s="16"/>
      <c r="P336" s="16"/>
      <c r="Q336" s="16"/>
      <c r="R336" s="96"/>
      <c r="S336" s="96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6"/>
      <c r="B337" s="13"/>
      <c r="C337" s="16"/>
      <c r="D337" s="16"/>
      <c r="E337" s="16"/>
      <c r="F337" s="16"/>
      <c r="G337" s="16"/>
      <c r="H337" s="16"/>
      <c r="I337" s="125"/>
      <c r="J337" s="16"/>
      <c r="K337" s="13"/>
      <c r="L337" s="13"/>
      <c r="M337" s="13"/>
      <c r="N337" s="16"/>
      <c r="O337" s="16"/>
      <c r="P337" s="16"/>
      <c r="Q337" s="16"/>
      <c r="R337" s="96"/>
      <c r="S337" s="96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6"/>
      <c r="B338" s="13"/>
      <c r="C338" s="16"/>
      <c r="D338" s="16"/>
      <c r="E338" s="16"/>
      <c r="F338" s="16"/>
      <c r="G338" s="16"/>
      <c r="H338" s="16"/>
      <c r="I338" s="125"/>
      <c r="J338" s="16"/>
      <c r="K338" s="13"/>
      <c r="L338" s="13"/>
      <c r="M338" s="13"/>
      <c r="N338" s="16"/>
      <c r="O338" s="16"/>
      <c r="P338" s="16"/>
      <c r="Q338" s="16"/>
      <c r="R338" s="96"/>
      <c r="S338" s="96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6"/>
      <c r="B339" s="13"/>
      <c r="C339" s="16"/>
      <c r="D339" s="16"/>
      <c r="E339" s="16"/>
      <c r="F339" s="16"/>
      <c r="G339" s="16"/>
      <c r="H339" s="16"/>
      <c r="I339" s="125"/>
      <c r="J339" s="16"/>
      <c r="K339" s="13"/>
      <c r="L339" s="13"/>
      <c r="M339" s="13"/>
      <c r="N339" s="16"/>
      <c r="O339" s="16"/>
      <c r="P339" s="16"/>
      <c r="Q339" s="16"/>
      <c r="R339" s="96"/>
      <c r="S339" s="96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6"/>
      <c r="B340" s="13"/>
      <c r="C340" s="16"/>
      <c r="D340" s="16"/>
      <c r="E340" s="16"/>
      <c r="F340" s="16"/>
      <c r="G340" s="16"/>
      <c r="H340" s="16"/>
      <c r="I340" s="125"/>
      <c r="J340" s="16"/>
      <c r="K340" s="13"/>
      <c r="L340" s="13"/>
      <c r="M340" s="13"/>
      <c r="N340" s="16"/>
      <c r="O340" s="16"/>
      <c r="P340" s="16"/>
      <c r="Q340" s="16"/>
      <c r="R340" s="96"/>
      <c r="S340" s="96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6"/>
      <c r="B341" s="13"/>
      <c r="C341" s="16"/>
      <c r="D341" s="16"/>
      <c r="E341" s="16"/>
      <c r="F341" s="16"/>
      <c r="G341" s="16"/>
      <c r="H341" s="16"/>
      <c r="I341" s="125"/>
      <c r="J341" s="16"/>
      <c r="K341" s="13"/>
      <c r="L341" s="13"/>
      <c r="M341" s="13"/>
      <c r="N341" s="16"/>
      <c r="O341" s="16"/>
      <c r="P341" s="16"/>
      <c r="Q341" s="16"/>
      <c r="R341" s="96"/>
      <c r="S341" s="96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6"/>
      <c r="B342" s="13"/>
      <c r="C342" s="16"/>
      <c r="D342" s="16"/>
      <c r="E342" s="16"/>
      <c r="F342" s="16"/>
      <c r="G342" s="16"/>
      <c r="H342" s="16"/>
      <c r="I342" s="125"/>
      <c r="J342" s="16"/>
      <c r="K342" s="13"/>
      <c r="L342" s="13"/>
      <c r="M342" s="13"/>
      <c r="N342" s="16"/>
      <c r="O342" s="16"/>
      <c r="P342" s="16"/>
      <c r="Q342" s="16"/>
      <c r="R342" s="96"/>
      <c r="S342" s="96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6"/>
      <c r="B343" s="13"/>
      <c r="C343" s="16"/>
      <c r="D343" s="16"/>
      <c r="E343" s="16"/>
      <c r="F343" s="16"/>
      <c r="G343" s="16"/>
      <c r="H343" s="16"/>
      <c r="I343" s="125"/>
      <c r="J343" s="16"/>
      <c r="K343" s="13"/>
      <c r="L343" s="13"/>
      <c r="M343" s="13"/>
      <c r="N343" s="16"/>
      <c r="O343" s="16"/>
      <c r="P343" s="16"/>
      <c r="Q343" s="16"/>
      <c r="R343" s="96"/>
      <c r="S343" s="96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6"/>
      <c r="B344" s="13"/>
      <c r="C344" s="16"/>
      <c r="D344" s="16"/>
      <c r="E344" s="16"/>
      <c r="F344" s="16"/>
      <c r="G344" s="16"/>
      <c r="H344" s="16"/>
      <c r="I344" s="125"/>
      <c r="J344" s="16"/>
      <c r="K344" s="13"/>
      <c r="L344" s="13"/>
      <c r="M344" s="13"/>
      <c r="N344" s="16"/>
      <c r="O344" s="16"/>
      <c r="P344" s="16"/>
      <c r="Q344" s="16"/>
      <c r="R344" s="96"/>
      <c r="S344" s="96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6"/>
      <c r="B345" s="13"/>
      <c r="C345" s="16"/>
      <c r="D345" s="16"/>
      <c r="E345" s="16"/>
      <c r="F345" s="16"/>
      <c r="G345" s="16"/>
      <c r="H345" s="16"/>
      <c r="I345" s="125"/>
      <c r="J345" s="16"/>
      <c r="K345" s="13"/>
      <c r="L345" s="13"/>
      <c r="M345" s="13"/>
      <c r="N345" s="16"/>
      <c r="O345" s="16"/>
      <c r="P345" s="16"/>
      <c r="Q345" s="16"/>
      <c r="R345" s="96"/>
      <c r="S345" s="96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6"/>
      <c r="B346" s="13"/>
      <c r="C346" s="16"/>
      <c r="D346" s="16"/>
      <c r="E346" s="16"/>
      <c r="F346" s="16"/>
      <c r="G346" s="16"/>
      <c r="H346" s="16"/>
      <c r="I346" s="125"/>
      <c r="J346" s="16"/>
      <c r="K346" s="13"/>
      <c r="L346" s="13"/>
      <c r="M346" s="13"/>
      <c r="N346" s="16"/>
      <c r="O346" s="16"/>
      <c r="P346" s="16"/>
      <c r="Q346" s="16"/>
      <c r="R346" s="96"/>
      <c r="S346" s="96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6"/>
      <c r="B347" s="13"/>
      <c r="C347" s="16"/>
      <c r="D347" s="16"/>
      <c r="E347" s="16"/>
      <c r="F347" s="16"/>
      <c r="G347" s="16"/>
      <c r="H347" s="16"/>
      <c r="I347" s="125"/>
      <c r="J347" s="16"/>
      <c r="K347" s="13"/>
      <c r="L347" s="13"/>
      <c r="M347" s="13"/>
      <c r="N347" s="16"/>
      <c r="O347" s="16"/>
      <c r="P347" s="16"/>
      <c r="Q347" s="16"/>
      <c r="R347" s="96"/>
      <c r="S347" s="96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6"/>
      <c r="B348" s="13"/>
      <c r="C348" s="16"/>
      <c r="D348" s="16"/>
      <c r="E348" s="16"/>
      <c r="F348" s="16"/>
      <c r="G348" s="16"/>
      <c r="H348" s="16"/>
      <c r="I348" s="125"/>
      <c r="J348" s="16"/>
      <c r="K348" s="13"/>
      <c r="L348" s="13"/>
      <c r="M348" s="13"/>
      <c r="N348" s="16"/>
      <c r="O348" s="16"/>
      <c r="P348" s="16"/>
      <c r="Q348" s="16"/>
      <c r="R348" s="96"/>
      <c r="S348" s="96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6"/>
      <c r="B349" s="13"/>
      <c r="C349" s="16"/>
      <c r="D349" s="16"/>
      <c r="E349" s="16"/>
      <c r="F349" s="16"/>
      <c r="G349" s="16"/>
      <c r="H349" s="16"/>
      <c r="I349" s="125"/>
      <c r="J349" s="16"/>
      <c r="K349" s="13"/>
      <c r="L349" s="13"/>
      <c r="M349" s="13"/>
      <c r="N349" s="16"/>
      <c r="O349" s="16"/>
      <c r="P349" s="16"/>
      <c r="Q349" s="16"/>
      <c r="R349" s="96"/>
      <c r="S349" s="96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6"/>
      <c r="B350" s="13"/>
      <c r="C350" s="16"/>
      <c r="D350" s="16"/>
      <c r="E350" s="16"/>
      <c r="F350" s="16"/>
      <c r="G350" s="16"/>
      <c r="H350" s="16"/>
      <c r="I350" s="125"/>
      <c r="J350" s="16"/>
      <c r="K350" s="13"/>
      <c r="L350" s="13"/>
      <c r="M350" s="13"/>
      <c r="N350" s="16"/>
      <c r="O350" s="16"/>
      <c r="P350" s="16"/>
      <c r="Q350" s="16"/>
      <c r="R350" s="96"/>
      <c r="S350" s="96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6"/>
      <c r="B351" s="13"/>
      <c r="C351" s="16"/>
      <c r="D351" s="16"/>
      <c r="E351" s="16"/>
      <c r="F351" s="16"/>
      <c r="G351" s="16"/>
      <c r="H351" s="16"/>
      <c r="I351" s="125"/>
      <c r="J351" s="16"/>
      <c r="K351" s="13"/>
      <c r="L351" s="13"/>
      <c r="M351" s="13"/>
      <c r="N351" s="16"/>
      <c r="O351" s="16"/>
      <c r="P351" s="16"/>
      <c r="Q351" s="16"/>
      <c r="R351" s="96"/>
      <c r="S351" s="96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6"/>
      <c r="B352" s="13"/>
      <c r="C352" s="16"/>
      <c r="D352" s="16"/>
      <c r="E352" s="16"/>
      <c r="F352" s="16"/>
      <c r="G352" s="16"/>
      <c r="H352" s="16"/>
      <c r="I352" s="125"/>
      <c r="J352" s="16"/>
      <c r="K352" s="13"/>
      <c r="L352" s="13"/>
      <c r="M352" s="13"/>
      <c r="N352" s="16"/>
      <c r="O352" s="16"/>
      <c r="P352" s="16"/>
      <c r="Q352" s="16"/>
      <c r="R352" s="96"/>
      <c r="S352" s="96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6"/>
      <c r="B353" s="13"/>
      <c r="C353" s="16"/>
      <c r="D353" s="16"/>
      <c r="E353" s="16"/>
      <c r="F353" s="16"/>
      <c r="G353" s="16"/>
      <c r="H353" s="16"/>
      <c r="I353" s="125"/>
      <c r="J353" s="16"/>
      <c r="K353" s="13"/>
      <c r="L353" s="13"/>
      <c r="M353" s="13"/>
      <c r="N353" s="16"/>
      <c r="O353" s="16"/>
      <c r="P353" s="16"/>
      <c r="Q353" s="16"/>
      <c r="R353" s="96"/>
      <c r="S353" s="96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6"/>
      <c r="B354" s="13"/>
      <c r="C354" s="16"/>
      <c r="D354" s="16"/>
      <c r="E354" s="16"/>
      <c r="F354" s="16"/>
      <c r="G354" s="16"/>
      <c r="H354" s="16"/>
      <c r="I354" s="125"/>
      <c r="J354" s="16"/>
      <c r="K354" s="13"/>
      <c r="L354" s="13"/>
      <c r="M354" s="13"/>
      <c r="N354" s="16"/>
      <c r="O354" s="16"/>
      <c r="P354" s="16"/>
      <c r="Q354" s="16"/>
      <c r="R354" s="96"/>
      <c r="S354" s="96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6"/>
      <c r="B355" s="13"/>
      <c r="C355" s="16"/>
      <c r="D355" s="16"/>
      <c r="E355" s="16"/>
      <c r="F355" s="16"/>
      <c r="G355" s="16"/>
      <c r="H355" s="16"/>
      <c r="I355" s="125"/>
      <c r="J355" s="16"/>
      <c r="K355" s="13"/>
      <c r="L355" s="13"/>
      <c r="M355" s="13"/>
      <c r="N355" s="16"/>
      <c r="O355" s="16"/>
      <c r="P355" s="16"/>
      <c r="Q355" s="16"/>
      <c r="R355" s="96"/>
      <c r="S355" s="96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6"/>
      <c r="B356" s="13"/>
      <c r="C356" s="16"/>
      <c r="D356" s="16"/>
      <c r="E356" s="16"/>
      <c r="F356" s="16"/>
      <c r="G356" s="16"/>
      <c r="H356" s="16"/>
      <c r="I356" s="125"/>
      <c r="J356" s="16"/>
      <c r="K356" s="13"/>
      <c r="L356" s="13"/>
      <c r="M356" s="13"/>
      <c r="N356" s="16"/>
      <c r="O356" s="16"/>
      <c r="P356" s="16"/>
      <c r="Q356" s="16"/>
      <c r="R356" s="96"/>
      <c r="S356" s="96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6"/>
      <c r="B357" s="13"/>
      <c r="C357" s="16"/>
      <c r="D357" s="16"/>
      <c r="E357" s="16"/>
      <c r="F357" s="16"/>
      <c r="G357" s="16"/>
      <c r="H357" s="16"/>
      <c r="I357" s="125"/>
      <c r="J357" s="16"/>
      <c r="K357" s="13"/>
      <c r="L357" s="13"/>
      <c r="M357" s="13"/>
      <c r="N357" s="16"/>
      <c r="O357" s="16"/>
      <c r="P357" s="16"/>
      <c r="Q357" s="16"/>
      <c r="R357" s="96"/>
      <c r="S357" s="96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6"/>
      <c r="B358" s="13"/>
      <c r="C358" s="16"/>
      <c r="D358" s="16"/>
      <c r="E358" s="16"/>
      <c r="F358" s="16"/>
      <c r="G358" s="16"/>
      <c r="H358" s="16"/>
      <c r="I358" s="125"/>
      <c r="J358" s="16"/>
      <c r="K358" s="13"/>
      <c r="L358" s="13"/>
      <c r="M358" s="13"/>
      <c r="N358" s="16"/>
      <c r="O358" s="16"/>
      <c r="P358" s="16"/>
      <c r="Q358" s="16"/>
      <c r="R358" s="96"/>
      <c r="S358" s="96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6"/>
      <c r="B359" s="13"/>
      <c r="C359" s="16"/>
      <c r="D359" s="16"/>
      <c r="E359" s="16"/>
      <c r="F359" s="16"/>
      <c r="G359" s="16"/>
      <c r="H359" s="16"/>
      <c r="I359" s="125"/>
      <c r="J359" s="16"/>
      <c r="K359" s="13"/>
      <c r="L359" s="13"/>
      <c r="M359" s="13"/>
      <c r="N359" s="16"/>
      <c r="O359" s="16"/>
      <c r="P359" s="16"/>
      <c r="Q359" s="16"/>
      <c r="R359" s="96"/>
      <c r="S359" s="96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6"/>
      <c r="B360" s="13"/>
      <c r="C360" s="16"/>
      <c r="D360" s="16"/>
      <c r="E360" s="16"/>
      <c r="F360" s="16"/>
      <c r="G360" s="16"/>
      <c r="H360" s="16"/>
      <c r="I360" s="125"/>
      <c r="J360" s="16"/>
      <c r="K360" s="13"/>
      <c r="L360" s="13"/>
      <c r="M360" s="13"/>
      <c r="N360" s="16"/>
      <c r="O360" s="16"/>
      <c r="P360" s="16"/>
      <c r="Q360" s="16"/>
      <c r="R360" s="96"/>
      <c r="S360" s="96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6"/>
      <c r="B361" s="13"/>
      <c r="C361" s="16"/>
      <c r="D361" s="16"/>
      <c r="E361" s="16"/>
      <c r="F361" s="16"/>
      <c r="G361" s="16"/>
      <c r="H361" s="16"/>
      <c r="I361" s="125"/>
      <c r="J361" s="16"/>
      <c r="K361" s="13"/>
      <c r="L361" s="13"/>
      <c r="M361" s="13"/>
      <c r="N361" s="16"/>
      <c r="O361" s="16"/>
      <c r="P361" s="16"/>
      <c r="Q361" s="16"/>
      <c r="R361" s="96"/>
      <c r="S361" s="96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6"/>
      <c r="B362" s="13"/>
      <c r="C362" s="16"/>
      <c r="D362" s="16"/>
      <c r="E362" s="16"/>
      <c r="F362" s="16"/>
      <c r="G362" s="16"/>
      <c r="H362" s="16"/>
      <c r="I362" s="125"/>
      <c r="J362" s="16"/>
      <c r="K362" s="13"/>
      <c r="L362" s="13"/>
      <c r="M362" s="13"/>
      <c r="N362" s="16"/>
      <c r="O362" s="16"/>
      <c r="P362" s="16"/>
      <c r="Q362" s="16"/>
      <c r="R362" s="96"/>
      <c r="S362" s="96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6"/>
      <c r="B363" s="13"/>
      <c r="C363" s="16"/>
      <c r="D363" s="16"/>
      <c r="E363" s="16"/>
      <c r="F363" s="16"/>
      <c r="G363" s="16"/>
      <c r="H363" s="16"/>
      <c r="I363" s="125"/>
      <c r="J363" s="16"/>
      <c r="K363" s="13"/>
      <c r="L363" s="13"/>
      <c r="M363" s="13"/>
      <c r="N363" s="16"/>
      <c r="O363" s="16"/>
      <c r="P363" s="16"/>
      <c r="Q363" s="16"/>
      <c r="R363" s="96"/>
      <c r="S363" s="96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6"/>
      <c r="B364" s="13"/>
      <c r="C364" s="16"/>
      <c r="D364" s="16"/>
      <c r="E364" s="16"/>
      <c r="F364" s="16"/>
      <c r="G364" s="16"/>
      <c r="H364" s="16"/>
      <c r="I364" s="125"/>
      <c r="J364" s="16"/>
      <c r="K364" s="13"/>
      <c r="L364" s="13"/>
      <c r="M364" s="13"/>
      <c r="N364" s="16"/>
      <c r="O364" s="16"/>
      <c r="P364" s="16"/>
      <c r="Q364" s="16"/>
      <c r="R364" s="96"/>
      <c r="S364" s="96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6"/>
      <c r="B365" s="13"/>
      <c r="C365" s="16"/>
      <c r="D365" s="16"/>
      <c r="E365" s="16"/>
      <c r="F365" s="16"/>
      <c r="G365" s="16"/>
      <c r="H365" s="16"/>
      <c r="I365" s="125"/>
      <c r="J365" s="16"/>
      <c r="K365" s="13"/>
      <c r="L365" s="13"/>
      <c r="M365" s="13"/>
      <c r="N365" s="16"/>
      <c r="O365" s="16"/>
      <c r="P365" s="16"/>
      <c r="Q365" s="16"/>
      <c r="R365" s="96"/>
      <c r="S365" s="96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6"/>
      <c r="B366" s="13"/>
      <c r="C366" s="16"/>
      <c r="D366" s="16"/>
      <c r="E366" s="16"/>
      <c r="F366" s="16"/>
      <c r="G366" s="16"/>
      <c r="H366" s="16"/>
      <c r="I366" s="125"/>
      <c r="J366" s="16"/>
      <c r="K366" s="13"/>
      <c r="L366" s="13"/>
      <c r="M366" s="13"/>
      <c r="N366" s="16"/>
      <c r="O366" s="16"/>
      <c r="P366" s="16"/>
      <c r="Q366" s="16"/>
      <c r="R366" s="96"/>
      <c r="S366" s="96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6"/>
      <c r="B367" s="13"/>
      <c r="C367" s="16"/>
      <c r="D367" s="16"/>
      <c r="E367" s="16"/>
      <c r="F367" s="16"/>
      <c r="G367" s="16"/>
      <c r="H367" s="16"/>
      <c r="I367" s="125"/>
      <c r="J367" s="16"/>
      <c r="K367" s="13"/>
      <c r="L367" s="13"/>
      <c r="M367" s="13"/>
      <c r="N367" s="16"/>
      <c r="O367" s="16"/>
      <c r="P367" s="16"/>
      <c r="Q367" s="16"/>
      <c r="R367" s="96"/>
      <c r="S367" s="96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6"/>
      <c r="B368" s="13"/>
      <c r="C368" s="16"/>
      <c r="D368" s="16"/>
      <c r="E368" s="16"/>
      <c r="F368" s="16"/>
      <c r="G368" s="16"/>
      <c r="H368" s="16"/>
      <c r="I368" s="125"/>
      <c r="J368" s="16"/>
      <c r="K368" s="13"/>
      <c r="L368" s="13"/>
      <c r="M368" s="13"/>
      <c r="N368" s="16"/>
      <c r="O368" s="16"/>
      <c r="P368" s="16"/>
      <c r="Q368" s="16"/>
      <c r="R368" s="96"/>
      <c r="S368" s="96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6"/>
      <c r="B369" s="13"/>
      <c r="C369" s="16"/>
      <c r="D369" s="16"/>
      <c r="E369" s="16"/>
      <c r="F369" s="16"/>
      <c r="G369" s="16"/>
      <c r="H369" s="16"/>
      <c r="I369" s="125"/>
      <c r="J369" s="16"/>
      <c r="K369" s="13"/>
      <c r="L369" s="13"/>
      <c r="M369" s="13"/>
      <c r="N369" s="16"/>
      <c r="O369" s="16"/>
      <c r="P369" s="16"/>
      <c r="Q369" s="16"/>
      <c r="R369" s="96"/>
      <c r="S369" s="96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6"/>
      <c r="B370" s="13"/>
      <c r="C370" s="16"/>
      <c r="D370" s="16"/>
      <c r="E370" s="16"/>
      <c r="F370" s="16"/>
      <c r="G370" s="16"/>
      <c r="H370" s="16"/>
      <c r="I370" s="125"/>
      <c r="J370" s="16"/>
      <c r="K370" s="13"/>
      <c r="L370" s="13"/>
      <c r="M370" s="13"/>
      <c r="N370" s="16"/>
      <c r="O370" s="16"/>
      <c r="P370" s="16"/>
      <c r="Q370" s="16"/>
      <c r="R370" s="96"/>
      <c r="S370" s="96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6"/>
      <c r="B371" s="13"/>
      <c r="C371" s="16"/>
      <c r="D371" s="16"/>
      <c r="E371" s="16"/>
      <c r="F371" s="16"/>
      <c r="G371" s="16"/>
      <c r="H371" s="16"/>
      <c r="I371" s="125"/>
      <c r="J371" s="16"/>
      <c r="K371" s="13"/>
      <c r="L371" s="13"/>
      <c r="M371" s="13"/>
      <c r="N371" s="16"/>
      <c r="O371" s="16"/>
      <c r="P371" s="16"/>
      <c r="Q371" s="16"/>
      <c r="R371" s="96"/>
      <c r="S371" s="96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6"/>
      <c r="B372" s="13"/>
      <c r="C372" s="16"/>
      <c r="D372" s="16"/>
      <c r="E372" s="16"/>
      <c r="F372" s="16"/>
      <c r="G372" s="16"/>
      <c r="H372" s="16"/>
      <c r="I372" s="125"/>
      <c r="J372" s="16"/>
      <c r="K372" s="13"/>
      <c r="L372" s="13"/>
      <c r="M372" s="13"/>
      <c r="N372" s="16"/>
      <c r="O372" s="16"/>
      <c r="P372" s="16"/>
      <c r="Q372" s="16"/>
      <c r="R372" s="96"/>
      <c r="S372" s="96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6"/>
      <c r="B373" s="13"/>
      <c r="C373" s="16"/>
      <c r="D373" s="16"/>
      <c r="E373" s="16"/>
      <c r="F373" s="16"/>
      <c r="G373" s="16"/>
      <c r="H373" s="16"/>
      <c r="I373" s="125"/>
      <c r="J373" s="16"/>
      <c r="K373" s="13"/>
      <c r="L373" s="13"/>
      <c r="M373" s="13"/>
      <c r="N373" s="16"/>
      <c r="O373" s="16"/>
      <c r="P373" s="16"/>
      <c r="Q373" s="16"/>
      <c r="R373" s="96"/>
      <c r="S373" s="96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6"/>
      <c r="B374" s="13"/>
      <c r="C374" s="16"/>
      <c r="D374" s="16"/>
      <c r="E374" s="16"/>
      <c r="F374" s="16"/>
      <c r="G374" s="16"/>
      <c r="H374" s="16"/>
      <c r="I374" s="125"/>
      <c r="J374" s="16"/>
      <c r="K374" s="13"/>
      <c r="L374" s="13"/>
      <c r="M374" s="13"/>
      <c r="N374" s="16"/>
      <c r="O374" s="16"/>
      <c r="P374" s="16"/>
      <c r="Q374" s="16"/>
      <c r="R374" s="96"/>
      <c r="S374" s="96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6"/>
      <c r="B375" s="13"/>
      <c r="C375" s="16"/>
      <c r="D375" s="16"/>
      <c r="E375" s="16"/>
      <c r="F375" s="16"/>
      <c r="G375" s="16"/>
      <c r="H375" s="16"/>
      <c r="I375" s="125"/>
      <c r="J375" s="16"/>
      <c r="K375" s="13"/>
      <c r="L375" s="13"/>
      <c r="M375" s="13"/>
      <c r="N375" s="16"/>
      <c r="O375" s="16"/>
      <c r="P375" s="16"/>
      <c r="Q375" s="16"/>
      <c r="R375" s="96"/>
      <c r="S375" s="96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6"/>
      <c r="B376" s="13"/>
      <c r="C376" s="16"/>
      <c r="D376" s="16"/>
      <c r="E376" s="16"/>
      <c r="F376" s="16"/>
      <c r="G376" s="16"/>
      <c r="H376" s="16"/>
      <c r="I376" s="125"/>
      <c r="J376" s="16"/>
      <c r="K376" s="13"/>
      <c r="L376" s="13"/>
      <c r="M376" s="13"/>
      <c r="N376" s="16"/>
      <c r="O376" s="16"/>
      <c r="P376" s="16"/>
      <c r="Q376" s="16"/>
      <c r="R376" s="96"/>
      <c r="S376" s="96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6"/>
      <c r="B377" s="13"/>
      <c r="C377" s="16"/>
      <c r="D377" s="16"/>
      <c r="E377" s="16"/>
      <c r="F377" s="16"/>
      <c r="G377" s="16"/>
      <c r="H377" s="16"/>
      <c r="I377" s="125"/>
      <c r="J377" s="16"/>
      <c r="K377" s="13"/>
      <c r="L377" s="13"/>
      <c r="M377" s="13"/>
      <c r="N377" s="16"/>
      <c r="O377" s="16"/>
      <c r="P377" s="16"/>
      <c r="Q377" s="16"/>
      <c r="R377" s="96"/>
      <c r="S377" s="96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6"/>
      <c r="B378" s="13"/>
      <c r="C378" s="16"/>
      <c r="D378" s="16"/>
      <c r="E378" s="16"/>
      <c r="F378" s="16"/>
      <c r="G378" s="16"/>
      <c r="H378" s="16"/>
      <c r="I378" s="125"/>
      <c r="J378" s="16"/>
      <c r="K378" s="13"/>
      <c r="L378" s="13"/>
      <c r="M378" s="13"/>
      <c r="N378" s="16"/>
      <c r="O378" s="16"/>
      <c r="P378" s="16"/>
      <c r="Q378" s="16"/>
      <c r="R378" s="96"/>
      <c r="S378" s="96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6"/>
      <c r="B379" s="13"/>
      <c r="C379" s="16"/>
      <c r="D379" s="16"/>
      <c r="E379" s="16"/>
      <c r="F379" s="16"/>
      <c r="G379" s="16"/>
      <c r="H379" s="16"/>
      <c r="I379" s="125"/>
      <c r="J379" s="16"/>
      <c r="K379" s="13"/>
      <c r="L379" s="13"/>
      <c r="M379" s="13"/>
      <c r="N379" s="16"/>
      <c r="O379" s="16"/>
      <c r="P379" s="16"/>
      <c r="Q379" s="16"/>
      <c r="R379" s="96"/>
      <c r="S379" s="96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6"/>
      <c r="B380" s="13"/>
      <c r="C380" s="16"/>
      <c r="D380" s="16"/>
      <c r="E380" s="16"/>
      <c r="F380" s="16"/>
      <c r="G380" s="16"/>
      <c r="H380" s="16"/>
      <c r="I380" s="125"/>
      <c r="J380" s="16"/>
      <c r="K380" s="13"/>
      <c r="L380" s="13"/>
      <c r="M380" s="13"/>
      <c r="N380" s="16"/>
      <c r="O380" s="16"/>
      <c r="P380" s="16"/>
      <c r="Q380" s="16"/>
      <c r="R380" s="96"/>
      <c r="S380" s="96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6"/>
      <c r="B381" s="13"/>
      <c r="C381" s="16"/>
      <c r="D381" s="16"/>
      <c r="E381" s="16"/>
      <c r="F381" s="16"/>
      <c r="G381" s="16"/>
      <c r="H381" s="16"/>
      <c r="I381" s="125"/>
      <c r="J381" s="16"/>
      <c r="K381" s="13"/>
      <c r="L381" s="13"/>
      <c r="M381" s="13"/>
      <c r="N381" s="16"/>
      <c r="O381" s="16"/>
      <c r="P381" s="16"/>
      <c r="Q381" s="16"/>
      <c r="R381" s="96"/>
      <c r="S381" s="96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6"/>
      <c r="B382" s="13"/>
      <c r="C382" s="16"/>
      <c r="D382" s="16"/>
      <c r="E382" s="16"/>
      <c r="F382" s="16"/>
      <c r="G382" s="16"/>
      <c r="H382" s="16"/>
      <c r="I382" s="125"/>
      <c r="J382" s="16"/>
      <c r="K382" s="13"/>
      <c r="L382" s="13"/>
      <c r="M382" s="13"/>
      <c r="N382" s="16"/>
      <c r="O382" s="16"/>
      <c r="P382" s="16"/>
      <c r="Q382" s="16"/>
      <c r="R382" s="96"/>
      <c r="S382" s="96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6"/>
      <c r="B383" s="13"/>
      <c r="C383" s="16"/>
      <c r="D383" s="16"/>
      <c r="E383" s="16"/>
      <c r="F383" s="16"/>
      <c r="G383" s="16"/>
      <c r="H383" s="16"/>
      <c r="I383" s="125"/>
      <c r="J383" s="16"/>
      <c r="K383" s="13"/>
      <c r="L383" s="13"/>
      <c r="M383" s="13"/>
      <c r="N383" s="16"/>
      <c r="O383" s="16"/>
      <c r="P383" s="16"/>
      <c r="Q383" s="16"/>
      <c r="R383" s="96"/>
      <c r="S383" s="96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6"/>
      <c r="B384" s="13"/>
      <c r="C384" s="16"/>
      <c r="D384" s="16"/>
      <c r="E384" s="16"/>
      <c r="F384" s="16"/>
      <c r="G384" s="16"/>
      <c r="H384" s="16"/>
      <c r="I384" s="125"/>
      <c r="J384" s="16"/>
      <c r="K384" s="13"/>
      <c r="L384" s="13"/>
      <c r="M384" s="13"/>
      <c r="N384" s="16"/>
      <c r="O384" s="16"/>
      <c r="P384" s="16"/>
      <c r="Q384" s="16"/>
      <c r="R384" s="96"/>
      <c r="S384" s="96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6"/>
      <c r="B385" s="13"/>
      <c r="C385" s="16"/>
      <c r="D385" s="16"/>
      <c r="E385" s="16"/>
      <c r="F385" s="16"/>
      <c r="G385" s="16"/>
      <c r="H385" s="16"/>
      <c r="I385" s="125"/>
      <c r="J385" s="16"/>
      <c r="K385" s="13"/>
      <c r="L385" s="13"/>
      <c r="M385" s="13"/>
      <c r="N385" s="16"/>
      <c r="O385" s="16"/>
      <c r="P385" s="16"/>
      <c r="Q385" s="16"/>
      <c r="R385" s="96"/>
      <c r="S385" s="96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6"/>
      <c r="B386" s="13"/>
      <c r="C386" s="16"/>
      <c r="D386" s="16"/>
      <c r="E386" s="16"/>
      <c r="F386" s="16"/>
      <c r="G386" s="16"/>
      <c r="H386" s="16"/>
      <c r="I386" s="125"/>
      <c r="J386" s="16"/>
      <c r="K386" s="13"/>
      <c r="L386" s="13"/>
      <c r="M386" s="13"/>
      <c r="N386" s="16"/>
      <c r="O386" s="16"/>
      <c r="P386" s="16"/>
      <c r="Q386" s="16"/>
      <c r="R386" s="96"/>
      <c r="S386" s="96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6"/>
      <c r="B387" s="13"/>
      <c r="C387" s="16"/>
      <c r="D387" s="16"/>
      <c r="E387" s="16"/>
      <c r="F387" s="16"/>
      <c r="G387" s="16"/>
      <c r="H387" s="16"/>
      <c r="I387" s="125"/>
      <c r="J387" s="16"/>
      <c r="K387" s="13"/>
      <c r="L387" s="13"/>
      <c r="M387" s="13"/>
      <c r="N387" s="16"/>
      <c r="O387" s="16"/>
      <c r="P387" s="16"/>
      <c r="Q387" s="16"/>
      <c r="R387" s="96"/>
      <c r="S387" s="96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6"/>
      <c r="B388" s="13"/>
      <c r="C388" s="16"/>
      <c r="D388" s="16"/>
      <c r="E388" s="16"/>
      <c r="F388" s="16"/>
      <c r="G388" s="16"/>
      <c r="H388" s="16"/>
      <c r="I388" s="125"/>
      <c r="J388" s="16"/>
      <c r="K388" s="13"/>
      <c r="L388" s="13"/>
      <c r="M388" s="13"/>
      <c r="N388" s="16"/>
      <c r="O388" s="16"/>
      <c r="P388" s="16"/>
      <c r="Q388" s="16"/>
      <c r="R388" s="96"/>
      <c r="S388" s="96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6"/>
      <c r="B389" s="13"/>
      <c r="C389" s="16"/>
      <c r="D389" s="16"/>
      <c r="E389" s="16"/>
      <c r="F389" s="16"/>
      <c r="G389" s="16"/>
      <c r="H389" s="16"/>
      <c r="I389" s="125"/>
      <c r="J389" s="16"/>
      <c r="K389" s="13"/>
      <c r="L389" s="13"/>
      <c r="M389" s="13"/>
      <c r="N389" s="16"/>
      <c r="O389" s="16"/>
      <c r="P389" s="16"/>
      <c r="Q389" s="16"/>
      <c r="R389" s="96"/>
      <c r="S389" s="96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6"/>
      <c r="B390" s="13"/>
      <c r="C390" s="16"/>
      <c r="D390" s="16"/>
      <c r="E390" s="16"/>
      <c r="F390" s="16"/>
      <c r="G390" s="16"/>
      <c r="H390" s="16"/>
      <c r="I390" s="125"/>
      <c r="J390" s="16"/>
      <c r="K390" s="13"/>
      <c r="L390" s="13"/>
      <c r="M390" s="13"/>
      <c r="N390" s="16"/>
      <c r="O390" s="16"/>
      <c r="P390" s="16"/>
      <c r="Q390" s="16"/>
      <c r="R390" s="96"/>
      <c r="S390" s="96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6"/>
      <c r="B391" s="13"/>
      <c r="C391" s="16"/>
      <c r="D391" s="16"/>
      <c r="E391" s="16"/>
      <c r="F391" s="16"/>
      <c r="G391" s="16"/>
      <c r="H391" s="16"/>
      <c r="I391" s="125"/>
      <c r="J391" s="16"/>
      <c r="K391" s="13"/>
      <c r="L391" s="13"/>
      <c r="M391" s="13"/>
      <c r="N391" s="16"/>
      <c r="O391" s="16"/>
      <c r="P391" s="16"/>
      <c r="Q391" s="16"/>
      <c r="R391" s="96"/>
      <c r="S391" s="96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6"/>
      <c r="B392" s="13"/>
      <c r="C392" s="16"/>
      <c r="D392" s="16"/>
      <c r="E392" s="16"/>
      <c r="F392" s="16"/>
      <c r="G392" s="16"/>
      <c r="H392" s="16"/>
      <c r="I392" s="125"/>
      <c r="J392" s="16"/>
      <c r="K392" s="13"/>
      <c r="L392" s="13"/>
      <c r="M392" s="13"/>
      <c r="N392" s="16"/>
      <c r="O392" s="16"/>
      <c r="P392" s="16"/>
      <c r="Q392" s="16"/>
      <c r="R392" s="96"/>
      <c r="S392" s="96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6"/>
      <c r="B393" s="13"/>
      <c r="C393" s="16"/>
      <c r="D393" s="16"/>
      <c r="E393" s="16"/>
      <c r="F393" s="16"/>
      <c r="G393" s="16"/>
      <c r="H393" s="16"/>
      <c r="I393" s="125"/>
      <c r="J393" s="16"/>
      <c r="K393" s="13"/>
      <c r="L393" s="13"/>
      <c r="M393" s="13"/>
      <c r="N393" s="16"/>
      <c r="O393" s="16"/>
      <c r="P393" s="16"/>
      <c r="Q393" s="16"/>
      <c r="R393" s="96"/>
      <c r="S393" s="96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6"/>
      <c r="B394" s="13"/>
      <c r="C394" s="16"/>
      <c r="D394" s="16"/>
      <c r="E394" s="16"/>
      <c r="F394" s="16"/>
      <c r="G394" s="16"/>
      <c r="H394" s="16"/>
      <c r="I394" s="125"/>
      <c r="J394" s="16"/>
      <c r="K394" s="13"/>
      <c r="L394" s="13"/>
      <c r="M394" s="13"/>
      <c r="N394" s="16"/>
      <c r="O394" s="16"/>
      <c r="P394" s="16"/>
      <c r="Q394" s="16"/>
      <c r="R394" s="96"/>
      <c r="S394" s="96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6"/>
      <c r="B395" s="13"/>
      <c r="C395" s="16"/>
      <c r="D395" s="16"/>
      <c r="E395" s="16"/>
      <c r="F395" s="16"/>
      <c r="G395" s="16"/>
      <c r="H395" s="16"/>
      <c r="I395" s="125"/>
      <c r="J395" s="16"/>
      <c r="K395" s="13"/>
      <c r="L395" s="13"/>
      <c r="M395" s="13"/>
      <c r="N395" s="16"/>
      <c r="O395" s="16"/>
      <c r="P395" s="16"/>
      <c r="Q395" s="16"/>
      <c r="R395" s="96"/>
      <c r="S395" s="96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6"/>
      <c r="B396" s="13"/>
      <c r="C396" s="16"/>
      <c r="D396" s="16"/>
      <c r="E396" s="16"/>
      <c r="F396" s="16"/>
      <c r="G396" s="16"/>
      <c r="H396" s="16"/>
      <c r="I396" s="125"/>
      <c r="J396" s="16"/>
      <c r="K396" s="13"/>
      <c r="L396" s="13"/>
      <c r="M396" s="13"/>
      <c r="N396" s="16"/>
      <c r="O396" s="16"/>
      <c r="P396" s="16"/>
      <c r="Q396" s="16"/>
      <c r="R396" s="96"/>
      <c r="S396" s="96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6"/>
      <c r="B397" s="13"/>
      <c r="C397" s="16"/>
      <c r="D397" s="16"/>
      <c r="E397" s="16"/>
      <c r="F397" s="16"/>
      <c r="G397" s="16"/>
      <c r="H397" s="16"/>
      <c r="I397" s="125"/>
      <c r="J397" s="16"/>
      <c r="K397" s="13"/>
      <c r="L397" s="13"/>
      <c r="M397" s="13"/>
      <c r="N397" s="16"/>
      <c r="O397" s="16"/>
      <c r="P397" s="16"/>
      <c r="Q397" s="16"/>
      <c r="R397" s="96"/>
      <c r="S397" s="96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6"/>
      <c r="B398" s="13"/>
      <c r="C398" s="16"/>
      <c r="D398" s="16"/>
      <c r="E398" s="16"/>
      <c r="F398" s="16"/>
      <c r="G398" s="16"/>
      <c r="H398" s="16"/>
      <c r="I398" s="125"/>
      <c r="J398" s="16"/>
      <c r="K398" s="13"/>
      <c r="L398" s="13"/>
      <c r="M398" s="13"/>
      <c r="N398" s="16"/>
      <c r="O398" s="16"/>
      <c r="P398" s="16"/>
      <c r="Q398" s="16"/>
      <c r="R398" s="96"/>
      <c r="S398" s="96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6"/>
      <c r="B399" s="13"/>
      <c r="C399" s="16"/>
      <c r="D399" s="16"/>
      <c r="E399" s="16"/>
      <c r="F399" s="16"/>
      <c r="G399" s="16"/>
      <c r="H399" s="16"/>
      <c r="I399" s="125"/>
      <c r="J399" s="16"/>
      <c r="K399" s="13"/>
      <c r="L399" s="13"/>
      <c r="M399" s="13"/>
      <c r="N399" s="16"/>
      <c r="O399" s="16"/>
      <c r="P399" s="16"/>
      <c r="Q399" s="16"/>
      <c r="R399" s="96"/>
      <c r="S399" s="96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6"/>
      <c r="B400" s="13"/>
      <c r="C400" s="16"/>
      <c r="D400" s="16"/>
      <c r="E400" s="16"/>
      <c r="F400" s="16"/>
      <c r="G400" s="16"/>
      <c r="H400" s="16"/>
      <c r="I400" s="125"/>
      <c r="J400" s="16"/>
      <c r="K400" s="13"/>
      <c r="L400" s="13"/>
      <c r="M400" s="13"/>
      <c r="N400" s="16"/>
      <c r="O400" s="16"/>
      <c r="P400" s="16"/>
      <c r="Q400" s="16"/>
      <c r="R400" s="96"/>
      <c r="S400" s="96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6"/>
      <c r="B401" s="13"/>
      <c r="C401" s="16"/>
      <c r="D401" s="16"/>
      <c r="E401" s="16"/>
      <c r="F401" s="16"/>
      <c r="G401" s="16"/>
      <c r="H401" s="16"/>
      <c r="I401" s="125"/>
      <c r="J401" s="16"/>
      <c r="K401" s="13"/>
      <c r="L401" s="13"/>
      <c r="M401" s="13"/>
      <c r="N401" s="16"/>
      <c r="O401" s="16"/>
      <c r="P401" s="16"/>
      <c r="Q401" s="16"/>
      <c r="R401" s="96"/>
      <c r="S401" s="96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6"/>
      <c r="B402" s="13"/>
      <c r="C402" s="16"/>
      <c r="D402" s="16"/>
      <c r="E402" s="16"/>
      <c r="F402" s="16"/>
      <c r="G402" s="16"/>
      <c r="H402" s="16"/>
      <c r="I402" s="125"/>
      <c r="J402" s="16"/>
      <c r="K402" s="13"/>
      <c r="L402" s="13"/>
      <c r="M402" s="13"/>
      <c r="N402" s="16"/>
      <c r="O402" s="16"/>
      <c r="P402" s="16"/>
      <c r="Q402" s="16"/>
      <c r="R402" s="96"/>
      <c r="S402" s="96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6"/>
      <c r="B403" s="13"/>
      <c r="C403" s="16"/>
      <c r="D403" s="16"/>
      <c r="E403" s="16"/>
      <c r="F403" s="16"/>
      <c r="G403" s="16"/>
      <c r="H403" s="16"/>
      <c r="I403" s="125"/>
      <c r="J403" s="16"/>
      <c r="K403" s="13"/>
      <c r="L403" s="13"/>
      <c r="M403" s="13"/>
      <c r="N403" s="16"/>
      <c r="O403" s="16"/>
      <c r="P403" s="16"/>
      <c r="Q403" s="16"/>
      <c r="R403" s="96"/>
      <c r="S403" s="96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6"/>
      <c r="B404" s="13"/>
      <c r="C404" s="16"/>
      <c r="D404" s="16"/>
      <c r="E404" s="16"/>
      <c r="F404" s="16"/>
      <c r="G404" s="16"/>
      <c r="H404" s="16"/>
      <c r="I404" s="125"/>
      <c r="J404" s="16"/>
      <c r="K404" s="13"/>
      <c r="L404" s="13"/>
      <c r="M404" s="13"/>
      <c r="N404" s="16"/>
      <c r="O404" s="16"/>
      <c r="P404" s="16"/>
      <c r="Q404" s="16"/>
      <c r="R404" s="96"/>
      <c r="S404" s="96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6"/>
      <c r="B405" s="13"/>
      <c r="C405" s="16"/>
      <c r="D405" s="16"/>
      <c r="E405" s="16"/>
      <c r="F405" s="16"/>
      <c r="G405" s="16"/>
      <c r="H405" s="16"/>
      <c r="I405" s="125"/>
      <c r="J405" s="16"/>
      <c r="K405" s="13"/>
      <c r="L405" s="13"/>
      <c r="M405" s="13"/>
      <c r="N405" s="16"/>
      <c r="O405" s="16"/>
      <c r="P405" s="16"/>
      <c r="Q405" s="16"/>
      <c r="R405" s="96"/>
      <c r="S405" s="96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6"/>
      <c r="B406" s="13"/>
      <c r="C406" s="16"/>
      <c r="D406" s="16"/>
      <c r="E406" s="16"/>
      <c r="F406" s="16"/>
      <c r="G406" s="16"/>
      <c r="H406" s="16"/>
      <c r="I406" s="125"/>
      <c r="J406" s="16"/>
      <c r="K406" s="13"/>
      <c r="L406" s="13"/>
      <c r="M406" s="13"/>
      <c r="N406" s="16"/>
      <c r="O406" s="16"/>
      <c r="P406" s="16"/>
      <c r="Q406" s="16"/>
      <c r="R406" s="96"/>
      <c r="S406" s="96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6"/>
      <c r="B407" s="13"/>
      <c r="C407" s="16"/>
      <c r="D407" s="16"/>
      <c r="E407" s="16"/>
      <c r="F407" s="16"/>
      <c r="G407" s="16"/>
      <c r="H407" s="16"/>
      <c r="I407" s="125"/>
      <c r="J407" s="16"/>
      <c r="K407" s="13"/>
      <c r="L407" s="13"/>
      <c r="M407" s="13"/>
      <c r="N407" s="16"/>
      <c r="O407" s="16"/>
      <c r="P407" s="16"/>
      <c r="Q407" s="16"/>
      <c r="R407" s="96"/>
      <c r="S407" s="96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6"/>
      <c r="B408" s="13"/>
      <c r="C408" s="16"/>
      <c r="D408" s="16"/>
      <c r="E408" s="16"/>
      <c r="F408" s="16"/>
      <c r="G408" s="16"/>
      <c r="H408" s="16"/>
      <c r="I408" s="125"/>
      <c r="J408" s="16"/>
      <c r="K408" s="13"/>
      <c r="L408" s="13"/>
      <c r="M408" s="13"/>
      <c r="N408" s="16"/>
      <c r="O408" s="16"/>
      <c r="P408" s="16"/>
      <c r="Q408" s="16"/>
      <c r="R408" s="96"/>
      <c r="S408" s="96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6"/>
      <c r="B409" s="13"/>
      <c r="C409" s="16"/>
      <c r="D409" s="16"/>
      <c r="E409" s="16"/>
      <c r="F409" s="16"/>
      <c r="G409" s="16"/>
      <c r="H409" s="16"/>
      <c r="I409" s="125"/>
      <c r="J409" s="16"/>
      <c r="K409" s="13"/>
      <c r="L409" s="13"/>
      <c r="M409" s="13"/>
      <c r="N409" s="16"/>
      <c r="O409" s="16"/>
      <c r="P409" s="16"/>
      <c r="Q409" s="16"/>
      <c r="R409" s="96"/>
      <c r="S409" s="96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6"/>
      <c r="B410" s="13"/>
      <c r="C410" s="16"/>
      <c r="D410" s="16"/>
      <c r="E410" s="16"/>
      <c r="F410" s="16"/>
      <c r="G410" s="16"/>
      <c r="H410" s="16"/>
      <c r="I410" s="125"/>
      <c r="J410" s="16"/>
      <c r="K410" s="13"/>
      <c r="L410" s="13"/>
      <c r="M410" s="13"/>
      <c r="N410" s="16"/>
      <c r="O410" s="16"/>
      <c r="P410" s="16"/>
      <c r="Q410" s="16"/>
      <c r="R410" s="96"/>
      <c r="S410" s="96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6"/>
      <c r="B411" s="13"/>
      <c r="C411" s="16"/>
      <c r="D411" s="16"/>
      <c r="E411" s="16"/>
      <c r="F411" s="16"/>
      <c r="G411" s="16"/>
      <c r="H411" s="16"/>
      <c r="I411" s="125"/>
      <c r="J411" s="16"/>
      <c r="K411" s="13"/>
      <c r="L411" s="13"/>
      <c r="M411" s="13"/>
      <c r="N411" s="16"/>
      <c r="O411" s="16"/>
      <c r="P411" s="16"/>
      <c r="Q411" s="16"/>
      <c r="R411" s="96"/>
      <c r="S411" s="96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6"/>
      <c r="B412" s="13"/>
      <c r="C412" s="16"/>
      <c r="D412" s="16"/>
      <c r="E412" s="16"/>
      <c r="F412" s="16"/>
      <c r="G412" s="16"/>
      <c r="H412" s="16"/>
      <c r="I412" s="125"/>
      <c r="J412" s="16"/>
      <c r="K412" s="13"/>
      <c r="L412" s="13"/>
      <c r="M412" s="13"/>
      <c r="N412" s="16"/>
      <c r="O412" s="16"/>
      <c r="P412" s="16"/>
      <c r="Q412" s="16"/>
      <c r="R412" s="96"/>
      <c r="S412" s="96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6"/>
      <c r="B413" s="13"/>
      <c r="C413" s="16"/>
      <c r="D413" s="16"/>
      <c r="E413" s="16"/>
      <c r="F413" s="16"/>
      <c r="G413" s="16"/>
      <c r="H413" s="16"/>
      <c r="I413" s="125"/>
      <c r="J413" s="16"/>
      <c r="K413" s="13"/>
      <c r="L413" s="13"/>
      <c r="M413" s="13"/>
      <c r="N413" s="16"/>
      <c r="O413" s="16"/>
      <c r="P413" s="16"/>
      <c r="Q413" s="16"/>
      <c r="R413" s="96"/>
      <c r="S413" s="96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6"/>
      <c r="B414" s="13"/>
      <c r="C414" s="16"/>
      <c r="D414" s="16"/>
      <c r="E414" s="16"/>
      <c r="F414" s="16"/>
      <c r="G414" s="16"/>
      <c r="H414" s="16"/>
      <c r="I414" s="125"/>
      <c r="J414" s="16"/>
      <c r="K414" s="13"/>
      <c r="L414" s="13"/>
      <c r="M414" s="13"/>
      <c r="N414" s="16"/>
      <c r="O414" s="16"/>
      <c r="P414" s="16"/>
      <c r="Q414" s="16"/>
      <c r="R414" s="96"/>
      <c r="S414" s="96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6"/>
      <c r="B415" s="13"/>
      <c r="C415" s="16"/>
      <c r="D415" s="16"/>
      <c r="E415" s="16"/>
      <c r="F415" s="16"/>
      <c r="G415" s="16"/>
      <c r="H415" s="16"/>
      <c r="I415" s="125"/>
      <c r="J415" s="16"/>
      <c r="K415" s="13"/>
      <c r="L415" s="13"/>
      <c r="M415" s="13"/>
      <c r="N415" s="16"/>
      <c r="O415" s="16"/>
      <c r="P415" s="16"/>
      <c r="Q415" s="16"/>
      <c r="R415" s="96"/>
      <c r="S415" s="96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6"/>
      <c r="B416" s="13"/>
      <c r="C416" s="16"/>
      <c r="D416" s="16"/>
      <c r="E416" s="16"/>
      <c r="F416" s="16"/>
      <c r="G416" s="16"/>
      <c r="H416" s="16"/>
      <c r="I416" s="125"/>
      <c r="J416" s="16"/>
      <c r="K416" s="13"/>
      <c r="L416" s="13"/>
      <c r="M416" s="13"/>
      <c r="N416" s="16"/>
      <c r="O416" s="16"/>
      <c r="P416" s="16"/>
      <c r="Q416" s="16"/>
      <c r="R416" s="96"/>
      <c r="S416" s="96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6"/>
      <c r="B417" s="13"/>
      <c r="C417" s="16"/>
      <c r="D417" s="16"/>
      <c r="E417" s="16"/>
      <c r="F417" s="16"/>
      <c r="G417" s="16"/>
      <c r="H417" s="16"/>
      <c r="I417" s="125"/>
      <c r="J417" s="16"/>
      <c r="K417" s="13"/>
      <c r="L417" s="13"/>
      <c r="M417" s="13"/>
      <c r="N417" s="16"/>
      <c r="O417" s="16"/>
      <c r="P417" s="16"/>
      <c r="Q417" s="16"/>
      <c r="R417" s="96"/>
      <c r="S417" s="96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6"/>
      <c r="B418" s="13"/>
      <c r="C418" s="16"/>
      <c r="D418" s="16"/>
      <c r="E418" s="16"/>
      <c r="F418" s="16"/>
      <c r="G418" s="16"/>
      <c r="H418" s="16"/>
      <c r="I418" s="125"/>
      <c r="J418" s="16"/>
      <c r="K418" s="13"/>
      <c r="L418" s="13"/>
      <c r="M418" s="13"/>
      <c r="N418" s="16"/>
      <c r="O418" s="16"/>
      <c r="P418" s="16"/>
      <c r="Q418" s="16"/>
      <c r="R418" s="96"/>
      <c r="S418" s="96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6"/>
      <c r="B419" s="13"/>
      <c r="C419" s="16"/>
      <c r="D419" s="16"/>
      <c r="E419" s="16"/>
      <c r="F419" s="16"/>
      <c r="G419" s="16"/>
      <c r="H419" s="16"/>
      <c r="I419" s="125"/>
      <c r="J419" s="16"/>
      <c r="K419" s="13"/>
      <c r="L419" s="13"/>
      <c r="M419" s="13"/>
      <c r="N419" s="16"/>
      <c r="O419" s="16"/>
      <c r="P419" s="16"/>
      <c r="Q419" s="16"/>
      <c r="R419" s="96"/>
      <c r="S419" s="96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6"/>
      <c r="B420" s="13"/>
      <c r="C420" s="16"/>
      <c r="D420" s="16"/>
      <c r="E420" s="16"/>
      <c r="F420" s="16"/>
      <c r="G420" s="16"/>
      <c r="H420" s="16"/>
      <c r="I420" s="125"/>
      <c r="J420" s="16"/>
      <c r="K420" s="13"/>
      <c r="L420" s="13"/>
      <c r="M420" s="13"/>
      <c r="N420" s="16"/>
      <c r="O420" s="16"/>
      <c r="P420" s="16"/>
      <c r="Q420" s="16"/>
      <c r="R420" s="96"/>
      <c r="S420" s="96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6"/>
      <c r="B421" s="13"/>
      <c r="C421" s="16"/>
      <c r="D421" s="16"/>
      <c r="E421" s="16"/>
      <c r="F421" s="16"/>
      <c r="G421" s="16"/>
      <c r="H421" s="16"/>
      <c r="I421" s="125"/>
      <c r="J421" s="16"/>
      <c r="K421" s="13"/>
      <c r="L421" s="13"/>
      <c r="M421" s="13"/>
      <c r="N421" s="16"/>
      <c r="O421" s="16"/>
      <c r="P421" s="16"/>
      <c r="Q421" s="16"/>
      <c r="R421" s="96"/>
      <c r="S421" s="96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6"/>
      <c r="B422" s="13"/>
      <c r="C422" s="16"/>
      <c r="D422" s="16"/>
      <c r="E422" s="16"/>
      <c r="F422" s="16"/>
      <c r="G422" s="16"/>
      <c r="H422" s="16"/>
      <c r="I422" s="125"/>
      <c r="J422" s="16"/>
      <c r="K422" s="13"/>
      <c r="L422" s="13"/>
      <c r="M422" s="13"/>
      <c r="N422" s="16"/>
      <c r="O422" s="16"/>
      <c r="P422" s="16"/>
      <c r="Q422" s="16"/>
      <c r="R422" s="96"/>
      <c r="S422" s="96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6"/>
      <c r="B423" s="13"/>
      <c r="C423" s="16"/>
      <c r="D423" s="16"/>
      <c r="E423" s="16"/>
      <c r="F423" s="16"/>
      <c r="G423" s="16"/>
      <c r="H423" s="16"/>
      <c r="I423" s="125"/>
      <c r="J423" s="16"/>
      <c r="K423" s="13"/>
      <c r="L423" s="13"/>
      <c r="M423" s="13"/>
      <c r="N423" s="16"/>
      <c r="O423" s="16"/>
      <c r="P423" s="16"/>
      <c r="Q423" s="16"/>
      <c r="R423" s="96"/>
      <c r="S423" s="96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6"/>
      <c r="B424" s="13"/>
      <c r="C424" s="16"/>
      <c r="D424" s="16"/>
      <c r="E424" s="16"/>
      <c r="F424" s="16"/>
      <c r="G424" s="16"/>
      <c r="H424" s="16"/>
      <c r="I424" s="125"/>
      <c r="J424" s="16"/>
      <c r="K424" s="13"/>
      <c r="L424" s="13"/>
      <c r="M424" s="13"/>
      <c r="N424" s="16"/>
      <c r="O424" s="16"/>
      <c r="P424" s="16"/>
      <c r="Q424" s="16"/>
      <c r="R424" s="96"/>
      <c r="S424" s="96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6"/>
      <c r="B425" s="13"/>
      <c r="C425" s="16"/>
      <c r="D425" s="16"/>
      <c r="E425" s="16"/>
      <c r="F425" s="16"/>
      <c r="G425" s="16"/>
      <c r="H425" s="16"/>
      <c r="I425" s="125"/>
      <c r="J425" s="16"/>
      <c r="K425" s="13"/>
      <c r="L425" s="13"/>
      <c r="M425" s="13"/>
      <c r="N425" s="16"/>
      <c r="O425" s="16"/>
      <c r="P425" s="16"/>
      <c r="Q425" s="16"/>
      <c r="R425" s="96"/>
      <c r="S425" s="96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6"/>
      <c r="B426" s="13"/>
      <c r="C426" s="16"/>
      <c r="D426" s="16"/>
      <c r="E426" s="16"/>
      <c r="F426" s="16"/>
      <c r="G426" s="16"/>
      <c r="H426" s="16"/>
      <c r="I426" s="125"/>
      <c r="J426" s="16"/>
      <c r="K426" s="13"/>
      <c r="L426" s="13"/>
      <c r="M426" s="13"/>
      <c r="N426" s="16"/>
      <c r="O426" s="16"/>
      <c r="P426" s="16"/>
      <c r="Q426" s="16"/>
      <c r="R426" s="96"/>
      <c r="S426" s="96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6"/>
      <c r="B427" s="13"/>
      <c r="C427" s="16"/>
      <c r="D427" s="16"/>
      <c r="E427" s="16"/>
      <c r="F427" s="16"/>
      <c r="G427" s="16"/>
      <c r="H427" s="16"/>
      <c r="I427" s="125"/>
      <c r="J427" s="16"/>
      <c r="K427" s="13"/>
      <c r="L427" s="13"/>
      <c r="M427" s="13"/>
      <c r="N427" s="16"/>
      <c r="O427" s="16"/>
      <c r="P427" s="16"/>
      <c r="Q427" s="16"/>
      <c r="R427" s="96"/>
      <c r="S427" s="96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6"/>
      <c r="B428" s="13"/>
      <c r="C428" s="16"/>
      <c r="D428" s="16"/>
      <c r="E428" s="16"/>
      <c r="F428" s="16"/>
      <c r="G428" s="16"/>
      <c r="H428" s="16"/>
      <c r="I428" s="125"/>
      <c r="J428" s="16"/>
      <c r="K428" s="13"/>
      <c r="L428" s="13"/>
      <c r="M428" s="13"/>
      <c r="N428" s="16"/>
      <c r="O428" s="16"/>
      <c r="P428" s="16"/>
      <c r="Q428" s="16"/>
      <c r="R428" s="96"/>
      <c r="S428" s="96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6"/>
      <c r="B429" s="13"/>
      <c r="C429" s="16"/>
      <c r="D429" s="16"/>
      <c r="E429" s="16"/>
      <c r="F429" s="16"/>
      <c r="G429" s="16"/>
      <c r="H429" s="16"/>
      <c r="I429" s="125"/>
      <c r="J429" s="16"/>
      <c r="K429" s="13"/>
      <c r="L429" s="13"/>
      <c r="M429" s="13"/>
      <c r="N429" s="16"/>
      <c r="O429" s="16"/>
      <c r="P429" s="16"/>
      <c r="Q429" s="16"/>
      <c r="R429" s="96"/>
      <c r="S429" s="96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6"/>
      <c r="B430" s="13"/>
      <c r="C430" s="16"/>
      <c r="D430" s="16"/>
      <c r="E430" s="16"/>
      <c r="F430" s="16"/>
      <c r="G430" s="16"/>
      <c r="H430" s="16"/>
      <c r="I430" s="125"/>
      <c r="J430" s="16"/>
      <c r="K430" s="13"/>
      <c r="L430" s="13"/>
      <c r="M430" s="13"/>
      <c r="N430" s="16"/>
      <c r="O430" s="16"/>
      <c r="P430" s="16"/>
      <c r="Q430" s="16"/>
      <c r="R430" s="96"/>
      <c r="S430" s="96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6"/>
      <c r="B431" s="13"/>
      <c r="C431" s="16"/>
      <c r="D431" s="16"/>
      <c r="E431" s="16"/>
      <c r="F431" s="16"/>
      <c r="G431" s="16"/>
      <c r="H431" s="16"/>
      <c r="I431" s="125"/>
      <c r="J431" s="16"/>
      <c r="K431" s="13"/>
      <c r="L431" s="13"/>
      <c r="M431" s="13"/>
      <c r="N431" s="16"/>
      <c r="O431" s="16"/>
      <c r="P431" s="16"/>
      <c r="Q431" s="16"/>
      <c r="R431" s="96"/>
      <c r="S431" s="96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6"/>
      <c r="B432" s="13"/>
      <c r="C432" s="16"/>
      <c r="D432" s="16"/>
      <c r="E432" s="16"/>
      <c r="F432" s="16"/>
      <c r="G432" s="16"/>
      <c r="H432" s="16"/>
      <c r="I432" s="125"/>
      <c r="J432" s="16"/>
      <c r="K432" s="13"/>
      <c r="L432" s="13"/>
      <c r="M432" s="13"/>
      <c r="N432" s="16"/>
      <c r="O432" s="16"/>
      <c r="P432" s="16"/>
      <c r="Q432" s="16"/>
      <c r="R432" s="96"/>
      <c r="S432" s="96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6"/>
      <c r="B433" s="13"/>
      <c r="C433" s="16"/>
      <c r="D433" s="16"/>
      <c r="E433" s="16"/>
      <c r="F433" s="16"/>
      <c r="G433" s="16"/>
      <c r="H433" s="16"/>
      <c r="I433" s="125"/>
      <c r="J433" s="16"/>
      <c r="K433" s="13"/>
      <c r="L433" s="13"/>
      <c r="M433" s="13"/>
      <c r="N433" s="16"/>
      <c r="O433" s="16"/>
      <c r="P433" s="16"/>
      <c r="Q433" s="16"/>
      <c r="R433" s="96"/>
      <c r="S433" s="96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6"/>
      <c r="B434" s="13"/>
      <c r="C434" s="16"/>
      <c r="D434" s="16"/>
      <c r="E434" s="16"/>
      <c r="F434" s="16"/>
      <c r="G434" s="16"/>
      <c r="H434" s="16"/>
      <c r="I434" s="125"/>
      <c r="J434" s="16"/>
      <c r="K434" s="13"/>
      <c r="L434" s="13"/>
      <c r="M434" s="13"/>
      <c r="N434" s="16"/>
      <c r="O434" s="16"/>
      <c r="P434" s="16"/>
      <c r="Q434" s="16"/>
      <c r="R434" s="96"/>
      <c r="S434" s="96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6"/>
      <c r="B435" s="13"/>
      <c r="C435" s="16"/>
      <c r="D435" s="16"/>
      <c r="E435" s="16"/>
      <c r="F435" s="16"/>
      <c r="G435" s="16"/>
      <c r="H435" s="16"/>
      <c r="I435" s="125"/>
      <c r="J435" s="16"/>
      <c r="K435" s="13"/>
      <c r="L435" s="13"/>
      <c r="M435" s="13"/>
      <c r="N435" s="16"/>
      <c r="O435" s="16"/>
      <c r="P435" s="16"/>
      <c r="Q435" s="16"/>
      <c r="R435" s="96"/>
      <c r="S435" s="96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6"/>
      <c r="B436" s="13"/>
      <c r="C436" s="16"/>
      <c r="D436" s="16"/>
      <c r="E436" s="16"/>
      <c r="F436" s="16"/>
      <c r="G436" s="16"/>
      <c r="H436" s="16"/>
      <c r="I436" s="125"/>
      <c r="J436" s="16"/>
      <c r="K436" s="13"/>
      <c r="L436" s="13"/>
      <c r="M436" s="13"/>
      <c r="N436" s="16"/>
      <c r="O436" s="16"/>
      <c r="P436" s="16"/>
      <c r="Q436" s="16"/>
      <c r="R436" s="96"/>
      <c r="S436" s="96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6"/>
      <c r="B437" s="13"/>
      <c r="C437" s="16"/>
      <c r="D437" s="16"/>
      <c r="E437" s="16"/>
      <c r="F437" s="16"/>
      <c r="G437" s="16"/>
      <c r="H437" s="16"/>
      <c r="I437" s="125"/>
      <c r="J437" s="16"/>
      <c r="K437" s="13"/>
      <c r="L437" s="13"/>
      <c r="M437" s="13"/>
      <c r="N437" s="16"/>
      <c r="O437" s="16"/>
      <c r="P437" s="16"/>
      <c r="Q437" s="16"/>
      <c r="R437" s="96"/>
      <c r="S437" s="96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6"/>
      <c r="B438" s="13"/>
      <c r="C438" s="16"/>
      <c r="D438" s="16"/>
      <c r="E438" s="16"/>
      <c r="F438" s="16"/>
      <c r="G438" s="16"/>
      <c r="H438" s="16"/>
      <c r="I438" s="125"/>
      <c r="J438" s="16"/>
      <c r="K438" s="13"/>
      <c r="L438" s="13"/>
      <c r="M438" s="13"/>
      <c r="N438" s="16"/>
      <c r="O438" s="16"/>
      <c r="P438" s="16"/>
      <c r="Q438" s="16"/>
      <c r="R438" s="96"/>
      <c r="S438" s="96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6"/>
      <c r="B439" s="13"/>
      <c r="C439" s="16"/>
      <c r="D439" s="16"/>
      <c r="E439" s="16"/>
      <c r="F439" s="16"/>
      <c r="G439" s="16"/>
      <c r="H439" s="16"/>
      <c r="I439" s="125"/>
      <c r="J439" s="16"/>
      <c r="K439" s="13"/>
      <c r="L439" s="13"/>
      <c r="M439" s="13"/>
      <c r="N439" s="16"/>
      <c r="O439" s="16"/>
      <c r="P439" s="16"/>
      <c r="Q439" s="16"/>
      <c r="R439" s="96"/>
      <c r="S439" s="96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6"/>
      <c r="B440" s="13"/>
      <c r="C440" s="16"/>
      <c r="D440" s="16"/>
      <c r="E440" s="16"/>
      <c r="F440" s="16"/>
      <c r="G440" s="16"/>
      <c r="H440" s="16"/>
      <c r="I440" s="125"/>
      <c r="J440" s="16"/>
      <c r="K440" s="13"/>
      <c r="L440" s="13"/>
      <c r="M440" s="13"/>
      <c r="N440" s="16"/>
      <c r="O440" s="16"/>
      <c r="P440" s="16"/>
      <c r="Q440" s="16"/>
      <c r="R440" s="96"/>
      <c r="S440" s="96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6"/>
      <c r="B441" s="13"/>
      <c r="C441" s="16"/>
      <c r="D441" s="16"/>
      <c r="E441" s="16"/>
      <c r="F441" s="16"/>
      <c r="G441" s="16"/>
      <c r="H441" s="16"/>
      <c r="I441" s="125"/>
      <c r="J441" s="16"/>
      <c r="K441" s="13"/>
      <c r="L441" s="13"/>
      <c r="M441" s="13"/>
      <c r="N441" s="16"/>
      <c r="O441" s="16"/>
      <c r="P441" s="16"/>
      <c r="Q441" s="16"/>
      <c r="R441" s="96"/>
      <c r="S441" s="96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6"/>
      <c r="B442" s="13"/>
      <c r="C442" s="16"/>
      <c r="D442" s="16"/>
      <c r="E442" s="16"/>
      <c r="F442" s="16"/>
      <c r="G442" s="16"/>
      <c r="H442" s="16"/>
      <c r="I442" s="125"/>
      <c r="J442" s="16"/>
      <c r="K442" s="13"/>
      <c r="L442" s="13"/>
      <c r="M442" s="13"/>
      <c r="N442" s="16"/>
      <c r="O442" s="16"/>
      <c r="P442" s="16"/>
      <c r="Q442" s="16"/>
      <c r="R442" s="96"/>
      <c r="S442" s="96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6"/>
      <c r="B443" s="13"/>
      <c r="C443" s="16"/>
      <c r="D443" s="16"/>
      <c r="E443" s="16"/>
      <c r="F443" s="16"/>
      <c r="G443" s="16"/>
      <c r="H443" s="16"/>
      <c r="I443" s="125"/>
      <c r="J443" s="16"/>
      <c r="K443" s="13"/>
      <c r="L443" s="13"/>
      <c r="M443" s="13"/>
      <c r="N443" s="16"/>
      <c r="O443" s="16"/>
      <c r="P443" s="16"/>
      <c r="Q443" s="16"/>
      <c r="R443" s="96"/>
      <c r="S443" s="96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6"/>
      <c r="B444" s="13"/>
      <c r="C444" s="16"/>
      <c r="D444" s="16"/>
      <c r="E444" s="16"/>
      <c r="F444" s="16"/>
      <c r="G444" s="16"/>
      <c r="H444" s="16"/>
      <c r="I444" s="125"/>
      <c r="J444" s="16"/>
      <c r="K444" s="13"/>
      <c r="L444" s="13"/>
      <c r="M444" s="13"/>
      <c r="N444" s="16"/>
      <c r="O444" s="16"/>
      <c r="P444" s="16"/>
      <c r="Q444" s="16"/>
      <c r="R444" s="96"/>
      <c r="S444" s="96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6"/>
      <c r="B445" s="13"/>
      <c r="C445" s="16"/>
      <c r="D445" s="16"/>
      <c r="E445" s="16"/>
      <c r="F445" s="16"/>
      <c r="G445" s="16"/>
      <c r="H445" s="16"/>
      <c r="I445" s="125"/>
      <c r="J445" s="16"/>
      <c r="K445" s="13"/>
      <c r="L445" s="13"/>
      <c r="M445" s="13"/>
      <c r="N445" s="16"/>
      <c r="O445" s="16"/>
      <c r="P445" s="16"/>
      <c r="Q445" s="16"/>
      <c r="R445" s="96"/>
      <c r="S445" s="96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6"/>
      <c r="B446" s="13"/>
      <c r="C446" s="16"/>
      <c r="D446" s="16"/>
      <c r="E446" s="16"/>
      <c r="F446" s="16"/>
      <c r="G446" s="16"/>
      <c r="H446" s="16"/>
      <c r="I446" s="125"/>
      <c r="J446" s="16"/>
      <c r="K446" s="13"/>
      <c r="L446" s="13"/>
      <c r="M446" s="13"/>
      <c r="N446" s="16"/>
      <c r="O446" s="16"/>
      <c r="P446" s="16"/>
      <c r="Q446" s="16"/>
      <c r="R446" s="96"/>
      <c r="S446" s="96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6"/>
      <c r="B447" s="13"/>
      <c r="C447" s="16"/>
      <c r="D447" s="16"/>
      <c r="E447" s="16"/>
      <c r="F447" s="16"/>
      <c r="G447" s="16"/>
      <c r="H447" s="16"/>
      <c r="I447" s="125"/>
      <c r="J447" s="16"/>
      <c r="K447" s="13"/>
      <c r="L447" s="13"/>
      <c r="M447" s="13"/>
      <c r="N447" s="16"/>
      <c r="O447" s="16"/>
      <c r="P447" s="16"/>
      <c r="Q447" s="16"/>
      <c r="R447" s="96"/>
      <c r="S447" s="96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6"/>
      <c r="B448" s="13"/>
      <c r="C448" s="16"/>
      <c r="D448" s="16"/>
      <c r="E448" s="16"/>
      <c r="F448" s="16"/>
      <c r="G448" s="16"/>
      <c r="H448" s="16"/>
      <c r="I448" s="125"/>
      <c r="J448" s="16"/>
      <c r="K448" s="13"/>
      <c r="L448" s="13"/>
      <c r="M448" s="13"/>
      <c r="N448" s="16"/>
      <c r="O448" s="16"/>
      <c r="P448" s="16"/>
      <c r="Q448" s="16"/>
      <c r="R448" s="96"/>
      <c r="S448" s="96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6"/>
      <c r="B449" s="13"/>
      <c r="C449" s="16"/>
      <c r="D449" s="16"/>
      <c r="E449" s="16"/>
      <c r="F449" s="16"/>
      <c r="G449" s="16"/>
      <c r="H449" s="16"/>
      <c r="I449" s="125"/>
      <c r="J449" s="16"/>
      <c r="K449" s="13"/>
      <c r="L449" s="13"/>
      <c r="M449" s="13"/>
      <c r="N449" s="16"/>
      <c r="O449" s="16"/>
      <c r="P449" s="16"/>
      <c r="Q449" s="16"/>
      <c r="R449" s="96"/>
      <c r="S449" s="96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6"/>
      <c r="B450" s="13"/>
      <c r="C450" s="16"/>
      <c r="D450" s="16"/>
      <c r="E450" s="16"/>
      <c r="F450" s="16"/>
      <c r="G450" s="16"/>
      <c r="H450" s="16"/>
      <c r="I450" s="125"/>
      <c r="J450" s="16"/>
      <c r="K450" s="13"/>
      <c r="L450" s="13"/>
      <c r="M450" s="13"/>
      <c r="N450" s="16"/>
      <c r="O450" s="16"/>
      <c r="P450" s="16"/>
      <c r="Q450" s="16"/>
      <c r="R450" s="96"/>
      <c r="S450" s="96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6"/>
      <c r="B451" s="13"/>
      <c r="C451" s="16"/>
      <c r="D451" s="16"/>
      <c r="E451" s="16"/>
      <c r="F451" s="16"/>
      <c r="G451" s="16"/>
      <c r="H451" s="16"/>
      <c r="I451" s="125"/>
      <c r="J451" s="16"/>
      <c r="K451" s="13"/>
      <c r="L451" s="13"/>
      <c r="M451" s="13"/>
      <c r="N451" s="16"/>
      <c r="O451" s="16"/>
      <c r="P451" s="16"/>
      <c r="Q451" s="16"/>
      <c r="R451" s="96"/>
      <c r="S451" s="96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6"/>
      <c r="B452" s="13"/>
      <c r="C452" s="16"/>
      <c r="D452" s="16"/>
      <c r="E452" s="16"/>
      <c r="F452" s="16"/>
      <c r="G452" s="16"/>
      <c r="H452" s="16"/>
      <c r="I452" s="125"/>
      <c r="J452" s="16"/>
      <c r="K452" s="13"/>
      <c r="L452" s="13"/>
      <c r="M452" s="13"/>
      <c r="N452" s="16"/>
      <c r="O452" s="16"/>
      <c r="P452" s="16"/>
      <c r="Q452" s="16"/>
      <c r="R452" s="96"/>
      <c r="S452" s="96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6"/>
      <c r="B453" s="13"/>
      <c r="C453" s="16"/>
      <c r="D453" s="16"/>
      <c r="E453" s="16"/>
      <c r="F453" s="16"/>
      <c r="G453" s="16"/>
      <c r="H453" s="16"/>
      <c r="I453" s="125"/>
      <c r="J453" s="16"/>
      <c r="K453" s="13"/>
      <c r="L453" s="13"/>
      <c r="M453" s="13"/>
      <c r="N453" s="16"/>
      <c r="O453" s="16"/>
      <c r="P453" s="16"/>
      <c r="Q453" s="16"/>
      <c r="R453" s="96"/>
      <c r="S453" s="96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6"/>
      <c r="B454" s="13"/>
      <c r="C454" s="16"/>
      <c r="D454" s="16"/>
      <c r="E454" s="16"/>
      <c r="F454" s="16"/>
      <c r="G454" s="16"/>
      <c r="H454" s="16"/>
      <c r="I454" s="125"/>
      <c r="J454" s="16"/>
      <c r="K454" s="13"/>
      <c r="L454" s="13"/>
      <c r="M454" s="13"/>
      <c r="N454" s="16"/>
      <c r="O454" s="16"/>
      <c r="P454" s="16"/>
      <c r="Q454" s="16"/>
      <c r="R454" s="96"/>
      <c r="S454" s="96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6"/>
      <c r="B455" s="13"/>
      <c r="C455" s="16"/>
      <c r="D455" s="16"/>
      <c r="E455" s="16"/>
      <c r="F455" s="16"/>
      <c r="G455" s="16"/>
      <c r="H455" s="16"/>
      <c r="I455" s="125"/>
      <c r="J455" s="16"/>
      <c r="K455" s="13"/>
      <c r="L455" s="13"/>
      <c r="M455" s="13"/>
      <c r="N455" s="16"/>
      <c r="O455" s="16"/>
      <c r="P455" s="16"/>
      <c r="Q455" s="16"/>
      <c r="R455" s="96"/>
      <c r="S455" s="96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6"/>
      <c r="B456" s="13"/>
      <c r="C456" s="16"/>
      <c r="D456" s="16"/>
      <c r="E456" s="16"/>
      <c r="F456" s="16"/>
      <c r="G456" s="16"/>
      <c r="H456" s="16"/>
      <c r="I456" s="125"/>
      <c r="J456" s="16"/>
      <c r="K456" s="13"/>
      <c r="L456" s="13"/>
      <c r="M456" s="13"/>
      <c r="N456" s="16"/>
      <c r="O456" s="16"/>
      <c r="P456" s="16"/>
      <c r="Q456" s="16"/>
      <c r="R456" s="96"/>
      <c r="S456" s="96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6"/>
      <c r="B457" s="13"/>
      <c r="C457" s="16"/>
      <c r="D457" s="16"/>
      <c r="E457" s="16"/>
      <c r="F457" s="16"/>
      <c r="G457" s="16"/>
      <c r="H457" s="16"/>
      <c r="I457" s="125"/>
      <c r="J457" s="16"/>
      <c r="K457" s="13"/>
      <c r="L457" s="13"/>
      <c r="M457" s="13"/>
      <c r="N457" s="16"/>
      <c r="O457" s="16"/>
      <c r="P457" s="16"/>
      <c r="Q457" s="16"/>
      <c r="R457" s="96"/>
      <c r="S457" s="96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6"/>
      <c r="B458" s="13"/>
      <c r="C458" s="16"/>
      <c r="D458" s="16"/>
      <c r="E458" s="16"/>
      <c r="F458" s="16"/>
      <c r="G458" s="16"/>
      <c r="H458" s="16"/>
      <c r="I458" s="125"/>
      <c r="J458" s="16"/>
      <c r="K458" s="13"/>
      <c r="L458" s="13"/>
      <c r="M458" s="13"/>
      <c r="N458" s="16"/>
      <c r="O458" s="16"/>
      <c r="P458" s="16"/>
      <c r="Q458" s="16"/>
      <c r="R458" s="96"/>
      <c r="S458" s="96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6"/>
      <c r="B459" s="13"/>
      <c r="C459" s="16"/>
      <c r="D459" s="16"/>
      <c r="E459" s="16"/>
      <c r="F459" s="16"/>
      <c r="G459" s="16"/>
      <c r="H459" s="16"/>
      <c r="I459" s="125"/>
      <c r="J459" s="16"/>
      <c r="K459" s="13"/>
      <c r="L459" s="13"/>
      <c r="M459" s="13"/>
      <c r="N459" s="16"/>
      <c r="O459" s="16"/>
      <c r="P459" s="16"/>
      <c r="Q459" s="16"/>
      <c r="R459" s="96"/>
      <c r="S459" s="96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6"/>
      <c r="B460" s="13"/>
      <c r="C460" s="16"/>
      <c r="D460" s="16"/>
      <c r="E460" s="16"/>
      <c r="F460" s="16"/>
      <c r="G460" s="16"/>
      <c r="H460" s="16"/>
      <c r="I460" s="125"/>
      <c r="J460" s="16"/>
      <c r="K460" s="13"/>
      <c r="L460" s="13"/>
      <c r="M460" s="13"/>
      <c r="N460" s="16"/>
      <c r="O460" s="16"/>
      <c r="P460" s="16"/>
      <c r="Q460" s="16"/>
      <c r="R460" s="96"/>
      <c r="S460" s="96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6"/>
      <c r="B461" s="13"/>
      <c r="C461" s="16"/>
      <c r="D461" s="16"/>
      <c r="E461" s="16"/>
      <c r="F461" s="16"/>
      <c r="G461" s="16"/>
      <c r="H461" s="16"/>
      <c r="I461" s="125"/>
      <c r="J461" s="16"/>
      <c r="K461" s="13"/>
      <c r="L461" s="13"/>
      <c r="M461" s="13"/>
      <c r="N461" s="16"/>
      <c r="O461" s="16"/>
      <c r="P461" s="16"/>
      <c r="Q461" s="16"/>
      <c r="R461" s="96"/>
      <c r="S461" s="96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6"/>
      <c r="B462" s="13"/>
      <c r="C462" s="16"/>
      <c r="D462" s="16"/>
      <c r="E462" s="16"/>
      <c r="F462" s="16"/>
      <c r="G462" s="16"/>
      <c r="H462" s="16"/>
      <c r="I462" s="125"/>
      <c r="J462" s="16"/>
      <c r="K462" s="13"/>
      <c r="L462" s="13"/>
      <c r="M462" s="13"/>
      <c r="N462" s="16"/>
      <c r="O462" s="16"/>
      <c r="P462" s="16"/>
      <c r="Q462" s="16"/>
      <c r="R462" s="96"/>
      <c r="S462" s="96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6"/>
      <c r="B463" s="13"/>
      <c r="C463" s="16"/>
      <c r="D463" s="16"/>
      <c r="E463" s="16"/>
      <c r="F463" s="16"/>
      <c r="G463" s="16"/>
      <c r="H463" s="16"/>
      <c r="I463" s="125"/>
      <c r="J463" s="16"/>
      <c r="K463" s="13"/>
      <c r="L463" s="13"/>
      <c r="M463" s="13"/>
      <c r="N463" s="16"/>
      <c r="O463" s="16"/>
      <c r="P463" s="16"/>
      <c r="Q463" s="16"/>
      <c r="R463" s="96"/>
      <c r="S463" s="96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6"/>
      <c r="B464" s="13"/>
      <c r="C464" s="16"/>
      <c r="D464" s="16"/>
      <c r="E464" s="16"/>
      <c r="F464" s="16"/>
      <c r="G464" s="16"/>
      <c r="H464" s="16"/>
      <c r="I464" s="125"/>
      <c r="J464" s="16"/>
      <c r="K464" s="13"/>
      <c r="L464" s="13"/>
      <c r="M464" s="13"/>
      <c r="N464" s="16"/>
      <c r="O464" s="16"/>
      <c r="P464" s="16"/>
      <c r="Q464" s="16"/>
      <c r="R464" s="96"/>
      <c r="S464" s="96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6"/>
      <c r="B465" s="13"/>
      <c r="C465" s="16"/>
      <c r="D465" s="16"/>
      <c r="E465" s="16"/>
      <c r="F465" s="16"/>
      <c r="G465" s="16"/>
      <c r="H465" s="16"/>
      <c r="I465" s="125"/>
      <c r="J465" s="16"/>
      <c r="K465" s="13"/>
      <c r="L465" s="13"/>
      <c r="M465" s="13"/>
      <c r="N465" s="16"/>
      <c r="O465" s="16"/>
      <c r="P465" s="16"/>
      <c r="Q465" s="16"/>
      <c r="R465" s="96"/>
      <c r="S465" s="96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6"/>
      <c r="B466" s="13"/>
      <c r="C466" s="16"/>
      <c r="D466" s="16"/>
      <c r="E466" s="16"/>
      <c r="F466" s="16"/>
      <c r="G466" s="16"/>
      <c r="H466" s="16"/>
      <c r="I466" s="125"/>
      <c r="J466" s="16"/>
      <c r="K466" s="13"/>
      <c r="L466" s="13"/>
      <c r="M466" s="13"/>
      <c r="N466" s="16"/>
      <c r="O466" s="16"/>
      <c r="P466" s="16"/>
      <c r="Q466" s="16"/>
      <c r="R466" s="96"/>
      <c r="S466" s="96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6"/>
      <c r="B467" s="13"/>
      <c r="C467" s="16"/>
      <c r="D467" s="16"/>
      <c r="E467" s="16"/>
      <c r="F467" s="16"/>
      <c r="G467" s="16"/>
      <c r="H467" s="16"/>
      <c r="I467" s="125"/>
      <c r="J467" s="16"/>
      <c r="K467" s="13"/>
      <c r="L467" s="13"/>
      <c r="M467" s="13"/>
      <c r="N467" s="16"/>
      <c r="O467" s="16"/>
      <c r="P467" s="16"/>
      <c r="Q467" s="16"/>
      <c r="R467" s="96"/>
      <c r="S467" s="96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6"/>
      <c r="B468" s="13"/>
      <c r="C468" s="16"/>
      <c r="D468" s="16"/>
      <c r="E468" s="16"/>
      <c r="F468" s="16"/>
      <c r="G468" s="16"/>
      <c r="H468" s="16"/>
      <c r="I468" s="125"/>
      <c r="J468" s="16"/>
      <c r="K468" s="13"/>
      <c r="L468" s="13"/>
      <c r="M468" s="13"/>
      <c r="N468" s="16"/>
      <c r="O468" s="16"/>
      <c r="P468" s="16"/>
      <c r="Q468" s="16"/>
      <c r="R468" s="96"/>
      <c r="S468" s="96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6"/>
      <c r="B469" s="13"/>
      <c r="C469" s="16"/>
      <c r="D469" s="16"/>
      <c r="E469" s="16"/>
      <c r="F469" s="16"/>
      <c r="G469" s="16"/>
      <c r="H469" s="16"/>
      <c r="I469" s="125"/>
      <c r="J469" s="16"/>
      <c r="K469" s="13"/>
      <c r="L469" s="13"/>
      <c r="M469" s="13"/>
      <c r="N469" s="16"/>
      <c r="O469" s="16"/>
      <c r="P469" s="16"/>
      <c r="Q469" s="16"/>
      <c r="R469" s="96"/>
      <c r="S469" s="96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6"/>
      <c r="B470" s="13"/>
      <c r="C470" s="16"/>
      <c r="D470" s="16"/>
      <c r="E470" s="16"/>
      <c r="F470" s="16"/>
      <c r="G470" s="16"/>
      <c r="H470" s="16"/>
      <c r="I470" s="125"/>
      <c r="J470" s="16"/>
      <c r="K470" s="13"/>
      <c r="L470" s="13"/>
      <c r="M470" s="13"/>
      <c r="N470" s="16"/>
      <c r="O470" s="16"/>
      <c r="P470" s="16"/>
      <c r="Q470" s="16"/>
      <c r="R470" s="96"/>
      <c r="S470" s="96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6"/>
      <c r="B471" s="13"/>
      <c r="C471" s="16"/>
      <c r="D471" s="16"/>
      <c r="E471" s="16"/>
      <c r="F471" s="16"/>
      <c r="G471" s="16"/>
      <c r="H471" s="16"/>
      <c r="I471" s="125"/>
      <c r="J471" s="16"/>
      <c r="K471" s="13"/>
      <c r="L471" s="13"/>
      <c r="M471" s="13"/>
      <c r="N471" s="16"/>
      <c r="O471" s="16"/>
      <c r="P471" s="16"/>
      <c r="Q471" s="16"/>
      <c r="R471" s="96"/>
      <c r="S471" s="96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6"/>
      <c r="B472" s="13"/>
      <c r="C472" s="16"/>
      <c r="D472" s="16"/>
      <c r="E472" s="16"/>
      <c r="F472" s="16"/>
      <c r="G472" s="16"/>
      <c r="H472" s="16"/>
      <c r="I472" s="125"/>
      <c r="J472" s="16"/>
      <c r="K472" s="13"/>
      <c r="L472" s="13"/>
      <c r="M472" s="13"/>
      <c r="N472" s="16"/>
      <c r="O472" s="16"/>
      <c r="P472" s="16"/>
      <c r="Q472" s="16"/>
      <c r="R472" s="96"/>
      <c r="S472" s="96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6"/>
      <c r="B473" s="13"/>
      <c r="C473" s="16"/>
      <c r="D473" s="16"/>
      <c r="E473" s="16"/>
      <c r="F473" s="16"/>
      <c r="G473" s="16"/>
      <c r="H473" s="16"/>
      <c r="I473" s="125"/>
      <c r="J473" s="16"/>
      <c r="K473" s="13"/>
      <c r="L473" s="13"/>
      <c r="M473" s="13"/>
      <c r="N473" s="16"/>
      <c r="O473" s="16"/>
      <c r="P473" s="16"/>
      <c r="Q473" s="16"/>
      <c r="R473" s="96"/>
      <c r="S473" s="96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6"/>
      <c r="B474" s="13"/>
      <c r="C474" s="16"/>
      <c r="D474" s="16"/>
      <c r="E474" s="16"/>
      <c r="F474" s="16"/>
      <c r="G474" s="16"/>
      <c r="H474" s="16"/>
      <c r="I474" s="125"/>
      <c r="J474" s="16"/>
      <c r="K474" s="13"/>
      <c r="L474" s="13"/>
      <c r="M474" s="13"/>
      <c r="N474" s="16"/>
      <c r="O474" s="16"/>
      <c r="P474" s="16"/>
      <c r="Q474" s="16"/>
      <c r="R474" s="96"/>
      <c r="S474" s="96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6"/>
      <c r="B475" s="13"/>
      <c r="C475" s="16"/>
      <c r="D475" s="16"/>
      <c r="E475" s="16"/>
      <c r="F475" s="16"/>
      <c r="G475" s="16"/>
      <c r="H475" s="16"/>
      <c r="I475" s="125"/>
      <c r="J475" s="16"/>
      <c r="K475" s="13"/>
      <c r="L475" s="13"/>
      <c r="M475" s="13"/>
      <c r="N475" s="16"/>
      <c r="O475" s="16"/>
      <c r="P475" s="16"/>
      <c r="Q475" s="16"/>
      <c r="R475" s="96"/>
      <c r="S475" s="96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6"/>
      <c r="B476" s="13"/>
      <c r="C476" s="16"/>
      <c r="D476" s="16"/>
      <c r="E476" s="16"/>
      <c r="F476" s="16"/>
      <c r="G476" s="16"/>
      <c r="H476" s="16"/>
      <c r="I476" s="125"/>
      <c r="J476" s="16"/>
      <c r="K476" s="13"/>
      <c r="L476" s="13"/>
      <c r="M476" s="13"/>
      <c r="N476" s="16"/>
      <c r="O476" s="16"/>
      <c r="P476" s="16"/>
      <c r="Q476" s="16"/>
      <c r="R476" s="96"/>
      <c r="S476" s="96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6"/>
      <c r="B477" s="13"/>
      <c r="C477" s="16"/>
      <c r="D477" s="16"/>
      <c r="E477" s="16"/>
      <c r="F477" s="16"/>
      <c r="G477" s="16"/>
      <c r="H477" s="16"/>
      <c r="I477" s="125"/>
      <c r="J477" s="16"/>
      <c r="K477" s="13"/>
      <c r="L477" s="13"/>
      <c r="M477" s="13"/>
      <c r="N477" s="16"/>
      <c r="O477" s="16"/>
      <c r="P477" s="16"/>
      <c r="Q477" s="16"/>
      <c r="R477" s="96"/>
      <c r="S477" s="96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6"/>
      <c r="B478" s="13"/>
      <c r="C478" s="16"/>
      <c r="D478" s="16"/>
      <c r="E478" s="16"/>
      <c r="F478" s="16"/>
      <c r="G478" s="16"/>
      <c r="H478" s="16"/>
      <c r="I478" s="125"/>
      <c r="J478" s="16"/>
      <c r="K478" s="13"/>
      <c r="L478" s="13"/>
      <c r="M478" s="13"/>
      <c r="N478" s="16"/>
      <c r="O478" s="16"/>
      <c r="P478" s="16"/>
      <c r="Q478" s="16"/>
      <c r="R478" s="96"/>
      <c r="S478" s="96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6"/>
      <c r="B479" s="13"/>
      <c r="C479" s="16"/>
      <c r="D479" s="16"/>
      <c r="E479" s="16"/>
      <c r="F479" s="16"/>
      <c r="G479" s="16"/>
      <c r="H479" s="16"/>
      <c r="I479" s="125"/>
      <c r="J479" s="16"/>
      <c r="K479" s="13"/>
      <c r="L479" s="13"/>
      <c r="M479" s="13"/>
      <c r="N479" s="16"/>
      <c r="O479" s="16"/>
      <c r="P479" s="16"/>
      <c r="Q479" s="16"/>
      <c r="R479" s="96"/>
      <c r="S479" s="96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6"/>
      <c r="B480" s="13"/>
      <c r="C480" s="16"/>
      <c r="D480" s="16"/>
      <c r="E480" s="16"/>
      <c r="F480" s="16"/>
      <c r="G480" s="16"/>
      <c r="H480" s="16"/>
      <c r="I480" s="125"/>
      <c r="J480" s="16"/>
      <c r="K480" s="13"/>
      <c r="L480" s="13"/>
      <c r="M480" s="13"/>
      <c r="N480" s="16"/>
      <c r="O480" s="16"/>
      <c r="P480" s="16"/>
      <c r="Q480" s="16"/>
      <c r="R480" s="96"/>
      <c r="S480" s="96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6"/>
      <c r="B481" s="13"/>
      <c r="C481" s="16"/>
      <c r="D481" s="16"/>
      <c r="E481" s="16"/>
      <c r="F481" s="16"/>
      <c r="G481" s="16"/>
      <c r="H481" s="16"/>
      <c r="I481" s="125"/>
      <c r="J481" s="16"/>
      <c r="K481" s="13"/>
      <c r="L481" s="13"/>
      <c r="M481" s="13"/>
      <c r="N481" s="16"/>
      <c r="O481" s="16"/>
      <c r="P481" s="16"/>
      <c r="Q481" s="16"/>
      <c r="R481" s="96"/>
      <c r="S481" s="96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6"/>
      <c r="B482" s="13"/>
      <c r="C482" s="16"/>
      <c r="D482" s="16"/>
      <c r="E482" s="16"/>
      <c r="F482" s="16"/>
      <c r="G482" s="16"/>
      <c r="H482" s="16"/>
      <c r="I482" s="125"/>
      <c r="J482" s="16"/>
      <c r="K482" s="13"/>
      <c r="L482" s="13"/>
      <c r="M482" s="13"/>
      <c r="N482" s="16"/>
      <c r="O482" s="16"/>
      <c r="P482" s="16"/>
      <c r="Q482" s="16"/>
      <c r="R482" s="96"/>
      <c r="S482" s="96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6"/>
      <c r="B483" s="13"/>
      <c r="C483" s="16"/>
      <c r="D483" s="16"/>
      <c r="E483" s="16"/>
      <c r="F483" s="16"/>
      <c r="G483" s="16"/>
      <c r="H483" s="16"/>
      <c r="I483" s="125"/>
      <c r="J483" s="16"/>
      <c r="K483" s="13"/>
      <c r="L483" s="13"/>
      <c r="M483" s="13"/>
      <c r="N483" s="16"/>
      <c r="O483" s="16"/>
      <c r="P483" s="16"/>
      <c r="Q483" s="16"/>
      <c r="R483" s="96"/>
      <c r="S483" s="96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6"/>
      <c r="B484" s="13"/>
      <c r="C484" s="16"/>
      <c r="D484" s="16"/>
      <c r="E484" s="16"/>
      <c r="F484" s="16"/>
      <c r="G484" s="16"/>
      <c r="H484" s="16"/>
      <c r="I484" s="125"/>
      <c r="J484" s="16"/>
      <c r="K484" s="13"/>
      <c r="L484" s="13"/>
      <c r="M484" s="13"/>
      <c r="N484" s="16"/>
      <c r="O484" s="16"/>
      <c r="P484" s="16"/>
      <c r="Q484" s="16"/>
      <c r="R484" s="96"/>
      <c r="S484" s="96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6"/>
      <c r="B485" s="13"/>
      <c r="C485" s="16"/>
      <c r="D485" s="16"/>
      <c r="E485" s="16"/>
      <c r="F485" s="16"/>
      <c r="G485" s="16"/>
      <c r="H485" s="16"/>
      <c r="I485" s="125"/>
      <c r="J485" s="16"/>
      <c r="K485" s="13"/>
      <c r="L485" s="13"/>
      <c r="M485" s="13"/>
      <c r="N485" s="16"/>
      <c r="O485" s="16"/>
      <c r="P485" s="16"/>
      <c r="Q485" s="16"/>
      <c r="R485" s="96"/>
      <c r="S485" s="96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6"/>
      <c r="B486" s="13"/>
      <c r="C486" s="16"/>
      <c r="D486" s="16"/>
      <c r="E486" s="16"/>
      <c r="F486" s="16"/>
      <c r="G486" s="16"/>
      <c r="H486" s="16"/>
      <c r="I486" s="125"/>
      <c r="J486" s="16"/>
      <c r="K486" s="13"/>
      <c r="L486" s="13"/>
      <c r="M486" s="13"/>
      <c r="N486" s="16"/>
      <c r="O486" s="16"/>
      <c r="P486" s="16"/>
      <c r="Q486" s="16"/>
      <c r="R486" s="96"/>
      <c r="S486" s="96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6"/>
      <c r="B487" s="13"/>
      <c r="C487" s="16"/>
      <c r="D487" s="16"/>
      <c r="E487" s="16"/>
      <c r="F487" s="16"/>
      <c r="G487" s="16"/>
      <c r="H487" s="16"/>
      <c r="I487" s="125"/>
      <c r="J487" s="16"/>
      <c r="K487" s="13"/>
      <c r="L487" s="13"/>
      <c r="M487" s="13"/>
      <c r="N487" s="16"/>
      <c r="O487" s="16"/>
      <c r="P487" s="16"/>
      <c r="Q487" s="16"/>
      <c r="R487" s="96"/>
      <c r="S487" s="96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6"/>
      <c r="B488" s="13"/>
      <c r="C488" s="16"/>
      <c r="D488" s="16"/>
      <c r="E488" s="16"/>
      <c r="F488" s="16"/>
      <c r="G488" s="16"/>
      <c r="H488" s="16"/>
      <c r="I488" s="125"/>
      <c r="J488" s="16"/>
      <c r="K488" s="13"/>
      <c r="L488" s="13"/>
      <c r="M488" s="13"/>
      <c r="N488" s="16"/>
      <c r="O488" s="16"/>
      <c r="P488" s="16"/>
      <c r="Q488" s="16"/>
      <c r="R488" s="96"/>
      <c r="S488" s="96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6"/>
      <c r="B489" s="13"/>
      <c r="C489" s="16"/>
      <c r="D489" s="16"/>
      <c r="E489" s="16"/>
      <c r="F489" s="16"/>
      <c r="G489" s="16"/>
      <c r="H489" s="16"/>
      <c r="I489" s="125"/>
      <c r="J489" s="16"/>
      <c r="K489" s="13"/>
      <c r="L489" s="13"/>
      <c r="M489" s="13"/>
      <c r="N489" s="16"/>
      <c r="O489" s="16"/>
      <c r="P489" s="16"/>
      <c r="Q489" s="16"/>
      <c r="R489" s="96"/>
      <c r="S489" s="96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6"/>
      <c r="B490" s="13"/>
      <c r="C490" s="16"/>
      <c r="D490" s="16"/>
      <c r="E490" s="16"/>
      <c r="F490" s="16"/>
      <c r="G490" s="16"/>
      <c r="H490" s="16"/>
      <c r="I490" s="125"/>
      <c r="J490" s="16"/>
      <c r="K490" s="13"/>
      <c r="L490" s="13"/>
      <c r="M490" s="13"/>
      <c r="N490" s="16"/>
      <c r="O490" s="16"/>
      <c r="P490" s="16"/>
      <c r="Q490" s="16"/>
      <c r="R490" s="96"/>
      <c r="S490" s="96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6"/>
      <c r="B491" s="13"/>
      <c r="C491" s="16"/>
      <c r="D491" s="16"/>
      <c r="E491" s="16"/>
      <c r="F491" s="16"/>
      <c r="G491" s="16"/>
      <c r="H491" s="16"/>
      <c r="I491" s="125"/>
      <c r="J491" s="16"/>
      <c r="K491" s="13"/>
      <c r="L491" s="13"/>
      <c r="M491" s="13"/>
      <c r="N491" s="16"/>
      <c r="O491" s="16"/>
      <c r="P491" s="16"/>
      <c r="Q491" s="16"/>
      <c r="R491" s="96"/>
      <c r="S491" s="96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6"/>
      <c r="B492" s="13"/>
      <c r="C492" s="16"/>
      <c r="D492" s="16"/>
      <c r="E492" s="16"/>
      <c r="F492" s="16"/>
      <c r="G492" s="16"/>
      <c r="H492" s="16"/>
      <c r="I492" s="125"/>
      <c r="J492" s="16"/>
      <c r="K492" s="13"/>
      <c r="L492" s="13"/>
      <c r="M492" s="13"/>
      <c r="N492" s="16"/>
      <c r="O492" s="16"/>
      <c r="P492" s="16"/>
      <c r="Q492" s="16"/>
      <c r="R492" s="96"/>
      <c r="S492" s="96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6"/>
      <c r="B493" s="13"/>
      <c r="C493" s="16"/>
      <c r="D493" s="16"/>
      <c r="E493" s="16"/>
      <c r="F493" s="16"/>
      <c r="G493" s="16"/>
      <c r="H493" s="16"/>
      <c r="I493" s="125"/>
      <c r="J493" s="16"/>
      <c r="K493" s="13"/>
      <c r="L493" s="13"/>
      <c r="M493" s="13"/>
      <c r="N493" s="16"/>
      <c r="O493" s="16"/>
      <c r="P493" s="16"/>
      <c r="Q493" s="16"/>
      <c r="R493" s="96"/>
      <c r="S493" s="96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6"/>
      <c r="B494" s="13"/>
      <c r="C494" s="16"/>
      <c r="D494" s="16"/>
      <c r="E494" s="16"/>
      <c r="F494" s="16"/>
      <c r="G494" s="16"/>
      <c r="H494" s="16"/>
      <c r="I494" s="125"/>
      <c r="J494" s="16"/>
      <c r="K494" s="13"/>
      <c r="L494" s="13"/>
      <c r="M494" s="13"/>
      <c r="N494" s="16"/>
      <c r="O494" s="16"/>
      <c r="P494" s="16"/>
      <c r="Q494" s="16"/>
      <c r="R494" s="96"/>
      <c r="S494" s="96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6"/>
      <c r="B495" s="13"/>
      <c r="C495" s="16"/>
      <c r="D495" s="16"/>
      <c r="E495" s="16"/>
      <c r="F495" s="16"/>
      <c r="G495" s="16"/>
      <c r="H495" s="16"/>
      <c r="I495" s="125"/>
      <c r="J495" s="16"/>
      <c r="K495" s="13"/>
      <c r="L495" s="13"/>
      <c r="M495" s="13"/>
      <c r="N495" s="16"/>
      <c r="O495" s="16"/>
      <c r="P495" s="16"/>
      <c r="Q495" s="16"/>
      <c r="R495" s="96"/>
      <c r="S495" s="96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6"/>
      <c r="B496" s="13"/>
      <c r="C496" s="16"/>
      <c r="D496" s="16"/>
      <c r="E496" s="16"/>
      <c r="F496" s="16"/>
      <c r="G496" s="16"/>
      <c r="H496" s="16"/>
      <c r="I496" s="125"/>
      <c r="J496" s="16"/>
      <c r="K496" s="13"/>
      <c r="L496" s="13"/>
      <c r="M496" s="13"/>
      <c r="N496" s="16"/>
      <c r="O496" s="16"/>
      <c r="P496" s="16"/>
      <c r="Q496" s="16"/>
      <c r="R496" s="96"/>
      <c r="S496" s="96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6"/>
      <c r="B497" s="13"/>
      <c r="C497" s="16"/>
      <c r="D497" s="16"/>
      <c r="E497" s="16"/>
      <c r="F497" s="16"/>
      <c r="G497" s="16"/>
      <c r="H497" s="16"/>
      <c r="I497" s="125"/>
      <c r="J497" s="16"/>
      <c r="K497" s="13"/>
      <c r="L497" s="13"/>
      <c r="M497" s="13"/>
      <c r="N497" s="16"/>
      <c r="O497" s="16"/>
      <c r="P497" s="16"/>
      <c r="Q497" s="16"/>
      <c r="R497" s="96"/>
      <c r="S497" s="96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6"/>
      <c r="B498" s="13"/>
      <c r="C498" s="16"/>
      <c r="D498" s="16"/>
      <c r="E498" s="16"/>
      <c r="F498" s="16"/>
      <c r="G498" s="16"/>
      <c r="H498" s="16"/>
      <c r="I498" s="125"/>
      <c r="J498" s="16"/>
      <c r="K498" s="13"/>
      <c r="L498" s="13"/>
      <c r="M498" s="13"/>
      <c r="N498" s="16"/>
      <c r="O498" s="16"/>
      <c r="P498" s="16"/>
      <c r="Q498" s="16"/>
      <c r="R498" s="96"/>
      <c r="S498" s="96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6"/>
      <c r="B499" s="13"/>
      <c r="C499" s="16"/>
      <c r="D499" s="16"/>
      <c r="E499" s="16"/>
      <c r="F499" s="16"/>
      <c r="G499" s="16"/>
      <c r="H499" s="16"/>
      <c r="I499" s="125"/>
      <c r="J499" s="16"/>
      <c r="K499" s="13"/>
      <c r="L499" s="13"/>
      <c r="M499" s="13"/>
      <c r="N499" s="16"/>
      <c r="O499" s="16"/>
      <c r="P499" s="16"/>
      <c r="Q499" s="16"/>
      <c r="R499" s="96"/>
      <c r="S499" s="96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6"/>
      <c r="B500" s="13"/>
      <c r="C500" s="16"/>
      <c r="D500" s="16"/>
      <c r="E500" s="16"/>
      <c r="F500" s="16"/>
      <c r="G500" s="16"/>
      <c r="H500" s="16"/>
      <c r="I500" s="125"/>
      <c r="J500" s="16"/>
      <c r="K500" s="13"/>
      <c r="L500" s="13"/>
      <c r="M500" s="13"/>
      <c r="N500" s="16"/>
      <c r="O500" s="16"/>
      <c r="P500" s="16"/>
      <c r="Q500" s="16"/>
      <c r="R500" s="96"/>
      <c r="S500" s="96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6"/>
      <c r="B501" s="13"/>
      <c r="C501" s="16"/>
      <c r="D501" s="16"/>
      <c r="E501" s="16"/>
      <c r="F501" s="16"/>
      <c r="G501" s="16"/>
      <c r="H501" s="16"/>
      <c r="I501" s="125"/>
      <c r="J501" s="16"/>
      <c r="K501" s="13"/>
      <c r="L501" s="13"/>
      <c r="M501" s="13"/>
      <c r="N501" s="16"/>
      <c r="O501" s="16"/>
      <c r="P501" s="16"/>
      <c r="Q501" s="16"/>
      <c r="R501" s="96"/>
      <c r="S501" s="96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6"/>
      <c r="B502" s="13"/>
      <c r="C502" s="16"/>
      <c r="D502" s="16"/>
      <c r="E502" s="16"/>
      <c r="F502" s="16"/>
      <c r="G502" s="16"/>
      <c r="H502" s="16"/>
      <c r="I502" s="125"/>
      <c r="J502" s="16"/>
      <c r="K502" s="13"/>
      <c r="L502" s="13"/>
      <c r="M502" s="13"/>
      <c r="N502" s="16"/>
      <c r="O502" s="16"/>
      <c r="P502" s="16"/>
      <c r="Q502" s="16"/>
      <c r="R502" s="96"/>
      <c r="S502" s="96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6"/>
      <c r="B503" s="13"/>
      <c r="C503" s="16"/>
      <c r="D503" s="16"/>
      <c r="E503" s="16"/>
      <c r="F503" s="16"/>
      <c r="G503" s="16"/>
      <c r="H503" s="16"/>
      <c r="I503" s="125"/>
      <c r="J503" s="16"/>
      <c r="K503" s="13"/>
      <c r="L503" s="13"/>
      <c r="M503" s="13"/>
      <c r="N503" s="16"/>
      <c r="O503" s="16"/>
      <c r="P503" s="16"/>
      <c r="Q503" s="16"/>
      <c r="R503" s="96"/>
      <c r="S503" s="96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6"/>
      <c r="B504" s="13"/>
      <c r="C504" s="16"/>
      <c r="D504" s="16"/>
      <c r="E504" s="16"/>
      <c r="F504" s="16"/>
      <c r="G504" s="16"/>
      <c r="H504" s="16"/>
      <c r="I504" s="125"/>
      <c r="J504" s="16"/>
      <c r="K504" s="13"/>
      <c r="L504" s="13"/>
      <c r="M504" s="13"/>
      <c r="N504" s="16"/>
      <c r="O504" s="16"/>
      <c r="P504" s="16"/>
      <c r="Q504" s="16"/>
      <c r="R504" s="96"/>
      <c r="S504" s="96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6"/>
      <c r="B505" s="13"/>
      <c r="C505" s="16"/>
      <c r="D505" s="16"/>
      <c r="E505" s="16"/>
      <c r="F505" s="16"/>
      <c r="G505" s="16"/>
      <c r="H505" s="16"/>
      <c r="I505" s="125"/>
      <c r="J505" s="16"/>
      <c r="K505" s="13"/>
      <c r="L505" s="13"/>
      <c r="M505" s="13"/>
      <c r="N505" s="16"/>
      <c r="O505" s="16"/>
      <c r="P505" s="16"/>
      <c r="Q505" s="16"/>
      <c r="R505" s="96"/>
      <c r="S505" s="96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6"/>
      <c r="B506" s="13"/>
      <c r="C506" s="16"/>
      <c r="D506" s="16"/>
      <c r="E506" s="16"/>
      <c r="F506" s="16"/>
      <c r="G506" s="16"/>
      <c r="H506" s="16"/>
      <c r="I506" s="125"/>
      <c r="J506" s="16"/>
      <c r="K506" s="13"/>
      <c r="L506" s="13"/>
      <c r="M506" s="13"/>
      <c r="N506" s="16"/>
      <c r="O506" s="16"/>
      <c r="P506" s="16"/>
      <c r="Q506" s="16"/>
      <c r="R506" s="96"/>
      <c r="S506" s="96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6"/>
      <c r="B507" s="13"/>
      <c r="C507" s="16"/>
      <c r="D507" s="16"/>
      <c r="E507" s="16"/>
      <c r="F507" s="16"/>
      <c r="G507" s="16"/>
      <c r="H507" s="16"/>
      <c r="I507" s="125"/>
      <c r="J507" s="16"/>
      <c r="K507" s="13"/>
      <c r="L507" s="13"/>
      <c r="M507" s="13"/>
      <c r="N507" s="16"/>
      <c r="O507" s="16"/>
      <c r="P507" s="16"/>
      <c r="Q507" s="16"/>
      <c r="R507" s="96"/>
      <c r="S507" s="96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6"/>
      <c r="B508" s="13"/>
      <c r="C508" s="16"/>
      <c r="D508" s="16"/>
      <c r="E508" s="16"/>
      <c r="F508" s="16"/>
      <c r="G508" s="16"/>
      <c r="H508" s="16"/>
      <c r="I508" s="125"/>
      <c r="J508" s="16"/>
      <c r="K508" s="13"/>
      <c r="L508" s="13"/>
      <c r="M508" s="13"/>
      <c r="N508" s="16"/>
      <c r="O508" s="16"/>
      <c r="P508" s="16"/>
      <c r="Q508" s="16"/>
      <c r="R508" s="96"/>
      <c r="S508" s="96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6"/>
      <c r="B509" s="13"/>
      <c r="C509" s="16"/>
      <c r="D509" s="16"/>
      <c r="E509" s="16"/>
      <c r="F509" s="16"/>
      <c r="G509" s="16"/>
      <c r="H509" s="16"/>
      <c r="I509" s="125"/>
      <c r="J509" s="16"/>
      <c r="K509" s="13"/>
      <c r="L509" s="13"/>
      <c r="M509" s="13"/>
      <c r="N509" s="16"/>
      <c r="O509" s="16"/>
      <c r="P509" s="16"/>
      <c r="Q509" s="16"/>
      <c r="R509" s="96"/>
      <c r="S509" s="96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6"/>
      <c r="B510" s="13"/>
      <c r="C510" s="16"/>
      <c r="D510" s="16"/>
      <c r="E510" s="16"/>
      <c r="F510" s="16"/>
      <c r="G510" s="16"/>
      <c r="H510" s="16"/>
      <c r="I510" s="125"/>
      <c r="J510" s="16"/>
      <c r="K510" s="13"/>
      <c r="L510" s="13"/>
      <c r="M510" s="13"/>
      <c r="N510" s="16"/>
      <c r="O510" s="16"/>
      <c r="P510" s="16"/>
      <c r="Q510" s="16"/>
      <c r="R510" s="96"/>
      <c r="S510" s="96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6"/>
      <c r="B511" s="13"/>
      <c r="C511" s="16"/>
      <c r="D511" s="16"/>
      <c r="E511" s="16"/>
      <c r="F511" s="16"/>
      <c r="G511" s="16"/>
      <c r="H511" s="16"/>
      <c r="I511" s="125"/>
      <c r="J511" s="16"/>
      <c r="K511" s="13"/>
      <c r="L511" s="13"/>
      <c r="M511" s="13"/>
      <c r="N511" s="16"/>
      <c r="O511" s="16"/>
      <c r="P511" s="16"/>
      <c r="Q511" s="16"/>
      <c r="R511" s="96"/>
      <c r="S511" s="96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6"/>
      <c r="B512" s="13"/>
      <c r="C512" s="16"/>
      <c r="D512" s="16"/>
      <c r="E512" s="16"/>
      <c r="F512" s="16"/>
      <c r="G512" s="16"/>
      <c r="H512" s="16"/>
      <c r="I512" s="125"/>
      <c r="J512" s="16"/>
      <c r="K512" s="13"/>
      <c r="L512" s="13"/>
      <c r="M512" s="13"/>
      <c r="N512" s="16"/>
      <c r="O512" s="16"/>
      <c r="P512" s="16"/>
      <c r="Q512" s="16"/>
      <c r="R512" s="96"/>
      <c r="S512" s="96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6"/>
      <c r="B513" s="13"/>
      <c r="C513" s="16"/>
      <c r="D513" s="16"/>
      <c r="E513" s="16"/>
      <c r="F513" s="16"/>
      <c r="G513" s="16"/>
      <c r="H513" s="16"/>
      <c r="I513" s="125"/>
      <c r="J513" s="16"/>
      <c r="K513" s="13"/>
      <c r="L513" s="13"/>
      <c r="M513" s="13"/>
      <c r="N513" s="16"/>
      <c r="O513" s="16"/>
      <c r="P513" s="16"/>
      <c r="Q513" s="16"/>
      <c r="R513" s="96"/>
      <c r="S513" s="96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6"/>
      <c r="B514" s="13"/>
      <c r="C514" s="16"/>
      <c r="D514" s="16"/>
      <c r="E514" s="16"/>
      <c r="F514" s="16"/>
      <c r="G514" s="16"/>
      <c r="H514" s="16"/>
      <c r="I514" s="125"/>
      <c r="J514" s="16"/>
      <c r="K514" s="13"/>
      <c r="L514" s="13"/>
      <c r="M514" s="13"/>
      <c r="N514" s="16"/>
      <c r="O514" s="16"/>
      <c r="P514" s="16"/>
      <c r="Q514" s="16"/>
      <c r="R514" s="96"/>
      <c r="S514" s="96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6"/>
      <c r="B515" s="13"/>
      <c r="C515" s="16"/>
      <c r="D515" s="16"/>
      <c r="E515" s="16"/>
      <c r="F515" s="16"/>
      <c r="G515" s="16"/>
      <c r="H515" s="16"/>
      <c r="I515" s="125"/>
      <c r="J515" s="16"/>
      <c r="K515" s="13"/>
      <c r="L515" s="13"/>
      <c r="M515" s="13"/>
      <c r="N515" s="16"/>
      <c r="O515" s="16"/>
      <c r="P515" s="16"/>
      <c r="Q515" s="16"/>
      <c r="R515" s="96"/>
      <c r="S515" s="96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6"/>
      <c r="B516" s="13"/>
      <c r="C516" s="16"/>
      <c r="D516" s="16"/>
      <c r="E516" s="16"/>
      <c r="F516" s="16"/>
      <c r="G516" s="16"/>
      <c r="H516" s="16"/>
      <c r="I516" s="125"/>
      <c r="J516" s="16"/>
      <c r="K516" s="13"/>
      <c r="L516" s="13"/>
      <c r="M516" s="13"/>
      <c r="N516" s="16"/>
      <c r="O516" s="16"/>
      <c r="P516" s="16"/>
      <c r="Q516" s="16"/>
      <c r="R516" s="96"/>
      <c r="S516" s="96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6"/>
      <c r="B517" s="13"/>
      <c r="C517" s="16"/>
      <c r="D517" s="16"/>
      <c r="E517" s="16"/>
      <c r="F517" s="16"/>
      <c r="G517" s="16"/>
      <c r="H517" s="16"/>
      <c r="I517" s="125"/>
      <c r="J517" s="16"/>
      <c r="K517" s="13"/>
      <c r="L517" s="13"/>
      <c r="M517" s="13"/>
      <c r="N517" s="16"/>
      <c r="O517" s="16"/>
      <c r="P517" s="16"/>
      <c r="Q517" s="16"/>
      <c r="R517" s="96"/>
      <c r="S517" s="96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6"/>
      <c r="B518" s="13"/>
      <c r="C518" s="16"/>
      <c r="D518" s="16"/>
      <c r="E518" s="16"/>
      <c r="F518" s="16"/>
      <c r="G518" s="16"/>
      <c r="H518" s="16"/>
      <c r="I518" s="125"/>
      <c r="J518" s="16"/>
      <c r="K518" s="13"/>
      <c r="L518" s="13"/>
      <c r="M518" s="13"/>
      <c r="N518" s="16"/>
      <c r="O518" s="16"/>
      <c r="P518" s="16"/>
      <c r="Q518" s="16"/>
      <c r="R518" s="96"/>
      <c r="S518" s="96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6"/>
      <c r="B519" s="13"/>
      <c r="C519" s="16"/>
      <c r="D519" s="16"/>
      <c r="E519" s="16"/>
      <c r="F519" s="16"/>
      <c r="G519" s="16"/>
      <c r="H519" s="16"/>
      <c r="I519" s="125"/>
      <c r="J519" s="16"/>
      <c r="K519" s="13"/>
      <c r="L519" s="13"/>
      <c r="M519" s="13"/>
      <c r="N519" s="16"/>
      <c r="O519" s="16"/>
      <c r="P519" s="16"/>
      <c r="Q519" s="16"/>
      <c r="R519" s="96"/>
      <c r="S519" s="96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6"/>
      <c r="B520" s="13"/>
      <c r="C520" s="16"/>
      <c r="D520" s="16"/>
      <c r="E520" s="16"/>
      <c r="F520" s="16"/>
      <c r="G520" s="16"/>
      <c r="H520" s="16"/>
      <c r="I520" s="125"/>
      <c r="J520" s="16"/>
      <c r="K520" s="13"/>
      <c r="L520" s="13"/>
      <c r="M520" s="13"/>
      <c r="N520" s="16"/>
      <c r="O520" s="16"/>
      <c r="P520" s="16"/>
      <c r="Q520" s="16"/>
      <c r="R520" s="96"/>
      <c r="S520" s="96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6"/>
      <c r="B521" s="13"/>
      <c r="C521" s="16"/>
      <c r="D521" s="16"/>
      <c r="E521" s="16"/>
      <c r="F521" s="16"/>
      <c r="G521" s="16"/>
      <c r="H521" s="16"/>
      <c r="I521" s="125"/>
      <c r="J521" s="16"/>
      <c r="K521" s="13"/>
      <c r="L521" s="13"/>
      <c r="M521" s="13"/>
      <c r="N521" s="16"/>
      <c r="O521" s="16"/>
      <c r="P521" s="16"/>
      <c r="Q521" s="16"/>
      <c r="R521" s="96"/>
      <c r="S521" s="96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6"/>
      <c r="B522" s="13"/>
      <c r="C522" s="16"/>
      <c r="D522" s="16"/>
      <c r="E522" s="16"/>
      <c r="F522" s="16"/>
      <c r="G522" s="16"/>
      <c r="H522" s="16"/>
      <c r="I522" s="125"/>
      <c r="J522" s="16"/>
      <c r="K522" s="13"/>
      <c r="L522" s="13"/>
      <c r="M522" s="13"/>
      <c r="N522" s="16"/>
      <c r="O522" s="16"/>
      <c r="P522" s="16"/>
      <c r="Q522" s="16"/>
      <c r="R522" s="96"/>
      <c r="S522" s="96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6"/>
      <c r="B523" s="13"/>
      <c r="C523" s="16"/>
      <c r="D523" s="16"/>
      <c r="E523" s="16"/>
      <c r="F523" s="16"/>
      <c r="G523" s="16"/>
      <c r="H523" s="16"/>
      <c r="I523" s="125"/>
      <c r="J523" s="16"/>
      <c r="K523" s="13"/>
      <c r="L523" s="13"/>
      <c r="M523" s="13"/>
      <c r="N523" s="16"/>
      <c r="O523" s="16"/>
      <c r="P523" s="16"/>
      <c r="Q523" s="16"/>
      <c r="R523" s="96"/>
      <c r="S523" s="96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6"/>
      <c r="B524" s="13"/>
      <c r="C524" s="16"/>
      <c r="D524" s="16"/>
      <c r="E524" s="16"/>
      <c r="F524" s="16"/>
      <c r="G524" s="16"/>
      <c r="H524" s="16"/>
      <c r="I524" s="125"/>
      <c r="J524" s="16"/>
      <c r="K524" s="13"/>
      <c r="L524" s="13"/>
      <c r="M524" s="13"/>
      <c r="N524" s="16"/>
      <c r="O524" s="16"/>
      <c r="P524" s="16"/>
      <c r="Q524" s="16"/>
      <c r="R524" s="96"/>
      <c r="S524" s="96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6"/>
      <c r="B525" s="13"/>
      <c r="C525" s="16"/>
      <c r="D525" s="16"/>
      <c r="E525" s="16"/>
      <c r="F525" s="16"/>
      <c r="G525" s="16"/>
      <c r="H525" s="16"/>
      <c r="I525" s="125"/>
      <c r="J525" s="16"/>
      <c r="K525" s="13"/>
      <c r="L525" s="13"/>
      <c r="M525" s="13"/>
      <c r="N525" s="16"/>
      <c r="O525" s="16"/>
      <c r="P525" s="16"/>
      <c r="Q525" s="16"/>
      <c r="R525" s="96"/>
      <c r="S525" s="96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6"/>
      <c r="B526" s="13"/>
      <c r="C526" s="16"/>
      <c r="D526" s="16"/>
      <c r="E526" s="16"/>
      <c r="F526" s="16"/>
      <c r="G526" s="16"/>
      <c r="H526" s="16"/>
      <c r="I526" s="125"/>
      <c r="J526" s="16"/>
      <c r="K526" s="13"/>
      <c r="L526" s="13"/>
      <c r="M526" s="13"/>
      <c r="N526" s="16"/>
      <c r="O526" s="16"/>
      <c r="P526" s="16"/>
      <c r="Q526" s="16"/>
      <c r="R526" s="96"/>
      <c r="S526" s="96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6"/>
      <c r="B527" s="13"/>
      <c r="C527" s="16"/>
      <c r="D527" s="16"/>
      <c r="E527" s="16"/>
      <c r="F527" s="16"/>
      <c r="G527" s="16"/>
      <c r="H527" s="16"/>
      <c r="I527" s="125"/>
      <c r="J527" s="16"/>
      <c r="K527" s="13"/>
      <c r="L527" s="13"/>
      <c r="M527" s="13"/>
      <c r="N527" s="16"/>
      <c r="O527" s="16"/>
      <c r="P527" s="16"/>
      <c r="Q527" s="16"/>
      <c r="R527" s="96"/>
      <c r="S527" s="96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6"/>
      <c r="B528" s="13"/>
      <c r="C528" s="16"/>
      <c r="D528" s="16"/>
      <c r="E528" s="16"/>
      <c r="F528" s="16"/>
      <c r="G528" s="16"/>
      <c r="H528" s="16"/>
      <c r="I528" s="125"/>
      <c r="J528" s="16"/>
      <c r="K528" s="13"/>
      <c r="L528" s="13"/>
      <c r="M528" s="13"/>
      <c r="N528" s="16"/>
      <c r="O528" s="16"/>
      <c r="P528" s="16"/>
      <c r="Q528" s="16"/>
      <c r="R528" s="96"/>
      <c r="S528" s="96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6"/>
      <c r="B529" s="13"/>
      <c r="C529" s="16"/>
      <c r="D529" s="16"/>
      <c r="E529" s="16"/>
      <c r="F529" s="16"/>
      <c r="G529" s="16"/>
      <c r="H529" s="16"/>
      <c r="I529" s="125"/>
      <c r="J529" s="16"/>
      <c r="K529" s="13"/>
      <c r="L529" s="13"/>
      <c r="M529" s="13"/>
      <c r="N529" s="16"/>
      <c r="O529" s="16"/>
      <c r="P529" s="16"/>
      <c r="Q529" s="16"/>
      <c r="R529" s="96"/>
      <c r="S529" s="96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6"/>
      <c r="B530" s="13"/>
      <c r="C530" s="16"/>
      <c r="D530" s="16"/>
      <c r="E530" s="16"/>
      <c r="F530" s="16"/>
      <c r="G530" s="16"/>
      <c r="H530" s="16"/>
      <c r="I530" s="125"/>
      <c r="J530" s="16"/>
      <c r="K530" s="13"/>
      <c r="L530" s="13"/>
      <c r="M530" s="13"/>
      <c r="N530" s="16"/>
      <c r="O530" s="16"/>
      <c r="P530" s="16"/>
      <c r="Q530" s="16"/>
      <c r="R530" s="96"/>
      <c r="S530" s="96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6"/>
      <c r="B531" s="13"/>
      <c r="C531" s="16"/>
      <c r="D531" s="16"/>
      <c r="E531" s="16"/>
      <c r="F531" s="16"/>
      <c r="G531" s="16"/>
      <c r="H531" s="16"/>
      <c r="I531" s="125"/>
      <c r="J531" s="16"/>
      <c r="K531" s="13"/>
      <c r="L531" s="13"/>
      <c r="M531" s="13"/>
      <c r="N531" s="16"/>
      <c r="O531" s="16"/>
      <c r="P531" s="16"/>
      <c r="Q531" s="16"/>
      <c r="R531" s="96"/>
      <c r="S531" s="96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6"/>
      <c r="B532" s="13"/>
      <c r="C532" s="16"/>
      <c r="D532" s="16"/>
      <c r="E532" s="16"/>
      <c r="F532" s="16"/>
      <c r="G532" s="16"/>
      <c r="H532" s="16"/>
      <c r="I532" s="125"/>
      <c r="J532" s="16"/>
      <c r="K532" s="13"/>
      <c r="L532" s="13"/>
      <c r="M532" s="13"/>
      <c r="N532" s="16"/>
      <c r="O532" s="16"/>
      <c r="P532" s="16"/>
      <c r="Q532" s="16"/>
      <c r="R532" s="96"/>
      <c r="S532" s="96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6"/>
      <c r="B533" s="13"/>
      <c r="C533" s="16"/>
      <c r="D533" s="16"/>
      <c r="E533" s="16"/>
      <c r="F533" s="16"/>
      <c r="G533" s="16"/>
      <c r="H533" s="16"/>
      <c r="I533" s="125"/>
      <c r="J533" s="16"/>
      <c r="K533" s="13"/>
      <c r="L533" s="13"/>
      <c r="M533" s="13"/>
      <c r="N533" s="16"/>
      <c r="O533" s="16"/>
      <c r="P533" s="16"/>
      <c r="Q533" s="16"/>
      <c r="R533" s="96"/>
      <c r="S533" s="96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6"/>
      <c r="B534" s="13"/>
      <c r="C534" s="16"/>
      <c r="D534" s="16"/>
      <c r="E534" s="16"/>
      <c r="F534" s="16"/>
      <c r="G534" s="16"/>
      <c r="H534" s="16"/>
      <c r="I534" s="125"/>
      <c r="J534" s="16"/>
      <c r="K534" s="13"/>
      <c r="L534" s="13"/>
      <c r="M534" s="13"/>
      <c r="N534" s="16"/>
      <c r="O534" s="16"/>
      <c r="P534" s="16"/>
      <c r="Q534" s="16"/>
      <c r="R534" s="96"/>
      <c r="S534" s="96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6"/>
      <c r="B535" s="13"/>
      <c r="C535" s="16"/>
      <c r="D535" s="16"/>
      <c r="E535" s="16"/>
      <c r="F535" s="16"/>
      <c r="G535" s="16"/>
      <c r="H535" s="16"/>
      <c r="I535" s="125"/>
      <c r="J535" s="16"/>
      <c r="K535" s="13"/>
      <c r="L535" s="13"/>
      <c r="M535" s="13"/>
      <c r="N535" s="16"/>
      <c r="O535" s="16"/>
      <c r="P535" s="16"/>
      <c r="Q535" s="16"/>
      <c r="R535" s="96"/>
      <c r="S535" s="96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6"/>
      <c r="B536" s="13"/>
      <c r="C536" s="16"/>
      <c r="D536" s="16"/>
      <c r="E536" s="16"/>
      <c r="F536" s="16"/>
      <c r="G536" s="16"/>
      <c r="H536" s="16"/>
      <c r="I536" s="125"/>
      <c r="J536" s="16"/>
      <c r="K536" s="13"/>
      <c r="L536" s="13"/>
      <c r="M536" s="13"/>
      <c r="N536" s="16"/>
      <c r="O536" s="16"/>
      <c r="P536" s="16"/>
      <c r="Q536" s="16"/>
      <c r="R536" s="96"/>
      <c r="S536" s="96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6"/>
      <c r="B537" s="13"/>
      <c r="C537" s="16"/>
      <c r="D537" s="16"/>
      <c r="E537" s="16"/>
      <c r="F537" s="16"/>
      <c r="G537" s="16"/>
      <c r="H537" s="16"/>
      <c r="I537" s="125"/>
      <c r="J537" s="16"/>
      <c r="K537" s="13"/>
      <c r="L537" s="13"/>
      <c r="M537" s="13"/>
      <c r="N537" s="16"/>
      <c r="O537" s="16"/>
      <c r="P537" s="16"/>
      <c r="Q537" s="16"/>
      <c r="R537" s="96"/>
      <c r="S537" s="96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6"/>
      <c r="B538" s="13"/>
      <c r="C538" s="16"/>
      <c r="D538" s="16"/>
      <c r="E538" s="16"/>
      <c r="F538" s="16"/>
      <c r="G538" s="16"/>
      <c r="H538" s="16"/>
      <c r="I538" s="125"/>
      <c r="J538" s="16"/>
      <c r="K538" s="13"/>
      <c r="L538" s="13"/>
      <c r="M538" s="13"/>
      <c r="N538" s="16"/>
      <c r="O538" s="16"/>
      <c r="P538" s="16"/>
      <c r="Q538" s="16"/>
      <c r="R538" s="96"/>
      <c r="S538" s="96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6"/>
      <c r="B539" s="13"/>
      <c r="C539" s="16"/>
      <c r="D539" s="16"/>
      <c r="E539" s="16"/>
      <c r="F539" s="16"/>
      <c r="G539" s="16"/>
      <c r="H539" s="16"/>
      <c r="I539" s="125"/>
      <c r="J539" s="16"/>
      <c r="K539" s="13"/>
      <c r="L539" s="13"/>
      <c r="M539" s="13"/>
      <c r="N539" s="16"/>
      <c r="O539" s="16"/>
      <c r="P539" s="16"/>
      <c r="Q539" s="16"/>
      <c r="R539" s="96"/>
      <c r="S539" s="96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6"/>
      <c r="B540" s="13"/>
      <c r="C540" s="16"/>
      <c r="D540" s="16"/>
      <c r="E540" s="16"/>
      <c r="F540" s="16"/>
      <c r="G540" s="16"/>
      <c r="H540" s="16"/>
      <c r="I540" s="125"/>
      <c r="J540" s="16"/>
      <c r="K540" s="13"/>
      <c r="L540" s="13"/>
      <c r="M540" s="13"/>
      <c r="N540" s="16"/>
      <c r="O540" s="16"/>
      <c r="P540" s="16"/>
      <c r="Q540" s="16"/>
      <c r="R540" s="96"/>
      <c r="S540" s="96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6"/>
      <c r="B541" s="13"/>
      <c r="C541" s="16"/>
      <c r="D541" s="16"/>
      <c r="E541" s="16"/>
      <c r="F541" s="16"/>
      <c r="G541" s="16"/>
      <c r="H541" s="16"/>
      <c r="I541" s="125"/>
      <c r="J541" s="16"/>
      <c r="K541" s="13"/>
      <c r="L541" s="13"/>
      <c r="M541" s="13"/>
      <c r="N541" s="16"/>
      <c r="O541" s="16"/>
      <c r="P541" s="16"/>
      <c r="Q541" s="16"/>
      <c r="R541" s="96"/>
      <c r="S541" s="96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6"/>
      <c r="B542" s="13"/>
      <c r="C542" s="16"/>
      <c r="D542" s="16"/>
      <c r="E542" s="16"/>
      <c r="F542" s="16"/>
      <c r="G542" s="16"/>
      <c r="H542" s="16"/>
      <c r="I542" s="125"/>
      <c r="J542" s="16"/>
      <c r="K542" s="13"/>
      <c r="L542" s="13"/>
      <c r="M542" s="13"/>
      <c r="N542" s="16"/>
      <c r="O542" s="16"/>
      <c r="P542" s="16"/>
      <c r="Q542" s="16"/>
      <c r="R542" s="96"/>
      <c r="S542" s="96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6"/>
      <c r="B543" s="13"/>
      <c r="C543" s="16"/>
      <c r="D543" s="16"/>
      <c r="E543" s="16"/>
      <c r="F543" s="16"/>
      <c r="G543" s="16"/>
      <c r="H543" s="16"/>
      <c r="I543" s="125"/>
      <c r="J543" s="16"/>
      <c r="K543" s="13"/>
      <c r="L543" s="13"/>
      <c r="M543" s="13"/>
      <c r="N543" s="16"/>
      <c r="O543" s="16"/>
      <c r="P543" s="16"/>
      <c r="Q543" s="16"/>
      <c r="R543" s="96"/>
      <c r="S543" s="96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6"/>
      <c r="B544" s="13"/>
      <c r="C544" s="16"/>
      <c r="D544" s="16"/>
      <c r="E544" s="16"/>
      <c r="F544" s="16"/>
      <c r="G544" s="16"/>
      <c r="H544" s="16"/>
      <c r="I544" s="125"/>
      <c r="J544" s="16"/>
      <c r="K544" s="13"/>
      <c r="L544" s="13"/>
      <c r="M544" s="13"/>
      <c r="N544" s="16"/>
      <c r="O544" s="16"/>
      <c r="P544" s="16"/>
      <c r="Q544" s="16"/>
      <c r="R544" s="96"/>
      <c r="S544" s="96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6"/>
      <c r="B545" s="13"/>
      <c r="C545" s="16"/>
      <c r="D545" s="16"/>
      <c r="E545" s="16"/>
      <c r="F545" s="16"/>
      <c r="G545" s="16"/>
      <c r="H545" s="16"/>
      <c r="I545" s="125"/>
      <c r="J545" s="16"/>
      <c r="K545" s="13"/>
      <c r="L545" s="13"/>
      <c r="M545" s="13"/>
      <c r="N545" s="16"/>
      <c r="O545" s="16"/>
      <c r="P545" s="16"/>
      <c r="Q545" s="16"/>
      <c r="R545" s="96"/>
      <c r="S545" s="96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6"/>
      <c r="B546" s="13"/>
      <c r="C546" s="16"/>
      <c r="D546" s="16"/>
      <c r="E546" s="16"/>
      <c r="F546" s="16"/>
      <c r="G546" s="16"/>
      <c r="H546" s="16"/>
      <c r="I546" s="125"/>
      <c r="J546" s="16"/>
      <c r="K546" s="13"/>
      <c r="L546" s="13"/>
      <c r="M546" s="13"/>
      <c r="N546" s="16"/>
      <c r="O546" s="16"/>
      <c r="P546" s="16"/>
      <c r="Q546" s="16"/>
      <c r="R546" s="96"/>
      <c r="S546" s="96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6"/>
      <c r="B547" s="13"/>
      <c r="C547" s="16"/>
      <c r="D547" s="16"/>
      <c r="E547" s="16"/>
      <c r="F547" s="16"/>
      <c r="G547" s="16"/>
      <c r="H547" s="16"/>
      <c r="I547" s="125"/>
      <c r="J547" s="16"/>
      <c r="K547" s="13"/>
      <c r="L547" s="13"/>
      <c r="M547" s="13"/>
      <c r="N547" s="16"/>
      <c r="O547" s="16"/>
      <c r="P547" s="16"/>
      <c r="Q547" s="16"/>
      <c r="R547" s="96"/>
      <c r="S547" s="96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6"/>
      <c r="B548" s="13"/>
      <c r="C548" s="16"/>
      <c r="D548" s="16"/>
      <c r="E548" s="16"/>
      <c r="F548" s="16"/>
      <c r="G548" s="16"/>
      <c r="H548" s="16"/>
      <c r="I548" s="125"/>
      <c r="J548" s="16"/>
      <c r="K548" s="13"/>
      <c r="L548" s="13"/>
      <c r="M548" s="13"/>
      <c r="N548" s="16"/>
      <c r="O548" s="16"/>
      <c r="P548" s="16"/>
      <c r="Q548" s="16"/>
      <c r="R548" s="96"/>
      <c r="S548" s="96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6"/>
      <c r="B549" s="13"/>
      <c r="C549" s="16"/>
      <c r="D549" s="16"/>
      <c r="E549" s="16"/>
      <c r="F549" s="16"/>
      <c r="G549" s="16"/>
      <c r="H549" s="16"/>
      <c r="I549" s="125"/>
      <c r="J549" s="16"/>
      <c r="K549" s="13"/>
      <c r="L549" s="13"/>
      <c r="M549" s="13"/>
      <c r="N549" s="16"/>
      <c r="O549" s="16"/>
      <c r="P549" s="16"/>
      <c r="Q549" s="16"/>
      <c r="R549" s="96"/>
      <c r="S549" s="96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6"/>
      <c r="B550" s="13"/>
      <c r="C550" s="16"/>
      <c r="D550" s="16"/>
      <c r="E550" s="16"/>
      <c r="F550" s="16"/>
      <c r="G550" s="16"/>
      <c r="H550" s="16"/>
      <c r="I550" s="125"/>
      <c r="J550" s="16"/>
      <c r="K550" s="13"/>
      <c r="L550" s="13"/>
      <c r="M550" s="13"/>
      <c r="N550" s="16"/>
      <c r="O550" s="16"/>
      <c r="P550" s="16"/>
      <c r="Q550" s="16"/>
      <c r="R550" s="96"/>
      <c r="S550" s="96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6"/>
      <c r="B551" s="13"/>
      <c r="C551" s="16"/>
      <c r="D551" s="16"/>
      <c r="E551" s="16"/>
      <c r="F551" s="16"/>
      <c r="G551" s="16"/>
      <c r="H551" s="16"/>
      <c r="I551" s="125"/>
      <c r="J551" s="16"/>
      <c r="K551" s="13"/>
      <c r="L551" s="13"/>
      <c r="M551" s="13"/>
      <c r="N551" s="16"/>
      <c r="O551" s="16"/>
      <c r="P551" s="16"/>
      <c r="Q551" s="16"/>
      <c r="R551" s="96"/>
      <c r="S551" s="96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6"/>
      <c r="B552" s="13"/>
      <c r="C552" s="16"/>
      <c r="D552" s="16"/>
      <c r="E552" s="16"/>
      <c r="F552" s="16"/>
      <c r="G552" s="16"/>
      <c r="H552" s="16"/>
      <c r="I552" s="125"/>
      <c r="J552" s="16"/>
      <c r="K552" s="13"/>
      <c r="L552" s="13"/>
      <c r="M552" s="13"/>
      <c r="N552" s="16"/>
      <c r="O552" s="16"/>
      <c r="P552" s="16"/>
      <c r="Q552" s="16"/>
      <c r="R552" s="96"/>
      <c r="S552" s="96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6"/>
      <c r="B553" s="13"/>
      <c r="C553" s="16"/>
      <c r="D553" s="16"/>
      <c r="E553" s="16"/>
      <c r="F553" s="16"/>
      <c r="G553" s="16"/>
      <c r="H553" s="16"/>
      <c r="I553" s="125"/>
      <c r="J553" s="16"/>
      <c r="K553" s="13"/>
      <c r="L553" s="13"/>
      <c r="M553" s="13"/>
      <c r="N553" s="16"/>
      <c r="O553" s="16"/>
      <c r="P553" s="16"/>
      <c r="Q553" s="16"/>
      <c r="R553" s="96"/>
      <c r="S553" s="96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6"/>
      <c r="B554" s="13"/>
      <c r="C554" s="16"/>
      <c r="D554" s="16"/>
      <c r="E554" s="16"/>
      <c r="F554" s="16"/>
      <c r="G554" s="16"/>
      <c r="H554" s="16"/>
      <c r="I554" s="125"/>
      <c r="J554" s="16"/>
      <c r="K554" s="13"/>
      <c r="L554" s="13"/>
      <c r="M554" s="13"/>
      <c r="N554" s="16"/>
      <c r="O554" s="16"/>
      <c r="P554" s="16"/>
      <c r="Q554" s="16"/>
      <c r="R554" s="96"/>
      <c r="S554" s="96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6"/>
      <c r="B555" s="13"/>
      <c r="C555" s="16"/>
      <c r="D555" s="16"/>
      <c r="E555" s="16"/>
      <c r="F555" s="16"/>
      <c r="G555" s="16"/>
      <c r="H555" s="16"/>
      <c r="I555" s="125"/>
      <c r="J555" s="16"/>
      <c r="K555" s="13"/>
      <c r="L555" s="13"/>
      <c r="M555" s="13"/>
      <c r="N555" s="16"/>
      <c r="O555" s="16"/>
      <c r="P555" s="16"/>
      <c r="Q555" s="16"/>
      <c r="R555" s="96"/>
      <c r="S555" s="96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6"/>
      <c r="B556" s="13"/>
      <c r="C556" s="16"/>
      <c r="D556" s="16"/>
      <c r="E556" s="16"/>
      <c r="F556" s="16"/>
      <c r="G556" s="16"/>
      <c r="H556" s="16"/>
      <c r="I556" s="125"/>
      <c r="J556" s="16"/>
      <c r="K556" s="13"/>
      <c r="L556" s="13"/>
      <c r="M556" s="13"/>
      <c r="N556" s="16"/>
      <c r="O556" s="16"/>
      <c r="P556" s="16"/>
      <c r="Q556" s="16"/>
      <c r="R556" s="96"/>
      <c r="S556" s="96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6"/>
      <c r="B557" s="13"/>
      <c r="C557" s="16"/>
      <c r="D557" s="16"/>
      <c r="E557" s="16"/>
      <c r="F557" s="16"/>
      <c r="G557" s="16"/>
      <c r="H557" s="16"/>
      <c r="I557" s="125"/>
      <c r="J557" s="16"/>
      <c r="K557" s="13"/>
      <c r="L557" s="13"/>
      <c r="M557" s="13"/>
      <c r="N557" s="16"/>
      <c r="O557" s="16"/>
      <c r="P557" s="16"/>
      <c r="Q557" s="16"/>
      <c r="R557" s="96"/>
      <c r="S557" s="96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6"/>
      <c r="B558" s="13"/>
      <c r="C558" s="16"/>
      <c r="D558" s="16"/>
      <c r="E558" s="16"/>
      <c r="F558" s="16"/>
      <c r="G558" s="16"/>
      <c r="H558" s="16"/>
      <c r="I558" s="125"/>
      <c r="J558" s="16"/>
      <c r="K558" s="13"/>
      <c r="L558" s="13"/>
      <c r="M558" s="13"/>
      <c r="N558" s="16"/>
      <c r="O558" s="16"/>
      <c r="P558" s="16"/>
      <c r="Q558" s="16"/>
      <c r="R558" s="96"/>
      <c r="S558" s="96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6"/>
      <c r="B559" s="13"/>
      <c r="C559" s="16"/>
      <c r="D559" s="16"/>
      <c r="E559" s="16"/>
      <c r="F559" s="16"/>
      <c r="G559" s="16"/>
      <c r="H559" s="16"/>
      <c r="I559" s="125"/>
      <c r="J559" s="16"/>
      <c r="K559" s="13"/>
      <c r="L559" s="13"/>
      <c r="M559" s="13"/>
      <c r="N559" s="16"/>
      <c r="O559" s="16"/>
      <c r="P559" s="16"/>
      <c r="Q559" s="16"/>
      <c r="R559" s="96"/>
      <c r="S559" s="96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6"/>
      <c r="B560" s="13"/>
      <c r="C560" s="16"/>
      <c r="D560" s="16"/>
      <c r="E560" s="16"/>
      <c r="F560" s="16"/>
      <c r="G560" s="16"/>
      <c r="H560" s="16"/>
      <c r="I560" s="125"/>
      <c r="J560" s="16"/>
      <c r="K560" s="13"/>
      <c r="L560" s="13"/>
      <c r="M560" s="13"/>
      <c r="N560" s="16"/>
      <c r="O560" s="16"/>
      <c r="P560" s="16"/>
      <c r="Q560" s="16"/>
      <c r="R560" s="96"/>
      <c r="S560" s="96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6"/>
      <c r="B561" s="13"/>
      <c r="C561" s="16"/>
      <c r="D561" s="16"/>
      <c r="E561" s="16"/>
      <c r="F561" s="16"/>
      <c r="G561" s="16"/>
      <c r="H561" s="16"/>
      <c r="I561" s="125"/>
      <c r="J561" s="16"/>
      <c r="K561" s="13"/>
      <c r="L561" s="13"/>
      <c r="M561" s="13"/>
      <c r="N561" s="16"/>
      <c r="O561" s="16"/>
      <c r="P561" s="16"/>
      <c r="Q561" s="16"/>
      <c r="R561" s="96"/>
      <c r="S561" s="96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6"/>
      <c r="B562" s="13"/>
      <c r="C562" s="16"/>
      <c r="D562" s="16"/>
      <c r="E562" s="16"/>
      <c r="F562" s="16"/>
      <c r="G562" s="16"/>
      <c r="H562" s="16"/>
      <c r="I562" s="125"/>
      <c r="J562" s="16"/>
      <c r="K562" s="13"/>
      <c r="L562" s="13"/>
      <c r="M562" s="13"/>
      <c r="N562" s="16"/>
      <c r="O562" s="16"/>
      <c r="P562" s="16"/>
      <c r="Q562" s="16"/>
      <c r="R562" s="96"/>
      <c r="S562" s="96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6"/>
      <c r="B563" s="13"/>
      <c r="C563" s="16"/>
      <c r="D563" s="16"/>
      <c r="E563" s="16"/>
      <c r="F563" s="16"/>
      <c r="G563" s="16"/>
      <c r="H563" s="16"/>
      <c r="I563" s="125"/>
      <c r="J563" s="16"/>
      <c r="K563" s="13"/>
      <c r="L563" s="13"/>
      <c r="M563" s="13"/>
      <c r="N563" s="16"/>
      <c r="O563" s="16"/>
      <c r="P563" s="16"/>
      <c r="Q563" s="16"/>
      <c r="R563" s="96"/>
      <c r="S563" s="96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6"/>
      <c r="B564" s="13"/>
      <c r="C564" s="16"/>
      <c r="D564" s="16"/>
      <c r="E564" s="16"/>
      <c r="F564" s="16"/>
      <c r="G564" s="16"/>
      <c r="H564" s="16"/>
      <c r="I564" s="125"/>
      <c r="J564" s="16"/>
      <c r="K564" s="13"/>
      <c r="L564" s="13"/>
      <c r="M564" s="13"/>
      <c r="N564" s="16"/>
      <c r="O564" s="16"/>
      <c r="P564" s="16"/>
      <c r="Q564" s="16"/>
      <c r="R564" s="96"/>
      <c r="S564" s="96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6"/>
      <c r="B565" s="13"/>
      <c r="C565" s="16"/>
      <c r="D565" s="16"/>
      <c r="E565" s="16"/>
      <c r="F565" s="16"/>
      <c r="G565" s="16"/>
      <c r="H565" s="16"/>
      <c r="I565" s="125"/>
      <c r="J565" s="16"/>
      <c r="K565" s="13"/>
      <c r="L565" s="13"/>
      <c r="M565" s="13"/>
      <c r="N565" s="16"/>
      <c r="O565" s="16"/>
      <c r="P565" s="16"/>
      <c r="Q565" s="16"/>
      <c r="R565" s="96"/>
      <c r="S565" s="96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6"/>
      <c r="B566" s="13"/>
      <c r="C566" s="16"/>
      <c r="D566" s="16"/>
      <c r="E566" s="16"/>
      <c r="F566" s="16"/>
      <c r="G566" s="16"/>
      <c r="H566" s="16"/>
      <c r="I566" s="125"/>
      <c r="J566" s="16"/>
      <c r="K566" s="13"/>
      <c r="L566" s="13"/>
      <c r="M566" s="13"/>
      <c r="N566" s="16"/>
      <c r="O566" s="16"/>
      <c r="P566" s="16"/>
      <c r="Q566" s="16"/>
      <c r="R566" s="96"/>
      <c r="S566" s="96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6"/>
      <c r="B567" s="13"/>
      <c r="C567" s="16"/>
      <c r="D567" s="16"/>
      <c r="E567" s="16"/>
      <c r="F567" s="16"/>
      <c r="G567" s="16"/>
      <c r="H567" s="16"/>
      <c r="I567" s="125"/>
      <c r="J567" s="16"/>
      <c r="K567" s="13"/>
      <c r="L567" s="13"/>
      <c r="M567" s="13"/>
      <c r="N567" s="16"/>
      <c r="O567" s="16"/>
      <c r="P567" s="16"/>
      <c r="Q567" s="16"/>
      <c r="R567" s="96"/>
      <c r="S567" s="96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6"/>
      <c r="B568" s="13"/>
      <c r="C568" s="16"/>
      <c r="D568" s="16"/>
      <c r="E568" s="16"/>
      <c r="F568" s="16"/>
      <c r="G568" s="16"/>
      <c r="H568" s="16"/>
      <c r="I568" s="125"/>
      <c r="J568" s="16"/>
      <c r="K568" s="13"/>
      <c r="L568" s="13"/>
      <c r="M568" s="13"/>
      <c r="N568" s="16"/>
      <c r="O568" s="16"/>
      <c r="P568" s="16"/>
      <c r="Q568" s="16"/>
      <c r="R568" s="96"/>
      <c r="S568" s="96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6"/>
      <c r="B569" s="13"/>
      <c r="C569" s="16"/>
      <c r="D569" s="16"/>
      <c r="E569" s="16"/>
      <c r="F569" s="16"/>
      <c r="G569" s="16"/>
      <c r="H569" s="16"/>
      <c r="I569" s="125"/>
      <c r="J569" s="16"/>
      <c r="K569" s="13"/>
      <c r="L569" s="13"/>
      <c r="M569" s="13"/>
      <c r="N569" s="16"/>
      <c r="O569" s="16"/>
      <c r="P569" s="16"/>
      <c r="Q569" s="16"/>
      <c r="R569" s="96"/>
      <c r="S569" s="96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6"/>
      <c r="B570" s="13"/>
      <c r="C570" s="16"/>
      <c r="D570" s="16"/>
      <c r="E570" s="16"/>
      <c r="F570" s="16"/>
      <c r="G570" s="16"/>
      <c r="H570" s="16"/>
      <c r="I570" s="125"/>
      <c r="J570" s="16"/>
      <c r="K570" s="13"/>
      <c r="L570" s="13"/>
      <c r="M570" s="13"/>
      <c r="N570" s="16"/>
      <c r="O570" s="16"/>
      <c r="P570" s="16"/>
      <c r="Q570" s="16"/>
      <c r="R570" s="96"/>
      <c r="S570" s="96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6"/>
      <c r="B571" s="13"/>
      <c r="C571" s="16"/>
      <c r="D571" s="16"/>
      <c r="E571" s="16"/>
      <c r="F571" s="16"/>
      <c r="G571" s="16"/>
      <c r="H571" s="16"/>
      <c r="I571" s="125"/>
      <c r="J571" s="16"/>
      <c r="K571" s="13"/>
      <c r="L571" s="13"/>
      <c r="M571" s="13"/>
      <c r="N571" s="16"/>
      <c r="O571" s="16"/>
      <c r="P571" s="16"/>
      <c r="Q571" s="16"/>
      <c r="R571" s="96"/>
      <c r="S571" s="96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6"/>
      <c r="B572" s="13"/>
      <c r="C572" s="16"/>
      <c r="D572" s="16"/>
      <c r="E572" s="16"/>
      <c r="F572" s="16"/>
      <c r="G572" s="16"/>
      <c r="H572" s="16"/>
      <c r="I572" s="125"/>
      <c r="J572" s="16"/>
      <c r="K572" s="13"/>
      <c r="L572" s="13"/>
      <c r="M572" s="13"/>
      <c r="N572" s="16"/>
      <c r="O572" s="16"/>
      <c r="P572" s="16"/>
      <c r="Q572" s="16"/>
      <c r="R572" s="96"/>
      <c r="S572" s="96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6"/>
      <c r="B573" s="13"/>
      <c r="C573" s="16"/>
      <c r="D573" s="16"/>
      <c r="E573" s="16"/>
      <c r="F573" s="16"/>
      <c r="G573" s="16"/>
      <c r="H573" s="16"/>
      <c r="I573" s="125"/>
      <c r="J573" s="16"/>
      <c r="K573" s="13"/>
      <c r="L573" s="13"/>
      <c r="M573" s="13"/>
      <c r="N573" s="16"/>
      <c r="O573" s="16"/>
      <c r="P573" s="16"/>
      <c r="Q573" s="16"/>
      <c r="R573" s="96"/>
      <c r="S573" s="96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6"/>
      <c r="B574" s="13"/>
      <c r="C574" s="16"/>
      <c r="D574" s="16"/>
      <c r="E574" s="16"/>
      <c r="F574" s="16"/>
      <c r="G574" s="16"/>
      <c r="H574" s="16"/>
      <c r="I574" s="125"/>
      <c r="J574" s="16"/>
      <c r="K574" s="13"/>
      <c r="L574" s="13"/>
      <c r="M574" s="13"/>
      <c r="N574" s="16"/>
      <c r="O574" s="16"/>
      <c r="P574" s="16"/>
      <c r="Q574" s="16"/>
      <c r="R574" s="96"/>
      <c r="S574" s="96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6"/>
      <c r="B575" s="13"/>
      <c r="C575" s="16"/>
      <c r="D575" s="16"/>
      <c r="E575" s="16"/>
      <c r="F575" s="16"/>
      <c r="G575" s="16"/>
      <c r="H575" s="16"/>
      <c r="I575" s="125"/>
      <c r="J575" s="16"/>
      <c r="K575" s="13"/>
      <c r="L575" s="13"/>
      <c r="M575" s="13"/>
      <c r="N575" s="16"/>
      <c r="O575" s="16"/>
      <c r="P575" s="16"/>
      <c r="Q575" s="16"/>
      <c r="R575" s="96"/>
      <c r="S575" s="96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6"/>
      <c r="B576" s="13"/>
      <c r="C576" s="16"/>
      <c r="D576" s="16"/>
      <c r="E576" s="16"/>
      <c r="F576" s="16"/>
      <c r="G576" s="16"/>
      <c r="H576" s="16"/>
      <c r="I576" s="125"/>
      <c r="J576" s="16"/>
      <c r="K576" s="13"/>
      <c r="L576" s="13"/>
      <c r="M576" s="13"/>
      <c r="N576" s="16"/>
      <c r="O576" s="16"/>
      <c r="P576" s="16"/>
      <c r="Q576" s="16"/>
      <c r="R576" s="96"/>
      <c r="S576" s="96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6"/>
      <c r="B577" s="13"/>
      <c r="C577" s="16"/>
      <c r="D577" s="16"/>
      <c r="E577" s="16"/>
      <c r="F577" s="16"/>
      <c r="G577" s="16"/>
      <c r="H577" s="16"/>
      <c r="I577" s="125"/>
      <c r="J577" s="16"/>
      <c r="K577" s="13"/>
      <c r="L577" s="13"/>
      <c r="M577" s="13"/>
      <c r="N577" s="16"/>
      <c r="O577" s="16"/>
      <c r="P577" s="16"/>
      <c r="Q577" s="16"/>
      <c r="R577" s="96"/>
      <c r="S577" s="96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6"/>
      <c r="B578" s="13"/>
      <c r="C578" s="16"/>
      <c r="D578" s="16"/>
      <c r="E578" s="16"/>
      <c r="F578" s="16"/>
      <c r="G578" s="16"/>
      <c r="H578" s="16"/>
      <c r="I578" s="125"/>
      <c r="J578" s="16"/>
      <c r="K578" s="13"/>
      <c r="L578" s="13"/>
      <c r="M578" s="13"/>
      <c r="N578" s="16"/>
      <c r="O578" s="16"/>
      <c r="P578" s="16"/>
      <c r="Q578" s="16"/>
      <c r="R578" s="96"/>
      <c r="S578" s="96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6"/>
      <c r="B579" s="13"/>
      <c r="C579" s="16"/>
      <c r="D579" s="16"/>
      <c r="E579" s="16"/>
      <c r="F579" s="16"/>
      <c r="G579" s="16"/>
      <c r="H579" s="16"/>
      <c r="I579" s="125"/>
      <c r="J579" s="16"/>
      <c r="K579" s="13"/>
      <c r="L579" s="13"/>
      <c r="M579" s="13"/>
      <c r="N579" s="16"/>
      <c r="O579" s="16"/>
      <c r="P579" s="16"/>
      <c r="Q579" s="16"/>
      <c r="R579" s="96"/>
      <c r="S579" s="96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6"/>
      <c r="B580" s="13"/>
      <c r="C580" s="16"/>
      <c r="D580" s="16"/>
      <c r="E580" s="16"/>
      <c r="F580" s="16"/>
      <c r="G580" s="16"/>
      <c r="H580" s="16"/>
      <c r="I580" s="125"/>
      <c r="J580" s="16"/>
      <c r="K580" s="13"/>
      <c r="L580" s="13"/>
      <c r="M580" s="13"/>
      <c r="N580" s="16"/>
      <c r="O580" s="16"/>
      <c r="P580" s="16"/>
      <c r="Q580" s="16"/>
      <c r="R580" s="96"/>
      <c r="S580" s="96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6"/>
      <c r="B581" s="13"/>
      <c r="C581" s="16"/>
      <c r="D581" s="16"/>
      <c r="E581" s="16"/>
      <c r="F581" s="16"/>
      <c r="G581" s="16"/>
      <c r="H581" s="16"/>
      <c r="I581" s="125"/>
      <c r="J581" s="16"/>
      <c r="K581" s="13"/>
      <c r="L581" s="13"/>
      <c r="M581" s="13"/>
      <c r="N581" s="16"/>
      <c r="O581" s="16"/>
      <c r="P581" s="16"/>
      <c r="Q581" s="16"/>
      <c r="R581" s="96"/>
      <c r="S581" s="96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6"/>
      <c r="B582" s="13"/>
      <c r="C582" s="16"/>
      <c r="D582" s="16"/>
      <c r="E582" s="16"/>
      <c r="F582" s="16"/>
      <c r="G582" s="16"/>
      <c r="H582" s="16"/>
      <c r="I582" s="125"/>
      <c r="J582" s="16"/>
      <c r="K582" s="13"/>
      <c r="L582" s="13"/>
      <c r="M582" s="13"/>
      <c r="N582" s="16"/>
      <c r="O582" s="16"/>
      <c r="P582" s="16"/>
      <c r="Q582" s="16"/>
      <c r="R582" s="96"/>
      <c r="S582" s="96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6"/>
      <c r="B583" s="13"/>
      <c r="C583" s="16"/>
      <c r="D583" s="16"/>
      <c r="E583" s="16"/>
      <c r="F583" s="16"/>
      <c r="G583" s="16"/>
      <c r="H583" s="16"/>
      <c r="I583" s="125"/>
      <c r="J583" s="16"/>
      <c r="K583" s="13"/>
      <c r="L583" s="13"/>
      <c r="M583" s="13"/>
      <c r="N583" s="16"/>
      <c r="O583" s="16"/>
      <c r="P583" s="16"/>
      <c r="Q583" s="16"/>
      <c r="R583" s="96"/>
      <c r="S583" s="96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6"/>
      <c r="B584" s="13"/>
      <c r="C584" s="16"/>
      <c r="D584" s="16"/>
      <c r="E584" s="16"/>
      <c r="F584" s="16"/>
      <c r="G584" s="16"/>
      <c r="H584" s="16"/>
      <c r="I584" s="125"/>
      <c r="J584" s="16"/>
      <c r="K584" s="13"/>
      <c r="L584" s="13"/>
      <c r="M584" s="13"/>
      <c r="N584" s="16"/>
      <c r="O584" s="16"/>
      <c r="P584" s="16"/>
      <c r="Q584" s="16"/>
      <c r="R584" s="96"/>
      <c r="S584" s="96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6"/>
      <c r="B585" s="13"/>
      <c r="C585" s="16"/>
      <c r="D585" s="16"/>
      <c r="E585" s="16"/>
      <c r="F585" s="16"/>
      <c r="G585" s="16"/>
      <c r="H585" s="16"/>
      <c r="I585" s="125"/>
      <c r="J585" s="16"/>
      <c r="K585" s="13"/>
      <c r="L585" s="13"/>
      <c r="M585" s="13"/>
      <c r="N585" s="16"/>
      <c r="O585" s="16"/>
      <c r="P585" s="16"/>
      <c r="Q585" s="16"/>
      <c r="R585" s="96"/>
      <c r="S585" s="96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6"/>
      <c r="B586" s="13"/>
      <c r="C586" s="16"/>
      <c r="D586" s="16"/>
      <c r="E586" s="16"/>
      <c r="F586" s="16"/>
      <c r="G586" s="16"/>
      <c r="H586" s="16"/>
      <c r="I586" s="125"/>
      <c r="J586" s="16"/>
      <c r="K586" s="13"/>
      <c r="L586" s="13"/>
      <c r="M586" s="13"/>
      <c r="N586" s="16"/>
      <c r="O586" s="16"/>
      <c r="P586" s="16"/>
      <c r="Q586" s="16"/>
      <c r="R586" s="96"/>
      <c r="S586" s="96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6"/>
      <c r="B587" s="13"/>
      <c r="C587" s="16"/>
      <c r="D587" s="16"/>
      <c r="E587" s="16"/>
      <c r="F587" s="16"/>
      <c r="G587" s="16"/>
      <c r="H587" s="16"/>
      <c r="I587" s="125"/>
      <c r="J587" s="16"/>
      <c r="K587" s="13"/>
      <c r="L587" s="13"/>
      <c r="M587" s="13"/>
      <c r="N587" s="16"/>
      <c r="O587" s="16"/>
      <c r="P587" s="16"/>
      <c r="Q587" s="16"/>
      <c r="R587" s="96"/>
      <c r="S587" s="96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6"/>
      <c r="B588" s="13"/>
      <c r="C588" s="16"/>
      <c r="D588" s="16"/>
      <c r="E588" s="16"/>
      <c r="F588" s="16"/>
      <c r="G588" s="16"/>
      <c r="H588" s="16"/>
      <c r="I588" s="125"/>
      <c r="J588" s="16"/>
      <c r="K588" s="13"/>
      <c r="L588" s="13"/>
      <c r="M588" s="13"/>
      <c r="N588" s="16"/>
      <c r="O588" s="16"/>
      <c r="P588" s="16"/>
      <c r="Q588" s="16"/>
      <c r="R588" s="96"/>
      <c r="S588" s="96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6"/>
      <c r="B589" s="13"/>
      <c r="C589" s="16"/>
      <c r="D589" s="16"/>
      <c r="E589" s="16"/>
      <c r="F589" s="16"/>
      <c r="G589" s="16"/>
      <c r="H589" s="16"/>
      <c r="I589" s="125"/>
      <c r="J589" s="16"/>
      <c r="K589" s="13"/>
      <c r="L589" s="13"/>
      <c r="M589" s="13"/>
      <c r="N589" s="16"/>
      <c r="O589" s="16"/>
      <c r="P589" s="16"/>
      <c r="Q589" s="16"/>
      <c r="R589" s="96"/>
      <c r="S589" s="96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6"/>
      <c r="B590" s="13"/>
      <c r="C590" s="16"/>
      <c r="D590" s="16"/>
      <c r="E590" s="16"/>
      <c r="F590" s="16"/>
      <c r="G590" s="16"/>
      <c r="H590" s="16"/>
      <c r="I590" s="125"/>
      <c r="J590" s="16"/>
      <c r="K590" s="13"/>
      <c r="L590" s="13"/>
      <c r="M590" s="13"/>
      <c r="N590" s="16"/>
      <c r="O590" s="16"/>
      <c r="P590" s="16"/>
      <c r="Q590" s="16"/>
      <c r="R590" s="96"/>
      <c r="S590" s="96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6"/>
      <c r="B591" s="13"/>
      <c r="C591" s="16"/>
      <c r="D591" s="16"/>
      <c r="E591" s="16"/>
      <c r="F591" s="16"/>
      <c r="G591" s="16"/>
      <c r="H591" s="16"/>
      <c r="I591" s="125"/>
      <c r="J591" s="16"/>
      <c r="K591" s="13"/>
      <c r="L591" s="13"/>
      <c r="M591" s="13"/>
      <c r="N591" s="16"/>
      <c r="O591" s="16"/>
      <c r="P591" s="16"/>
      <c r="Q591" s="16"/>
      <c r="R591" s="96"/>
      <c r="S591" s="96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6"/>
      <c r="B592" s="13"/>
      <c r="C592" s="16"/>
      <c r="D592" s="16"/>
      <c r="E592" s="16"/>
      <c r="F592" s="16"/>
      <c r="G592" s="16"/>
      <c r="H592" s="16"/>
      <c r="I592" s="125"/>
      <c r="J592" s="16"/>
      <c r="K592" s="13"/>
      <c r="L592" s="13"/>
      <c r="M592" s="13"/>
      <c r="N592" s="16"/>
      <c r="O592" s="16"/>
      <c r="P592" s="16"/>
      <c r="Q592" s="16"/>
      <c r="R592" s="96"/>
      <c r="S592" s="96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6"/>
      <c r="B593" s="13"/>
      <c r="C593" s="16"/>
      <c r="D593" s="16"/>
      <c r="E593" s="16"/>
      <c r="F593" s="16"/>
      <c r="G593" s="16"/>
      <c r="H593" s="16"/>
      <c r="I593" s="125"/>
      <c r="J593" s="16"/>
      <c r="K593" s="13"/>
      <c r="L593" s="13"/>
      <c r="M593" s="13"/>
      <c r="N593" s="16"/>
      <c r="O593" s="16"/>
      <c r="P593" s="16"/>
      <c r="Q593" s="16"/>
      <c r="R593" s="96"/>
      <c r="S593" s="96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6"/>
      <c r="B594" s="13"/>
      <c r="C594" s="16"/>
      <c r="D594" s="16"/>
      <c r="E594" s="16"/>
      <c r="F594" s="16"/>
      <c r="G594" s="16"/>
      <c r="H594" s="16"/>
      <c r="I594" s="125"/>
      <c r="J594" s="16"/>
      <c r="K594" s="13"/>
      <c r="L594" s="13"/>
      <c r="M594" s="13"/>
      <c r="N594" s="16"/>
      <c r="O594" s="16"/>
      <c r="P594" s="16"/>
      <c r="Q594" s="16"/>
      <c r="R594" s="96"/>
      <c r="S594" s="96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6"/>
      <c r="B595" s="13"/>
      <c r="C595" s="16"/>
      <c r="D595" s="16"/>
      <c r="E595" s="16"/>
      <c r="F595" s="16"/>
      <c r="G595" s="16"/>
      <c r="H595" s="16"/>
      <c r="I595" s="125"/>
      <c r="J595" s="16"/>
      <c r="K595" s="13"/>
      <c r="L595" s="13"/>
      <c r="M595" s="13"/>
      <c r="N595" s="16"/>
      <c r="O595" s="16"/>
      <c r="P595" s="16"/>
      <c r="Q595" s="16"/>
      <c r="R595" s="96"/>
      <c r="S595" s="96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6"/>
      <c r="B596" s="13"/>
      <c r="C596" s="16"/>
      <c r="D596" s="16"/>
      <c r="E596" s="16"/>
      <c r="F596" s="16"/>
      <c r="G596" s="16"/>
      <c r="H596" s="16"/>
      <c r="I596" s="125"/>
      <c r="J596" s="16"/>
      <c r="K596" s="13"/>
      <c r="L596" s="13"/>
      <c r="M596" s="13"/>
      <c r="N596" s="16"/>
      <c r="O596" s="16"/>
      <c r="P596" s="16"/>
      <c r="Q596" s="16"/>
      <c r="R596" s="96"/>
      <c r="S596" s="96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6"/>
      <c r="B597" s="13"/>
      <c r="C597" s="16"/>
      <c r="D597" s="16"/>
      <c r="E597" s="16"/>
      <c r="F597" s="16"/>
      <c r="G597" s="16"/>
      <c r="H597" s="16"/>
      <c r="I597" s="125"/>
      <c r="J597" s="16"/>
      <c r="K597" s="13"/>
      <c r="L597" s="13"/>
      <c r="M597" s="13"/>
      <c r="N597" s="16"/>
      <c r="O597" s="16"/>
      <c r="P597" s="16"/>
      <c r="Q597" s="16"/>
      <c r="R597" s="96"/>
      <c r="S597" s="96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6"/>
      <c r="B598" s="13"/>
      <c r="C598" s="16"/>
      <c r="D598" s="16"/>
      <c r="E598" s="16"/>
      <c r="F598" s="16"/>
      <c r="G598" s="16"/>
      <c r="H598" s="16"/>
      <c r="I598" s="125"/>
      <c r="J598" s="16"/>
      <c r="K598" s="13"/>
      <c r="L598" s="13"/>
      <c r="M598" s="13"/>
      <c r="N598" s="16"/>
      <c r="O598" s="16"/>
      <c r="P598" s="16"/>
      <c r="Q598" s="16"/>
      <c r="R598" s="96"/>
      <c r="S598" s="96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6"/>
      <c r="B599" s="13"/>
      <c r="C599" s="16"/>
      <c r="D599" s="16"/>
      <c r="E599" s="16"/>
      <c r="F599" s="16"/>
      <c r="G599" s="16"/>
      <c r="H599" s="16"/>
      <c r="I599" s="125"/>
      <c r="J599" s="16"/>
      <c r="K599" s="13"/>
      <c r="L599" s="13"/>
      <c r="M599" s="13"/>
      <c r="N599" s="16"/>
      <c r="O599" s="16"/>
      <c r="P599" s="16"/>
      <c r="Q599" s="16"/>
      <c r="R599" s="96"/>
      <c r="S599" s="96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6"/>
      <c r="B600" s="13"/>
      <c r="C600" s="16"/>
      <c r="D600" s="16"/>
      <c r="E600" s="16"/>
      <c r="F600" s="16"/>
      <c r="G600" s="16"/>
      <c r="H600" s="16"/>
      <c r="I600" s="125"/>
      <c r="J600" s="16"/>
      <c r="K600" s="13"/>
      <c r="L600" s="13"/>
      <c r="M600" s="13"/>
      <c r="N600" s="16"/>
      <c r="O600" s="16"/>
      <c r="P600" s="16"/>
      <c r="Q600" s="16"/>
      <c r="R600" s="96"/>
      <c r="S600" s="96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6"/>
      <c r="B601" s="13"/>
      <c r="C601" s="16"/>
      <c r="D601" s="16"/>
      <c r="E601" s="16"/>
      <c r="F601" s="16"/>
      <c r="G601" s="16"/>
      <c r="H601" s="16"/>
      <c r="I601" s="125"/>
      <c r="J601" s="16"/>
      <c r="K601" s="13"/>
      <c r="L601" s="13"/>
      <c r="M601" s="13"/>
      <c r="N601" s="16"/>
      <c r="O601" s="16"/>
      <c r="P601" s="16"/>
      <c r="Q601" s="16"/>
      <c r="R601" s="96"/>
      <c r="S601" s="96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6"/>
      <c r="B602" s="13"/>
      <c r="C602" s="16"/>
      <c r="D602" s="16"/>
      <c r="E602" s="16"/>
      <c r="F602" s="16"/>
      <c r="G602" s="16"/>
      <c r="H602" s="16"/>
      <c r="I602" s="125"/>
      <c r="J602" s="16"/>
      <c r="K602" s="13"/>
      <c r="L602" s="13"/>
      <c r="M602" s="13"/>
      <c r="N602" s="16"/>
      <c r="O602" s="16"/>
      <c r="P602" s="16"/>
      <c r="Q602" s="16"/>
      <c r="R602" s="96"/>
      <c r="S602" s="96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6"/>
      <c r="B603" s="13"/>
      <c r="C603" s="16"/>
      <c r="D603" s="16"/>
      <c r="E603" s="16"/>
      <c r="F603" s="16"/>
      <c r="G603" s="16"/>
      <c r="H603" s="16"/>
      <c r="I603" s="125"/>
      <c r="J603" s="16"/>
      <c r="K603" s="13"/>
      <c r="L603" s="13"/>
      <c r="M603" s="13"/>
      <c r="N603" s="16"/>
      <c r="O603" s="16"/>
      <c r="P603" s="16"/>
      <c r="Q603" s="16"/>
      <c r="R603" s="96"/>
      <c r="S603" s="96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6"/>
      <c r="B604" s="13"/>
      <c r="C604" s="16"/>
      <c r="D604" s="16"/>
      <c r="E604" s="16"/>
      <c r="F604" s="16"/>
      <c r="G604" s="16"/>
      <c r="H604" s="16"/>
      <c r="I604" s="125"/>
      <c r="J604" s="16"/>
      <c r="K604" s="13"/>
      <c r="L604" s="13"/>
      <c r="M604" s="13"/>
      <c r="N604" s="16"/>
      <c r="O604" s="16"/>
      <c r="P604" s="16"/>
      <c r="Q604" s="16"/>
      <c r="R604" s="96"/>
      <c r="S604" s="96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6"/>
      <c r="B605" s="13"/>
      <c r="C605" s="16"/>
      <c r="D605" s="16"/>
      <c r="E605" s="16"/>
      <c r="F605" s="16"/>
      <c r="G605" s="16"/>
      <c r="H605" s="16"/>
      <c r="I605" s="125"/>
      <c r="J605" s="16"/>
      <c r="K605" s="13"/>
      <c r="L605" s="13"/>
      <c r="M605" s="13"/>
      <c r="N605" s="16"/>
      <c r="O605" s="16"/>
      <c r="P605" s="16"/>
      <c r="Q605" s="16"/>
      <c r="R605" s="96"/>
      <c r="S605" s="96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6"/>
      <c r="B606" s="13"/>
      <c r="C606" s="16"/>
      <c r="D606" s="16"/>
      <c r="E606" s="16"/>
      <c r="F606" s="16"/>
      <c r="G606" s="16"/>
      <c r="H606" s="16"/>
      <c r="I606" s="125"/>
      <c r="J606" s="16"/>
      <c r="K606" s="13"/>
      <c r="L606" s="13"/>
      <c r="M606" s="13"/>
      <c r="N606" s="16"/>
      <c r="O606" s="16"/>
      <c r="P606" s="16"/>
      <c r="Q606" s="16"/>
      <c r="R606" s="96"/>
      <c r="S606" s="96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6"/>
      <c r="B607" s="13"/>
      <c r="C607" s="16"/>
      <c r="D607" s="16"/>
      <c r="E607" s="16"/>
      <c r="F607" s="16"/>
      <c r="G607" s="16"/>
      <c r="H607" s="16"/>
      <c r="I607" s="125"/>
      <c r="J607" s="16"/>
      <c r="K607" s="13"/>
      <c r="L607" s="13"/>
      <c r="M607" s="13"/>
      <c r="N607" s="16"/>
      <c r="O607" s="16"/>
      <c r="P607" s="16"/>
      <c r="Q607" s="16"/>
      <c r="R607" s="96"/>
      <c r="S607" s="96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6"/>
      <c r="B608" s="13"/>
      <c r="C608" s="16"/>
      <c r="D608" s="16"/>
      <c r="E608" s="16"/>
      <c r="F608" s="16"/>
      <c r="G608" s="16"/>
      <c r="H608" s="16"/>
      <c r="I608" s="125"/>
      <c r="J608" s="16"/>
      <c r="K608" s="13"/>
      <c r="L608" s="13"/>
      <c r="M608" s="13"/>
      <c r="N608" s="16"/>
      <c r="O608" s="16"/>
      <c r="P608" s="16"/>
      <c r="Q608" s="16"/>
      <c r="R608" s="96"/>
      <c r="S608" s="96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6"/>
      <c r="B609" s="13"/>
      <c r="C609" s="16"/>
      <c r="D609" s="16"/>
      <c r="E609" s="16"/>
      <c r="F609" s="16"/>
      <c r="G609" s="16"/>
      <c r="H609" s="16"/>
      <c r="I609" s="125"/>
      <c r="J609" s="16"/>
      <c r="K609" s="13"/>
      <c r="L609" s="13"/>
      <c r="M609" s="13"/>
      <c r="N609" s="16"/>
      <c r="O609" s="16"/>
      <c r="P609" s="16"/>
      <c r="Q609" s="16"/>
      <c r="R609" s="96"/>
      <c r="S609" s="96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6"/>
      <c r="B610" s="13"/>
      <c r="C610" s="16"/>
      <c r="D610" s="16"/>
      <c r="E610" s="16"/>
      <c r="F610" s="16"/>
      <c r="G610" s="16"/>
      <c r="H610" s="16"/>
      <c r="I610" s="125"/>
      <c r="J610" s="16"/>
      <c r="K610" s="13"/>
      <c r="L610" s="13"/>
      <c r="M610" s="13"/>
      <c r="N610" s="16"/>
      <c r="O610" s="16"/>
      <c r="P610" s="16"/>
      <c r="Q610" s="16"/>
      <c r="R610" s="96"/>
      <c r="S610" s="96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6"/>
      <c r="B611" s="13"/>
      <c r="C611" s="16"/>
      <c r="D611" s="16"/>
      <c r="E611" s="16"/>
      <c r="F611" s="16"/>
      <c r="G611" s="16"/>
      <c r="H611" s="16"/>
      <c r="I611" s="125"/>
      <c r="J611" s="16"/>
      <c r="K611" s="13"/>
      <c r="L611" s="13"/>
      <c r="M611" s="13"/>
      <c r="N611" s="16"/>
      <c r="O611" s="16"/>
      <c r="P611" s="16"/>
      <c r="Q611" s="16"/>
      <c r="R611" s="96"/>
      <c r="S611" s="96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6"/>
      <c r="B612" s="13"/>
      <c r="C612" s="16"/>
      <c r="D612" s="16"/>
      <c r="E612" s="16"/>
      <c r="F612" s="16"/>
      <c r="G612" s="16"/>
      <c r="H612" s="16"/>
      <c r="I612" s="125"/>
      <c r="J612" s="16"/>
      <c r="K612" s="13"/>
      <c r="L612" s="13"/>
      <c r="M612" s="13"/>
      <c r="N612" s="16"/>
      <c r="O612" s="16"/>
      <c r="P612" s="16"/>
      <c r="Q612" s="16"/>
      <c r="R612" s="96"/>
      <c r="S612" s="96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6"/>
      <c r="B613" s="13"/>
      <c r="C613" s="16"/>
      <c r="D613" s="16"/>
      <c r="E613" s="16"/>
      <c r="F613" s="16"/>
      <c r="G613" s="16"/>
      <c r="H613" s="16"/>
      <c r="I613" s="125"/>
      <c r="J613" s="16"/>
      <c r="K613" s="13"/>
      <c r="L613" s="13"/>
      <c r="M613" s="13"/>
      <c r="N613" s="16"/>
      <c r="O613" s="16"/>
      <c r="P613" s="16"/>
      <c r="Q613" s="16"/>
      <c r="R613" s="96"/>
      <c r="S613" s="96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6"/>
      <c r="B614" s="13"/>
      <c r="C614" s="16"/>
      <c r="D614" s="16"/>
      <c r="E614" s="16"/>
      <c r="F614" s="16"/>
      <c r="G614" s="16"/>
      <c r="H614" s="16"/>
      <c r="I614" s="125"/>
      <c r="J614" s="16"/>
      <c r="K614" s="13"/>
      <c r="L614" s="13"/>
      <c r="M614" s="13"/>
      <c r="N614" s="16"/>
      <c r="O614" s="16"/>
      <c r="P614" s="16"/>
      <c r="Q614" s="16"/>
      <c r="R614" s="96"/>
      <c r="S614" s="96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6"/>
      <c r="B615" s="13"/>
      <c r="C615" s="16"/>
      <c r="D615" s="16"/>
      <c r="E615" s="16"/>
      <c r="F615" s="16"/>
      <c r="G615" s="16"/>
      <c r="H615" s="16"/>
      <c r="I615" s="125"/>
      <c r="J615" s="16"/>
      <c r="K615" s="13"/>
      <c r="L615" s="13"/>
      <c r="M615" s="13"/>
      <c r="N615" s="16"/>
      <c r="O615" s="16"/>
      <c r="P615" s="16"/>
      <c r="Q615" s="16"/>
      <c r="R615" s="96"/>
      <c r="S615" s="96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6"/>
      <c r="B616" s="13"/>
      <c r="C616" s="16"/>
      <c r="D616" s="16"/>
      <c r="E616" s="16"/>
      <c r="F616" s="16"/>
      <c r="G616" s="16"/>
      <c r="H616" s="16"/>
      <c r="I616" s="125"/>
      <c r="J616" s="16"/>
      <c r="K616" s="13"/>
      <c r="L616" s="13"/>
      <c r="M616" s="13"/>
      <c r="N616" s="16"/>
      <c r="O616" s="16"/>
      <c r="P616" s="16"/>
      <c r="Q616" s="16"/>
      <c r="R616" s="96"/>
      <c r="S616" s="96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6"/>
      <c r="B617" s="13"/>
      <c r="C617" s="16"/>
      <c r="D617" s="16"/>
      <c r="E617" s="16"/>
      <c r="F617" s="16"/>
      <c r="G617" s="16"/>
      <c r="H617" s="16"/>
      <c r="I617" s="125"/>
      <c r="J617" s="16"/>
      <c r="K617" s="13"/>
      <c r="L617" s="13"/>
      <c r="M617" s="13"/>
      <c r="N617" s="16"/>
      <c r="O617" s="16"/>
      <c r="P617" s="16"/>
      <c r="Q617" s="16"/>
      <c r="R617" s="96"/>
      <c r="S617" s="96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6"/>
      <c r="B618" s="13"/>
      <c r="C618" s="16"/>
      <c r="D618" s="16"/>
      <c r="E618" s="16"/>
      <c r="F618" s="16"/>
      <c r="G618" s="16"/>
      <c r="H618" s="16"/>
      <c r="I618" s="125"/>
      <c r="J618" s="16"/>
      <c r="K618" s="13"/>
      <c r="L618" s="13"/>
      <c r="M618" s="13"/>
      <c r="N618" s="16"/>
      <c r="O618" s="16"/>
      <c r="P618" s="16"/>
      <c r="Q618" s="16"/>
      <c r="R618" s="96"/>
      <c r="S618" s="96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6"/>
      <c r="B619" s="13"/>
      <c r="C619" s="16"/>
      <c r="D619" s="16"/>
      <c r="E619" s="16"/>
      <c r="F619" s="16"/>
      <c r="G619" s="16"/>
      <c r="H619" s="16"/>
      <c r="I619" s="125"/>
      <c r="J619" s="16"/>
      <c r="K619" s="13"/>
      <c r="L619" s="13"/>
      <c r="M619" s="13"/>
      <c r="N619" s="16"/>
      <c r="O619" s="16"/>
      <c r="P619" s="16"/>
      <c r="Q619" s="16"/>
      <c r="R619" s="96"/>
      <c r="S619" s="96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6"/>
      <c r="B620" s="13"/>
      <c r="C620" s="16"/>
      <c r="D620" s="16"/>
      <c r="E620" s="16"/>
      <c r="F620" s="16"/>
      <c r="G620" s="16"/>
      <c r="H620" s="16"/>
      <c r="I620" s="125"/>
      <c r="J620" s="16"/>
      <c r="K620" s="13"/>
      <c r="L620" s="13"/>
      <c r="M620" s="13"/>
      <c r="N620" s="16"/>
      <c r="O620" s="16"/>
      <c r="P620" s="16"/>
      <c r="Q620" s="16"/>
      <c r="R620" s="96"/>
      <c r="S620" s="96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6"/>
      <c r="B621" s="13"/>
      <c r="C621" s="16"/>
      <c r="D621" s="16"/>
      <c r="E621" s="16"/>
      <c r="F621" s="16"/>
      <c r="G621" s="16"/>
      <c r="H621" s="16"/>
      <c r="I621" s="125"/>
      <c r="J621" s="16"/>
      <c r="K621" s="13"/>
      <c r="L621" s="13"/>
      <c r="M621" s="13"/>
      <c r="N621" s="16"/>
      <c r="O621" s="16"/>
      <c r="P621" s="16"/>
      <c r="Q621" s="16"/>
      <c r="R621" s="96"/>
      <c r="S621" s="96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6"/>
      <c r="B622" s="13"/>
      <c r="C622" s="16"/>
      <c r="D622" s="16"/>
      <c r="E622" s="16"/>
      <c r="F622" s="16"/>
      <c r="G622" s="16"/>
      <c r="H622" s="16"/>
      <c r="I622" s="125"/>
      <c r="J622" s="16"/>
      <c r="K622" s="13"/>
      <c r="L622" s="13"/>
      <c r="M622" s="13"/>
      <c r="N622" s="16"/>
      <c r="O622" s="16"/>
      <c r="P622" s="16"/>
      <c r="Q622" s="16"/>
      <c r="R622" s="96"/>
      <c r="S622" s="96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6"/>
      <c r="B623" s="13"/>
      <c r="C623" s="16"/>
      <c r="D623" s="16"/>
      <c r="E623" s="16"/>
      <c r="F623" s="16"/>
      <c r="G623" s="16"/>
      <c r="H623" s="16"/>
      <c r="I623" s="125"/>
      <c r="J623" s="16"/>
      <c r="K623" s="13"/>
      <c r="L623" s="13"/>
      <c r="M623" s="13"/>
      <c r="N623" s="16"/>
      <c r="O623" s="16"/>
      <c r="P623" s="16"/>
      <c r="Q623" s="16"/>
      <c r="R623" s="96"/>
      <c r="S623" s="96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6"/>
      <c r="B624" s="13"/>
      <c r="C624" s="16"/>
      <c r="D624" s="16"/>
      <c r="E624" s="16"/>
      <c r="F624" s="16"/>
      <c r="G624" s="16"/>
      <c r="H624" s="16"/>
      <c r="I624" s="125"/>
      <c r="J624" s="16"/>
      <c r="K624" s="13"/>
      <c r="L624" s="13"/>
      <c r="M624" s="13"/>
      <c r="N624" s="16"/>
      <c r="O624" s="16"/>
      <c r="P624" s="16"/>
      <c r="Q624" s="16"/>
      <c r="R624" s="96"/>
      <c r="S624" s="96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6"/>
      <c r="B625" s="13"/>
      <c r="C625" s="16"/>
      <c r="D625" s="16"/>
      <c r="E625" s="16"/>
      <c r="F625" s="16"/>
      <c r="G625" s="16"/>
      <c r="H625" s="16"/>
      <c r="I625" s="125"/>
      <c r="J625" s="16"/>
      <c r="K625" s="13"/>
      <c r="L625" s="13"/>
      <c r="M625" s="13"/>
      <c r="N625" s="16"/>
      <c r="O625" s="16"/>
      <c r="P625" s="16"/>
      <c r="Q625" s="16"/>
      <c r="R625" s="96"/>
      <c r="S625" s="96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6"/>
      <c r="B626" s="13"/>
      <c r="C626" s="16"/>
      <c r="D626" s="16"/>
      <c r="E626" s="16"/>
      <c r="F626" s="16"/>
      <c r="G626" s="16"/>
      <c r="H626" s="16"/>
      <c r="I626" s="125"/>
      <c r="J626" s="16"/>
      <c r="K626" s="13"/>
      <c r="L626" s="13"/>
      <c r="M626" s="13"/>
      <c r="N626" s="16"/>
      <c r="O626" s="16"/>
      <c r="P626" s="16"/>
      <c r="Q626" s="16"/>
      <c r="R626" s="96"/>
      <c r="S626" s="96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6"/>
      <c r="B627" s="13"/>
      <c r="C627" s="16"/>
      <c r="D627" s="16"/>
      <c r="E627" s="16"/>
      <c r="F627" s="16"/>
      <c r="G627" s="16"/>
      <c r="H627" s="16"/>
      <c r="I627" s="125"/>
      <c r="J627" s="16"/>
      <c r="K627" s="13"/>
      <c r="L627" s="13"/>
      <c r="M627" s="13"/>
      <c r="N627" s="16"/>
      <c r="O627" s="16"/>
      <c r="P627" s="16"/>
      <c r="Q627" s="16"/>
      <c r="R627" s="96"/>
      <c r="S627" s="96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6"/>
      <c r="B628" s="13"/>
      <c r="C628" s="16"/>
      <c r="D628" s="16"/>
      <c r="E628" s="16"/>
      <c r="F628" s="16"/>
      <c r="G628" s="16"/>
      <c r="H628" s="16"/>
      <c r="I628" s="125"/>
      <c r="J628" s="16"/>
      <c r="K628" s="13"/>
      <c r="L628" s="13"/>
      <c r="M628" s="13"/>
      <c r="N628" s="16"/>
      <c r="O628" s="16"/>
      <c r="P628" s="16"/>
      <c r="Q628" s="16"/>
      <c r="R628" s="96"/>
      <c r="S628" s="96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6"/>
      <c r="B629" s="13"/>
      <c r="C629" s="16"/>
      <c r="D629" s="16"/>
      <c r="E629" s="16"/>
      <c r="F629" s="16"/>
      <c r="G629" s="16"/>
      <c r="H629" s="16"/>
      <c r="I629" s="125"/>
      <c r="J629" s="16"/>
      <c r="K629" s="13"/>
      <c r="L629" s="13"/>
      <c r="M629" s="13"/>
      <c r="N629" s="16"/>
      <c r="O629" s="16"/>
      <c r="P629" s="16"/>
      <c r="Q629" s="16"/>
      <c r="R629" s="96"/>
      <c r="S629" s="96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6"/>
      <c r="B630" s="13"/>
      <c r="C630" s="16"/>
      <c r="D630" s="16"/>
      <c r="E630" s="16"/>
      <c r="F630" s="16"/>
      <c r="G630" s="16"/>
      <c r="H630" s="16"/>
      <c r="I630" s="125"/>
      <c r="J630" s="16"/>
      <c r="K630" s="13"/>
      <c r="L630" s="13"/>
      <c r="M630" s="13"/>
      <c r="N630" s="16"/>
      <c r="O630" s="16"/>
      <c r="P630" s="16"/>
      <c r="Q630" s="16"/>
      <c r="R630" s="96"/>
      <c r="S630" s="96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6"/>
      <c r="B631" s="13"/>
      <c r="C631" s="16"/>
      <c r="D631" s="16"/>
      <c r="E631" s="16"/>
      <c r="F631" s="16"/>
      <c r="G631" s="16"/>
      <c r="H631" s="16"/>
      <c r="I631" s="125"/>
      <c r="J631" s="16"/>
      <c r="K631" s="13"/>
      <c r="L631" s="13"/>
      <c r="M631" s="13"/>
      <c r="N631" s="16"/>
      <c r="O631" s="16"/>
      <c r="P631" s="16"/>
      <c r="Q631" s="16"/>
      <c r="R631" s="96"/>
      <c r="S631" s="96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6"/>
      <c r="B632" s="13"/>
      <c r="C632" s="16"/>
      <c r="D632" s="16"/>
      <c r="E632" s="16"/>
      <c r="F632" s="16"/>
      <c r="G632" s="16"/>
      <c r="H632" s="16"/>
      <c r="I632" s="125"/>
      <c r="J632" s="16"/>
      <c r="K632" s="13"/>
      <c r="L632" s="13"/>
      <c r="M632" s="13"/>
      <c r="N632" s="16"/>
      <c r="O632" s="16"/>
      <c r="P632" s="16"/>
      <c r="Q632" s="16"/>
      <c r="R632" s="96"/>
      <c r="S632" s="96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6"/>
      <c r="B633" s="13"/>
      <c r="C633" s="16"/>
      <c r="D633" s="16"/>
      <c r="E633" s="16"/>
      <c r="F633" s="16"/>
      <c r="G633" s="16"/>
      <c r="H633" s="16"/>
      <c r="I633" s="125"/>
      <c r="J633" s="16"/>
      <c r="K633" s="13"/>
      <c r="L633" s="13"/>
      <c r="M633" s="13"/>
      <c r="N633" s="16"/>
      <c r="O633" s="16"/>
      <c r="P633" s="16"/>
      <c r="Q633" s="16"/>
      <c r="R633" s="96"/>
      <c r="S633" s="96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6"/>
      <c r="B634" s="13"/>
      <c r="C634" s="16"/>
      <c r="D634" s="16"/>
      <c r="E634" s="16"/>
      <c r="F634" s="16"/>
      <c r="G634" s="16"/>
      <c r="H634" s="16"/>
      <c r="I634" s="125"/>
      <c r="J634" s="16"/>
      <c r="K634" s="13"/>
      <c r="L634" s="13"/>
      <c r="M634" s="13"/>
      <c r="N634" s="16"/>
      <c r="O634" s="16"/>
      <c r="P634" s="16"/>
      <c r="Q634" s="16"/>
      <c r="R634" s="96"/>
      <c r="S634" s="96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6"/>
      <c r="B635" s="13"/>
      <c r="C635" s="16"/>
      <c r="D635" s="16"/>
      <c r="E635" s="16"/>
      <c r="F635" s="16"/>
      <c r="G635" s="16"/>
      <c r="H635" s="16"/>
      <c r="I635" s="125"/>
      <c r="J635" s="16"/>
      <c r="K635" s="13"/>
      <c r="L635" s="13"/>
      <c r="M635" s="13"/>
      <c r="N635" s="16"/>
      <c r="O635" s="16"/>
      <c r="P635" s="16"/>
      <c r="Q635" s="16"/>
      <c r="R635" s="96"/>
      <c r="S635" s="96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6"/>
      <c r="B636" s="13"/>
      <c r="C636" s="16"/>
      <c r="D636" s="16"/>
      <c r="E636" s="16"/>
      <c r="F636" s="16"/>
      <c r="G636" s="16"/>
      <c r="H636" s="16"/>
      <c r="I636" s="125"/>
      <c r="J636" s="16"/>
      <c r="K636" s="13"/>
      <c r="L636" s="13"/>
      <c r="M636" s="13"/>
      <c r="N636" s="16"/>
      <c r="O636" s="16"/>
      <c r="P636" s="16"/>
      <c r="Q636" s="16"/>
      <c r="R636" s="96"/>
      <c r="S636" s="96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6"/>
      <c r="B637" s="13"/>
      <c r="C637" s="16"/>
      <c r="D637" s="16"/>
      <c r="E637" s="16"/>
      <c r="F637" s="16"/>
      <c r="G637" s="16"/>
      <c r="H637" s="16"/>
      <c r="I637" s="125"/>
      <c r="J637" s="16"/>
      <c r="K637" s="13"/>
      <c r="L637" s="13"/>
      <c r="M637" s="13"/>
      <c r="N637" s="16"/>
      <c r="O637" s="16"/>
      <c r="P637" s="16"/>
      <c r="Q637" s="16"/>
      <c r="R637" s="96"/>
      <c r="S637" s="96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6"/>
      <c r="B638" s="13"/>
      <c r="C638" s="16"/>
      <c r="D638" s="16"/>
      <c r="E638" s="16"/>
      <c r="F638" s="16"/>
      <c r="G638" s="16"/>
      <c r="H638" s="16"/>
      <c r="I638" s="125"/>
      <c r="J638" s="16"/>
      <c r="K638" s="13"/>
      <c r="L638" s="13"/>
      <c r="M638" s="13"/>
      <c r="N638" s="16"/>
      <c r="O638" s="16"/>
      <c r="P638" s="16"/>
      <c r="Q638" s="16"/>
      <c r="R638" s="96"/>
      <c r="S638" s="96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6"/>
      <c r="B639" s="13"/>
      <c r="C639" s="16"/>
      <c r="D639" s="16"/>
      <c r="E639" s="16"/>
      <c r="F639" s="16"/>
      <c r="G639" s="16"/>
      <c r="H639" s="16"/>
      <c r="I639" s="125"/>
      <c r="J639" s="16"/>
      <c r="K639" s="13"/>
      <c r="L639" s="13"/>
      <c r="M639" s="13"/>
      <c r="N639" s="16"/>
      <c r="O639" s="16"/>
      <c r="P639" s="16"/>
      <c r="Q639" s="16"/>
      <c r="R639" s="96"/>
      <c r="S639" s="96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6"/>
      <c r="B640" s="13"/>
      <c r="C640" s="16"/>
      <c r="D640" s="16"/>
      <c r="E640" s="16"/>
      <c r="F640" s="16"/>
      <c r="G640" s="16"/>
      <c r="H640" s="16"/>
      <c r="I640" s="125"/>
      <c r="J640" s="16"/>
      <c r="K640" s="13"/>
      <c r="L640" s="13"/>
      <c r="M640" s="13"/>
      <c r="N640" s="16"/>
      <c r="O640" s="16"/>
      <c r="P640" s="16"/>
      <c r="Q640" s="16"/>
      <c r="R640" s="96"/>
      <c r="S640" s="96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6"/>
      <c r="B641" s="13"/>
      <c r="C641" s="16"/>
      <c r="D641" s="16"/>
      <c r="E641" s="16"/>
      <c r="F641" s="16"/>
      <c r="G641" s="16"/>
      <c r="H641" s="16"/>
      <c r="I641" s="125"/>
      <c r="J641" s="16"/>
      <c r="K641" s="13"/>
      <c r="L641" s="13"/>
      <c r="M641" s="13"/>
      <c r="N641" s="16"/>
      <c r="O641" s="16"/>
      <c r="P641" s="16"/>
      <c r="Q641" s="16"/>
      <c r="R641" s="96"/>
      <c r="S641" s="96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6"/>
      <c r="B642" s="13"/>
      <c r="C642" s="16"/>
      <c r="D642" s="16"/>
      <c r="E642" s="16"/>
      <c r="F642" s="16"/>
      <c r="G642" s="16"/>
      <c r="H642" s="16"/>
      <c r="I642" s="125"/>
      <c r="J642" s="16"/>
      <c r="K642" s="13"/>
      <c r="L642" s="13"/>
      <c r="M642" s="13"/>
      <c r="N642" s="16"/>
      <c r="O642" s="16"/>
      <c r="P642" s="16"/>
      <c r="Q642" s="16"/>
      <c r="R642" s="96"/>
      <c r="S642" s="96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6"/>
      <c r="B643" s="13"/>
      <c r="C643" s="16"/>
      <c r="D643" s="16"/>
      <c r="E643" s="16"/>
      <c r="F643" s="16"/>
      <c r="G643" s="16"/>
      <c r="H643" s="16"/>
      <c r="I643" s="125"/>
      <c r="J643" s="16"/>
      <c r="K643" s="13"/>
      <c r="L643" s="13"/>
      <c r="M643" s="13"/>
      <c r="N643" s="16"/>
      <c r="O643" s="16"/>
      <c r="P643" s="16"/>
      <c r="Q643" s="16"/>
      <c r="R643" s="96"/>
      <c r="S643" s="96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6"/>
      <c r="B644" s="13"/>
      <c r="C644" s="16"/>
      <c r="D644" s="16"/>
      <c r="E644" s="16"/>
      <c r="F644" s="16"/>
      <c r="G644" s="16"/>
      <c r="H644" s="16"/>
      <c r="I644" s="125"/>
      <c r="J644" s="16"/>
      <c r="K644" s="13"/>
      <c r="L644" s="13"/>
      <c r="M644" s="13"/>
      <c r="N644" s="16"/>
      <c r="O644" s="16"/>
      <c r="P644" s="16"/>
      <c r="Q644" s="16"/>
      <c r="R644" s="96"/>
      <c r="S644" s="96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6"/>
      <c r="B645" s="13"/>
      <c r="C645" s="16"/>
      <c r="D645" s="16"/>
      <c r="E645" s="16"/>
      <c r="F645" s="16"/>
      <c r="G645" s="16"/>
      <c r="H645" s="16"/>
      <c r="I645" s="125"/>
      <c r="J645" s="16"/>
      <c r="K645" s="13"/>
      <c r="L645" s="13"/>
      <c r="M645" s="13"/>
      <c r="N645" s="16"/>
      <c r="O645" s="16"/>
      <c r="P645" s="16"/>
      <c r="Q645" s="16"/>
      <c r="R645" s="96"/>
      <c r="S645" s="96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6"/>
      <c r="B646" s="13"/>
      <c r="C646" s="16"/>
      <c r="D646" s="16"/>
      <c r="E646" s="16"/>
      <c r="F646" s="16"/>
      <c r="G646" s="16"/>
      <c r="H646" s="16"/>
      <c r="I646" s="125"/>
      <c r="J646" s="16"/>
      <c r="K646" s="13"/>
      <c r="L646" s="13"/>
      <c r="M646" s="13"/>
      <c r="N646" s="16"/>
      <c r="O646" s="16"/>
      <c r="P646" s="16"/>
      <c r="Q646" s="16"/>
      <c r="R646" s="96"/>
      <c r="S646" s="96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6"/>
      <c r="B647" s="13"/>
      <c r="C647" s="16"/>
      <c r="D647" s="16"/>
      <c r="E647" s="16"/>
      <c r="F647" s="16"/>
      <c r="G647" s="16"/>
      <c r="H647" s="16"/>
      <c r="I647" s="125"/>
      <c r="J647" s="16"/>
      <c r="K647" s="13"/>
      <c r="L647" s="13"/>
      <c r="M647" s="13"/>
      <c r="N647" s="16"/>
      <c r="O647" s="16"/>
      <c r="P647" s="16"/>
      <c r="Q647" s="16"/>
      <c r="R647" s="96"/>
      <c r="S647" s="96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6"/>
      <c r="B648" s="13"/>
      <c r="C648" s="16"/>
      <c r="D648" s="16"/>
      <c r="E648" s="16"/>
      <c r="F648" s="16"/>
      <c r="G648" s="16"/>
      <c r="H648" s="16"/>
      <c r="I648" s="125"/>
      <c r="J648" s="16"/>
      <c r="K648" s="13"/>
      <c r="L648" s="13"/>
      <c r="M648" s="13"/>
      <c r="N648" s="16"/>
      <c r="O648" s="16"/>
      <c r="P648" s="16"/>
      <c r="Q648" s="16"/>
      <c r="R648" s="96"/>
      <c r="S648" s="96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6"/>
      <c r="B649" s="13"/>
      <c r="C649" s="16"/>
      <c r="D649" s="16"/>
      <c r="E649" s="16"/>
      <c r="F649" s="16"/>
      <c r="G649" s="16"/>
      <c r="H649" s="16"/>
      <c r="I649" s="125"/>
      <c r="J649" s="16"/>
      <c r="K649" s="13"/>
      <c r="L649" s="13"/>
      <c r="M649" s="13"/>
      <c r="N649" s="16"/>
      <c r="O649" s="16"/>
      <c r="P649" s="16"/>
      <c r="Q649" s="16"/>
      <c r="R649" s="96"/>
      <c r="S649" s="96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6"/>
      <c r="B650" s="13"/>
      <c r="C650" s="16"/>
      <c r="D650" s="16"/>
      <c r="E650" s="16"/>
      <c r="F650" s="16"/>
      <c r="G650" s="16"/>
      <c r="H650" s="16"/>
      <c r="I650" s="125"/>
      <c r="J650" s="16"/>
      <c r="K650" s="13"/>
      <c r="L650" s="13"/>
      <c r="M650" s="13"/>
      <c r="N650" s="16"/>
      <c r="O650" s="16"/>
      <c r="P650" s="16"/>
      <c r="Q650" s="16"/>
      <c r="R650" s="96"/>
      <c r="S650" s="96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6"/>
      <c r="B651" s="13"/>
      <c r="C651" s="16"/>
      <c r="D651" s="16"/>
      <c r="E651" s="16"/>
      <c r="F651" s="16"/>
      <c r="G651" s="16"/>
      <c r="H651" s="16"/>
      <c r="I651" s="125"/>
      <c r="J651" s="16"/>
      <c r="K651" s="13"/>
      <c r="L651" s="13"/>
      <c r="M651" s="13"/>
      <c r="N651" s="16"/>
      <c r="O651" s="16"/>
      <c r="P651" s="16"/>
      <c r="Q651" s="16"/>
      <c r="R651" s="96"/>
      <c r="S651" s="96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6"/>
      <c r="B652" s="13"/>
      <c r="C652" s="16"/>
      <c r="D652" s="16"/>
      <c r="E652" s="16"/>
      <c r="F652" s="16"/>
      <c r="G652" s="16"/>
      <c r="H652" s="16"/>
      <c r="I652" s="125"/>
      <c r="J652" s="16"/>
      <c r="K652" s="13"/>
      <c r="L652" s="13"/>
      <c r="M652" s="13"/>
      <c r="N652" s="16"/>
      <c r="O652" s="16"/>
      <c r="P652" s="16"/>
      <c r="Q652" s="16"/>
      <c r="R652" s="96"/>
      <c r="S652" s="96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6"/>
      <c r="B653" s="13"/>
      <c r="C653" s="16"/>
      <c r="D653" s="16"/>
      <c r="E653" s="16"/>
      <c r="F653" s="16"/>
      <c r="G653" s="16"/>
      <c r="H653" s="16"/>
      <c r="I653" s="125"/>
      <c r="J653" s="16"/>
      <c r="K653" s="13"/>
      <c r="L653" s="13"/>
      <c r="M653" s="13"/>
      <c r="N653" s="16"/>
      <c r="O653" s="16"/>
      <c r="P653" s="16"/>
      <c r="Q653" s="16"/>
      <c r="R653" s="96"/>
      <c r="S653" s="96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6"/>
      <c r="B654" s="13"/>
      <c r="C654" s="16"/>
      <c r="D654" s="16"/>
      <c r="E654" s="16"/>
      <c r="F654" s="16"/>
      <c r="G654" s="16"/>
      <c r="H654" s="16"/>
      <c r="I654" s="125"/>
      <c r="J654" s="16"/>
      <c r="K654" s="13"/>
      <c r="L654" s="13"/>
      <c r="M654" s="13"/>
      <c r="N654" s="16"/>
      <c r="O654" s="16"/>
      <c r="P654" s="16"/>
      <c r="Q654" s="16"/>
      <c r="R654" s="96"/>
      <c r="S654" s="96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6"/>
      <c r="B655" s="13"/>
      <c r="C655" s="16"/>
      <c r="D655" s="16"/>
      <c r="E655" s="16"/>
      <c r="F655" s="16"/>
      <c r="G655" s="16"/>
      <c r="H655" s="16"/>
      <c r="I655" s="125"/>
      <c r="J655" s="16"/>
      <c r="K655" s="13"/>
      <c r="L655" s="13"/>
      <c r="M655" s="13"/>
      <c r="N655" s="16"/>
      <c r="O655" s="16"/>
      <c r="P655" s="16"/>
      <c r="Q655" s="16"/>
      <c r="R655" s="96"/>
      <c r="S655" s="96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6"/>
      <c r="B656" s="13"/>
      <c r="C656" s="16"/>
      <c r="D656" s="16"/>
      <c r="E656" s="16"/>
      <c r="F656" s="16"/>
      <c r="G656" s="16"/>
      <c r="H656" s="16"/>
      <c r="I656" s="125"/>
      <c r="J656" s="16"/>
      <c r="K656" s="13"/>
      <c r="L656" s="13"/>
      <c r="M656" s="13"/>
      <c r="N656" s="16"/>
      <c r="O656" s="16"/>
      <c r="P656" s="16"/>
      <c r="Q656" s="16"/>
      <c r="R656" s="96"/>
      <c r="S656" s="96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6"/>
      <c r="B657" s="13"/>
      <c r="C657" s="16"/>
      <c r="D657" s="16"/>
      <c r="E657" s="16"/>
      <c r="F657" s="16"/>
      <c r="G657" s="16"/>
      <c r="H657" s="16"/>
      <c r="I657" s="125"/>
      <c r="J657" s="16"/>
      <c r="K657" s="13"/>
      <c r="L657" s="13"/>
      <c r="M657" s="13"/>
      <c r="N657" s="16"/>
      <c r="O657" s="16"/>
      <c r="P657" s="16"/>
      <c r="Q657" s="16"/>
      <c r="R657" s="96"/>
      <c r="S657" s="96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6"/>
      <c r="B658" s="13"/>
      <c r="C658" s="16"/>
      <c r="D658" s="16"/>
      <c r="E658" s="16"/>
      <c r="F658" s="16"/>
      <c r="G658" s="16"/>
      <c r="H658" s="16"/>
      <c r="I658" s="125"/>
      <c r="J658" s="16"/>
      <c r="K658" s="13"/>
      <c r="L658" s="13"/>
      <c r="M658" s="13"/>
      <c r="N658" s="16"/>
      <c r="O658" s="16"/>
      <c r="P658" s="16"/>
      <c r="Q658" s="16"/>
      <c r="R658" s="96"/>
      <c r="S658" s="96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6"/>
      <c r="B659" s="13"/>
      <c r="C659" s="16"/>
      <c r="D659" s="16"/>
      <c r="E659" s="16"/>
      <c r="F659" s="16"/>
      <c r="G659" s="16"/>
      <c r="H659" s="16"/>
      <c r="I659" s="125"/>
      <c r="J659" s="16"/>
      <c r="K659" s="13"/>
      <c r="L659" s="13"/>
      <c r="M659" s="13"/>
      <c r="N659" s="16"/>
      <c r="O659" s="16"/>
      <c r="P659" s="16"/>
      <c r="Q659" s="16"/>
      <c r="R659" s="96"/>
      <c r="S659" s="96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6"/>
      <c r="B660" s="13"/>
      <c r="C660" s="16"/>
      <c r="D660" s="16"/>
      <c r="E660" s="16"/>
      <c r="F660" s="16"/>
      <c r="G660" s="16"/>
      <c r="H660" s="16"/>
      <c r="I660" s="125"/>
      <c r="J660" s="16"/>
      <c r="K660" s="13"/>
      <c r="L660" s="13"/>
      <c r="M660" s="13"/>
      <c r="N660" s="16"/>
      <c r="O660" s="16"/>
      <c r="P660" s="16"/>
      <c r="Q660" s="16"/>
      <c r="R660" s="96"/>
      <c r="S660" s="96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6"/>
      <c r="B661" s="13"/>
      <c r="C661" s="16"/>
      <c r="D661" s="16"/>
      <c r="E661" s="16"/>
      <c r="F661" s="16"/>
      <c r="G661" s="16"/>
      <c r="H661" s="16"/>
      <c r="I661" s="125"/>
      <c r="J661" s="16"/>
      <c r="K661" s="13"/>
      <c r="L661" s="13"/>
      <c r="M661" s="13"/>
      <c r="N661" s="16"/>
      <c r="O661" s="16"/>
      <c r="P661" s="16"/>
      <c r="Q661" s="16"/>
      <c r="R661" s="96"/>
      <c r="S661" s="96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6"/>
      <c r="B662" s="13"/>
      <c r="C662" s="16"/>
      <c r="D662" s="16"/>
      <c r="E662" s="16"/>
      <c r="F662" s="16"/>
      <c r="G662" s="16"/>
      <c r="H662" s="16"/>
      <c r="I662" s="125"/>
      <c r="J662" s="16"/>
      <c r="K662" s="13"/>
      <c r="L662" s="13"/>
      <c r="M662" s="13"/>
      <c r="N662" s="16"/>
      <c r="O662" s="16"/>
      <c r="P662" s="16"/>
      <c r="Q662" s="16"/>
      <c r="R662" s="96"/>
      <c r="S662" s="96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6"/>
      <c r="B663" s="13"/>
      <c r="C663" s="16"/>
      <c r="D663" s="16"/>
      <c r="E663" s="16"/>
      <c r="F663" s="16"/>
      <c r="G663" s="16"/>
      <c r="H663" s="16"/>
      <c r="I663" s="125"/>
      <c r="J663" s="16"/>
      <c r="K663" s="13"/>
      <c r="L663" s="13"/>
      <c r="M663" s="13"/>
      <c r="N663" s="16"/>
      <c r="O663" s="16"/>
      <c r="P663" s="16"/>
      <c r="Q663" s="16"/>
      <c r="R663" s="96"/>
      <c r="S663" s="96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6"/>
      <c r="B664" s="13"/>
      <c r="C664" s="16"/>
      <c r="D664" s="16"/>
      <c r="E664" s="16"/>
      <c r="F664" s="16"/>
      <c r="G664" s="16"/>
      <c r="H664" s="16"/>
      <c r="I664" s="125"/>
      <c r="J664" s="16"/>
      <c r="K664" s="13"/>
      <c r="L664" s="13"/>
      <c r="M664" s="13"/>
      <c r="N664" s="16"/>
      <c r="O664" s="16"/>
      <c r="P664" s="16"/>
      <c r="Q664" s="16"/>
      <c r="R664" s="96"/>
      <c r="S664" s="96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6"/>
      <c r="B665" s="13"/>
      <c r="C665" s="16"/>
      <c r="D665" s="16"/>
      <c r="E665" s="16"/>
      <c r="F665" s="16"/>
      <c r="G665" s="16"/>
      <c r="H665" s="16"/>
      <c r="I665" s="125"/>
      <c r="J665" s="16"/>
      <c r="K665" s="13"/>
      <c r="L665" s="13"/>
      <c r="M665" s="13"/>
      <c r="N665" s="16"/>
      <c r="O665" s="16"/>
      <c r="P665" s="16"/>
      <c r="Q665" s="16"/>
      <c r="R665" s="96"/>
      <c r="S665" s="96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6"/>
      <c r="B666" s="13"/>
      <c r="C666" s="16"/>
      <c r="D666" s="16"/>
      <c r="E666" s="16"/>
      <c r="F666" s="16"/>
      <c r="G666" s="16"/>
      <c r="H666" s="16"/>
      <c r="I666" s="125"/>
      <c r="J666" s="16"/>
      <c r="K666" s="13"/>
      <c r="L666" s="13"/>
      <c r="M666" s="13"/>
      <c r="N666" s="16"/>
      <c r="O666" s="16"/>
      <c r="P666" s="16"/>
      <c r="Q666" s="16"/>
      <c r="R666" s="96"/>
      <c r="S666" s="96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6"/>
      <c r="B667" s="13"/>
      <c r="C667" s="16"/>
      <c r="D667" s="16"/>
      <c r="E667" s="16"/>
      <c r="F667" s="16"/>
      <c r="G667" s="16"/>
      <c r="H667" s="16"/>
      <c r="I667" s="125"/>
      <c r="J667" s="16"/>
      <c r="K667" s="13"/>
      <c r="L667" s="13"/>
      <c r="M667" s="13"/>
      <c r="N667" s="16"/>
      <c r="O667" s="16"/>
      <c r="P667" s="16"/>
      <c r="Q667" s="16"/>
      <c r="R667" s="96"/>
      <c r="S667" s="96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6"/>
      <c r="B668" s="13"/>
      <c r="C668" s="16"/>
      <c r="D668" s="16"/>
      <c r="E668" s="16"/>
      <c r="F668" s="16"/>
      <c r="G668" s="16"/>
      <c r="H668" s="16"/>
      <c r="I668" s="125"/>
      <c r="J668" s="16"/>
      <c r="K668" s="13"/>
      <c r="L668" s="13"/>
      <c r="M668" s="13"/>
      <c r="N668" s="16"/>
      <c r="O668" s="16"/>
      <c r="P668" s="16"/>
      <c r="Q668" s="16"/>
      <c r="R668" s="96"/>
      <c r="S668" s="96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6"/>
      <c r="B669" s="13"/>
      <c r="C669" s="16"/>
      <c r="D669" s="16"/>
      <c r="E669" s="16"/>
      <c r="F669" s="16"/>
      <c r="G669" s="16"/>
      <c r="H669" s="16"/>
      <c r="I669" s="125"/>
      <c r="J669" s="16"/>
      <c r="K669" s="13"/>
      <c r="L669" s="13"/>
      <c r="M669" s="13"/>
      <c r="N669" s="16"/>
      <c r="O669" s="16"/>
      <c r="P669" s="16"/>
      <c r="Q669" s="16"/>
      <c r="R669" s="96"/>
      <c r="S669" s="96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6"/>
      <c r="B670" s="13"/>
      <c r="C670" s="16"/>
      <c r="D670" s="16"/>
      <c r="E670" s="16"/>
      <c r="F670" s="16"/>
      <c r="G670" s="16"/>
      <c r="H670" s="16"/>
      <c r="I670" s="125"/>
      <c r="J670" s="16"/>
      <c r="K670" s="13"/>
      <c r="L670" s="13"/>
      <c r="M670" s="13"/>
      <c r="N670" s="16"/>
      <c r="O670" s="16"/>
      <c r="P670" s="16"/>
      <c r="Q670" s="16"/>
      <c r="R670" s="96"/>
      <c r="S670" s="96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6"/>
      <c r="B671" s="13"/>
      <c r="C671" s="16"/>
      <c r="D671" s="16"/>
      <c r="E671" s="16"/>
      <c r="F671" s="16"/>
      <c r="G671" s="16"/>
      <c r="H671" s="16"/>
      <c r="I671" s="125"/>
      <c r="J671" s="16"/>
      <c r="K671" s="13"/>
      <c r="L671" s="13"/>
      <c r="M671" s="13"/>
      <c r="N671" s="16"/>
      <c r="O671" s="16"/>
      <c r="P671" s="16"/>
      <c r="Q671" s="16"/>
      <c r="R671" s="96"/>
      <c r="S671" s="96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6"/>
      <c r="B672" s="13"/>
      <c r="C672" s="16"/>
      <c r="D672" s="16"/>
      <c r="E672" s="16"/>
      <c r="F672" s="16"/>
      <c r="G672" s="16"/>
      <c r="H672" s="16"/>
      <c r="I672" s="125"/>
      <c r="J672" s="16"/>
      <c r="K672" s="13"/>
      <c r="L672" s="13"/>
      <c r="M672" s="13"/>
      <c r="N672" s="16"/>
      <c r="O672" s="16"/>
      <c r="P672" s="16"/>
      <c r="Q672" s="16"/>
      <c r="R672" s="96"/>
      <c r="S672" s="96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6"/>
      <c r="B673" s="13"/>
      <c r="C673" s="16"/>
      <c r="D673" s="16"/>
      <c r="E673" s="16"/>
      <c r="F673" s="16"/>
      <c r="G673" s="16"/>
      <c r="H673" s="16"/>
      <c r="I673" s="125"/>
      <c r="J673" s="16"/>
      <c r="K673" s="13"/>
      <c r="L673" s="13"/>
      <c r="M673" s="13"/>
      <c r="N673" s="16"/>
      <c r="O673" s="16"/>
      <c r="P673" s="16"/>
      <c r="Q673" s="16"/>
      <c r="R673" s="96"/>
      <c r="S673" s="96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6"/>
      <c r="B674" s="13"/>
      <c r="C674" s="16"/>
      <c r="D674" s="16"/>
      <c r="E674" s="16"/>
      <c r="F674" s="16"/>
      <c r="G674" s="16"/>
      <c r="H674" s="16"/>
      <c r="I674" s="125"/>
      <c r="J674" s="16"/>
      <c r="K674" s="13"/>
      <c r="L674" s="13"/>
      <c r="M674" s="13"/>
      <c r="N674" s="16"/>
      <c r="O674" s="16"/>
      <c r="P674" s="16"/>
      <c r="Q674" s="16"/>
      <c r="R674" s="96"/>
      <c r="S674" s="96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6"/>
      <c r="B675" s="13"/>
      <c r="C675" s="16"/>
      <c r="D675" s="16"/>
      <c r="E675" s="16"/>
      <c r="F675" s="16"/>
      <c r="G675" s="16"/>
      <c r="H675" s="16"/>
      <c r="I675" s="125"/>
      <c r="J675" s="16"/>
      <c r="K675" s="13"/>
      <c r="L675" s="13"/>
      <c r="M675" s="13"/>
      <c r="N675" s="16"/>
      <c r="O675" s="16"/>
      <c r="P675" s="16"/>
      <c r="Q675" s="16"/>
      <c r="R675" s="96"/>
      <c r="S675" s="96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6"/>
      <c r="B676" s="13"/>
      <c r="C676" s="16"/>
      <c r="D676" s="16"/>
      <c r="E676" s="16"/>
      <c r="F676" s="16"/>
      <c r="G676" s="16"/>
      <c r="H676" s="16"/>
      <c r="I676" s="125"/>
      <c r="J676" s="16"/>
      <c r="K676" s="13"/>
      <c r="L676" s="13"/>
      <c r="M676" s="13"/>
      <c r="N676" s="16"/>
      <c r="O676" s="16"/>
      <c r="P676" s="16"/>
      <c r="Q676" s="16"/>
      <c r="R676" s="96"/>
      <c r="S676" s="96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6"/>
      <c r="B677" s="13"/>
      <c r="C677" s="16"/>
      <c r="D677" s="16"/>
      <c r="E677" s="16"/>
      <c r="F677" s="16"/>
      <c r="G677" s="16"/>
      <c r="H677" s="16"/>
      <c r="I677" s="125"/>
      <c r="J677" s="16"/>
      <c r="K677" s="13"/>
      <c r="L677" s="13"/>
      <c r="M677" s="13"/>
      <c r="N677" s="16"/>
      <c r="O677" s="16"/>
      <c r="P677" s="16"/>
      <c r="Q677" s="16"/>
      <c r="R677" s="96"/>
      <c r="S677" s="96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6"/>
      <c r="B678" s="13"/>
      <c r="C678" s="16"/>
      <c r="D678" s="16"/>
      <c r="E678" s="16"/>
      <c r="F678" s="16"/>
      <c r="G678" s="16"/>
      <c r="H678" s="16"/>
      <c r="I678" s="125"/>
      <c r="J678" s="16"/>
      <c r="K678" s="13"/>
      <c r="L678" s="13"/>
      <c r="M678" s="13"/>
      <c r="N678" s="16"/>
      <c r="O678" s="16"/>
      <c r="P678" s="16"/>
      <c r="Q678" s="16"/>
      <c r="R678" s="96"/>
      <c r="S678" s="96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6"/>
      <c r="B679" s="13"/>
      <c r="C679" s="16"/>
      <c r="D679" s="16"/>
      <c r="E679" s="16"/>
      <c r="F679" s="16"/>
      <c r="G679" s="16"/>
      <c r="H679" s="16"/>
      <c r="I679" s="125"/>
      <c r="J679" s="16"/>
      <c r="K679" s="13"/>
      <c r="L679" s="13"/>
      <c r="M679" s="13"/>
      <c r="N679" s="16"/>
      <c r="O679" s="16"/>
      <c r="P679" s="16"/>
      <c r="Q679" s="16"/>
      <c r="R679" s="96"/>
      <c r="S679" s="96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6"/>
      <c r="B680" s="13"/>
      <c r="C680" s="16"/>
      <c r="D680" s="16"/>
      <c r="E680" s="16"/>
      <c r="F680" s="16"/>
      <c r="G680" s="16"/>
      <c r="H680" s="16"/>
      <c r="I680" s="125"/>
      <c r="J680" s="16"/>
      <c r="K680" s="13"/>
      <c r="L680" s="13"/>
      <c r="M680" s="13"/>
      <c r="N680" s="16"/>
      <c r="O680" s="16"/>
      <c r="P680" s="16"/>
      <c r="Q680" s="16"/>
      <c r="R680" s="96"/>
      <c r="S680" s="96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6"/>
      <c r="B681" s="13"/>
      <c r="C681" s="16"/>
      <c r="D681" s="16"/>
      <c r="E681" s="16"/>
      <c r="F681" s="16"/>
      <c r="G681" s="16"/>
      <c r="H681" s="16"/>
      <c r="I681" s="125"/>
      <c r="J681" s="16"/>
      <c r="K681" s="13"/>
      <c r="L681" s="13"/>
      <c r="M681" s="13"/>
      <c r="N681" s="16"/>
      <c r="O681" s="16"/>
      <c r="P681" s="16"/>
      <c r="Q681" s="16"/>
      <c r="R681" s="96"/>
      <c r="S681" s="96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6"/>
      <c r="B682" s="13"/>
      <c r="C682" s="16"/>
      <c r="D682" s="16"/>
      <c r="E682" s="16"/>
      <c r="F682" s="16"/>
      <c r="G682" s="16"/>
      <c r="H682" s="16"/>
      <c r="I682" s="125"/>
      <c r="J682" s="16"/>
      <c r="K682" s="13"/>
      <c r="L682" s="13"/>
      <c r="M682" s="13"/>
      <c r="N682" s="16"/>
      <c r="O682" s="16"/>
      <c r="P682" s="16"/>
      <c r="Q682" s="16"/>
      <c r="R682" s="96"/>
      <c r="S682" s="96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6"/>
      <c r="B683" s="13"/>
      <c r="C683" s="16"/>
      <c r="D683" s="16"/>
      <c r="E683" s="16"/>
      <c r="F683" s="16"/>
      <c r="G683" s="16"/>
      <c r="H683" s="16"/>
      <c r="I683" s="125"/>
      <c r="J683" s="16"/>
      <c r="K683" s="13"/>
      <c r="L683" s="13"/>
      <c r="M683" s="13"/>
      <c r="N683" s="16"/>
      <c r="O683" s="16"/>
      <c r="P683" s="16"/>
      <c r="Q683" s="16"/>
      <c r="R683" s="96"/>
      <c r="S683" s="96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6"/>
      <c r="B684" s="13"/>
      <c r="C684" s="16"/>
      <c r="D684" s="16"/>
      <c r="E684" s="16"/>
      <c r="F684" s="16"/>
      <c r="G684" s="16"/>
      <c r="H684" s="16"/>
      <c r="I684" s="125"/>
      <c r="J684" s="16"/>
      <c r="K684" s="13"/>
      <c r="L684" s="13"/>
      <c r="M684" s="13"/>
      <c r="N684" s="16"/>
      <c r="O684" s="16"/>
      <c r="P684" s="16"/>
      <c r="Q684" s="16"/>
      <c r="R684" s="96"/>
      <c r="S684" s="96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6"/>
      <c r="B685" s="13"/>
      <c r="C685" s="16"/>
      <c r="D685" s="16"/>
      <c r="E685" s="16"/>
      <c r="F685" s="16"/>
      <c r="G685" s="16"/>
      <c r="H685" s="16"/>
      <c r="I685" s="125"/>
      <c r="J685" s="16"/>
      <c r="K685" s="13"/>
      <c r="L685" s="13"/>
      <c r="M685" s="13"/>
      <c r="N685" s="16"/>
      <c r="O685" s="16"/>
      <c r="P685" s="16"/>
      <c r="Q685" s="16"/>
      <c r="R685" s="96"/>
      <c r="S685" s="96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6"/>
      <c r="B686" s="13"/>
      <c r="C686" s="16"/>
      <c r="D686" s="16"/>
      <c r="E686" s="16"/>
      <c r="F686" s="16"/>
      <c r="G686" s="16"/>
      <c r="H686" s="16"/>
      <c r="I686" s="125"/>
      <c r="J686" s="16"/>
      <c r="K686" s="13"/>
      <c r="L686" s="13"/>
      <c r="M686" s="13"/>
      <c r="N686" s="16"/>
      <c r="O686" s="16"/>
      <c r="P686" s="16"/>
      <c r="Q686" s="16"/>
      <c r="R686" s="96"/>
      <c r="S686" s="96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6"/>
      <c r="B687" s="13"/>
      <c r="C687" s="16"/>
      <c r="D687" s="16"/>
      <c r="E687" s="16"/>
      <c r="F687" s="16"/>
      <c r="G687" s="16"/>
      <c r="H687" s="16"/>
      <c r="I687" s="125"/>
      <c r="J687" s="16"/>
      <c r="K687" s="13"/>
      <c r="L687" s="13"/>
      <c r="M687" s="13"/>
      <c r="N687" s="16"/>
      <c r="O687" s="16"/>
      <c r="P687" s="16"/>
      <c r="Q687" s="16"/>
      <c r="R687" s="96"/>
      <c r="S687" s="96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6"/>
      <c r="B688" s="13"/>
      <c r="C688" s="16"/>
      <c r="D688" s="16"/>
      <c r="E688" s="16"/>
      <c r="F688" s="16"/>
      <c r="G688" s="16"/>
      <c r="H688" s="16"/>
      <c r="I688" s="125"/>
      <c r="J688" s="16"/>
      <c r="K688" s="13"/>
      <c r="L688" s="13"/>
      <c r="M688" s="13"/>
      <c r="N688" s="16"/>
      <c r="O688" s="16"/>
      <c r="P688" s="16"/>
      <c r="Q688" s="16"/>
      <c r="R688" s="96"/>
      <c r="S688" s="96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6"/>
      <c r="B689" s="13"/>
      <c r="C689" s="16"/>
      <c r="D689" s="16"/>
      <c r="E689" s="16"/>
      <c r="F689" s="16"/>
      <c r="G689" s="16"/>
      <c r="H689" s="16"/>
      <c r="I689" s="125"/>
      <c r="J689" s="16"/>
      <c r="K689" s="13"/>
      <c r="L689" s="13"/>
      <c r="M689" s="13"/>
      <c r="N689" s="16"/>
      <c r="O689" s="16"/>
      <c r="P689" s="16"/>
      <c r="Q689" s="16"/>
      <c r="R689" s="96"/>
      <c r="S689" s="96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6"/>
      <c r="B690" s="13"/>
      <c r="C690" s="16"/>
      <c r="D690" s="16"/>
      <c r="E690" s="16"/>
      <c r="F690" s="16"/>
      <c r="G690" s="16"/>
      <c r="H690" s="16"/>
      <c r="I690" s="125"/>
      <c r="J690" s="16"/>
      <c r="K690" s="13"/>
      <c r="L690" s="13"/>
      <c r="M690" s="13"/>
      <c r="N690" s="16"/>
      <c r="O690" s="16"/>
      <c r="P690" s="16"/>
      <c r="Q690" s="16"/>
      <c r="R690" s="96"/>
      <c r="S690" s="96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6"/>
      <c r="B691" s="13"/>
      <c r="C691" s="16"/>
      <c r="D691" s="16"/>
      <c r="E691" s="16"/>
      <c r="F691" s="16"/>
      <c r="G691" s="16"/>
      <c r="H691" s="16"/>
      <c r="I691" s="125"/>
      <c r="J691" s="16"/>
      <c r="K691" s="13"/>
      <c r="L691" s="13"/>
      <c r="M691" s="13"/>
      <c r="N691" s="16"/>
      <c r="O691" s="16"/>
      <c r="P691" s="16"/>
      <c r="Q691" s="16"/>
      <c r="R691" s="96"/>
      <c r="S691" s="96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6"/>
      <c r="B692" s="13"/>
      <c r="C692" s="16"/>
      <c r="D692" s="16"/>
      <c r="E692" s="16"/>
      <c r="F692" s="16"/>
      <c r="G692" s="16"/>
      <c r="H692" s="16"/>
      <c r="I692" s="125"/>
      <c r="J692" s="16"/>
      <c r="K692" s="13"/>
      <c r="L692" s="13"/>
      <c r="M692" s="13"/>
      <c r="N692" s="16"/>
      <c r="O692" s="16"/>
      <c r="P692" s="16"/>
      <c r="Q692" s="16"/>
      <c r="R692" s="96"/>
      <c r="S692" s="96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6"/>
      <c r="B693" s="13"/>
      <c r="C693" s="16"/>
      <c r="D693" s="16"/>
      <c r="E693" s="16"/>
      <c r="F693" s="16"/>
      <c r="G693" s="16"/>
      <c r="H693" s="16"/>
      <c r="I693" s="125"/>
      <c r="J693" s="16"/>
      <c r="K693" s="13"/>
      <c r="L693" s="13"/>
      <c r="M693" s="13"/>
      <c r="N693" s="16"/>
      <c r="O693" s="16"/>
      <c r="P693" s="16"/>
      <c r="Q693" s="16"/>
      <c r="R693" s="96"/>
      <c r="S693" s="96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6"/>
      <c r="B694" s="13"/>
      <c r="C694" s="16"/>
      <c r="D694" s="16"/>
      <c r="E694" s="16"/>
      <c r="F694" s="16"/>
      <c r="G694" s="16"/>
      <c r="H694" s="16"/>
      <c r="I694" s="125"/>
      <c r="J694" s="16"/>
      <c r="K694" s="13"/>
      <c r="L694" s="13"/>
      <c r="M694" s="13"/>
      <c r="N694" s="16"/>
      <c r="O694" s="16"/>
      <c r="P694" s="16"/>
      <c r="Q694" s="16"/>
      <c r="R694" s="96"/>
      <c r="S694" s="96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6"/>
      <c r="B695" s="13"/>
      <c r="C695" s="16"/>
      <c r="D695" s="16"/>
      <c r="E695" s="16"/>
      <c r="F695" s="16"/>
      <c r="G695" s="16"/>
      <c r="H695" s="16"/>
      <c r="I695" s="125"/>
      <c r="J695" s="16"/>
      <c r="K695" s="13"/>
      <c r="L695" s="13"/>
      <c r="M695" s="13"/>
      <c r="N695" s="16"/>
      <c r="O695" s="16"/>
      <c r="P695" s="16"/>
      <c r="Q695" s="16"/>
      <c r="R695" s="96"/>
      <c r="S695" s="96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6"/>
      <c r="B696" s="13"/>
      <c r="C696" s="16"/>
      <c r="D696" s="16"/>
      <c r="E696" s="16"/>
      <c r="F696" s="16"/>
      <c r="G696" s="16"/>
      <c r="H696" s="16"/>
      <c r="I696" s="125"/>
      <c r="J696" s="16"/>
      <c r="K696" s="13"/>
      <c r="L696" s="13"/>
      <c r="M696" s="13"/>
      <c r="N696" s="16"/>
      <c r="O696" s="16"/>
      <c r="P696" s="16"/>
      <c r="Q696" s="16"/>
      <c r="R696" s="96"/>
      <c r="S696" s="96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6"/>
      <c r="B697" s="13"/>
      <c r="C697" s="16"/>
      <c r="D697" s="16"/>
      <c r="E697" s="16"/>
      <c r="F697" s="16"/>
      <c r="G697" s="16"/>
      <c r="H697" s="16"/>
      <c r="I697" s="125"/>
      <c r="J697" s="16"/>
      <c r="K697" s="13"/>
      <c r="L697" s="13"/>
      <c r="M697" s="13"/>
      <c r="N697" s="16"/>
      <c r="O697" s="16"/>
      <c r="P697" s="16"/>
      <c r="Q697" s="16"/>
      <c r="R697" s="96"/>
      <c r="S697" s="96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6"/>
      <c r="B698" s="13"/>
      <c r="C698" s="16"/>
      <c r="D698" s="16"/>
      <c r="E698" s="16"/>
      <c r="F698" s="16"/>
      <c r="G698" s="16"/>
      <c r="H698" s="16"/>
      <c r="I698" s="125"/>
      <c r="J698" s="16"/>
      <c r="K698" s="13"/>
      <c r="L698" s="13"/>
      <c r="M698" s="13"/>
      <c r="N698" s="16"/>
      <c r="O698" s="16"/>
      <c r="P698" s="16"/>
      <c r="Q698" s="16"/>
      <c r="R698" s="96"/>
      <c r="S698" s="96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6"/>
      <c r="B699" s="13"/>
      <c r="C699" s="16"/>
      <c r="D699" s="16"/>
      <c r="E699" s="16"/>
      <c r="F699" s="16"/>
      <c r="G699" s="16"/>
      <c r="H699" s="16"/>
      <c r="I699" s="125"/>
      <c r="J699" s="16"/>
      <c r="K699" s="13"/>
      <c r="L699" s="13"/>
      <c r="M699" s="13"/>
      <c r="N699" s="16"/>
      <c r="O699" s="16"/>
      <c r="P699" s="16"/>
      <c r="Q699" s="16"/>
      <c r="R699" s="96"/>
      <c r="S699" s="96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6"/>
      <c r="B700" s="13"/>
      <c r="C700" s="16"/>
      <c r="D700" s="16"/>
      <c r="E700" s="16"/>
      <c r="F700" s="16"/>
      <c r="G700" s="16"/>
      <c r="H700" s="16"/>
      <c r="I700" s="125"/>
      <c r="J700" s="16"/>
      <c r="K700" s="13"/>
      <c r="L700" s="13"/>
      <c r="M700" s="13"/>
      <c r="N700" s="16"/>
      <c r="O700" s="16"/>
      <c r="P700" s="16"/>
      <c r="Q700" s="16"/>
      <c r="R700" s="96"/>
      <c r="S700" s="96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6"/>
      <c r="B701" s="13"/>
      <c r="C701" s="16"/>
      <c r="D701" s="16"/>
      <c r="E701" s="16"/>
      <c r="F701" s="16"/>
      <c r="G701" s="16"/>
      <c r="H701" s="16"/>
      <c r="I701" s="125"/>
      <c r="J701" s="16"/>
      <c r="K701" s="13"/>
      <c r="L701" s="13"/>
      <c r="M701" s="13"/>
      <c r="N701" s="16"/>
      <c r="O701" s="16"/>
      <c r="P701" s="16"/>
      <c r="Q701" s="16"/>
      <c r="R701" s="96"/>
      <c r="S701" s="96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6"/>
      <c r="B702" s="13"/>
      <c r="C702" s="16"/>
      <c r="D702" s="16"/>
      <c r="E702" s="16"/>
      <c r="F702" s="16"/>
      <c r="G702" s="16"/>
      <c r="H702" s="16"/>
      <c r="I702" s="125"/>
      <c r="J702" s="16"/>
      <c r="K702" s="13"/>
      <c r="L702" s="13"/>
      <c r="M702" s="13"/>
      <c r="N702" s="16"/>
      <c r="O702" s="16"/>
      <c r="P702" s="16"/>
      <c r="Q702" s="16"/>
      <c r="R702" s="96"/>
      <c r="S702" s="96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6"/>
      <c r="B703" s="13"/>
      <c r="C703" s="16"/>
      <c r="D703" s="16"/>
      <c r="E703" s="16"/>
      <c r="F703" s="16"/>
      <c r="G703" s="16"/>
      <c r="H703" s="16"/>
      <c r="I703" s="125"/>
      <c r="J703" s="16"/>
      <c r="K703" s="13"/>
      <c r="L703" s="13"/>
      <c r="M703" s="13"/>
      <c r="N703" s="16"/>
      <c r="O703" s="16"/>
      <c r="P703" s="16"/>
      <c r="Q703" s="16"/>
      <c r="R703" s="96"/>
      <c r="S703" s="96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6"/>
      <c r="B704" s="13"/>
      <c r="C704" s="16"/>
      <c r="D704" s="16"/>
      <c r="E704" s="16"/>
      <c r="F704" s="16"/>
      <c r="G704" s="16"/>
      <c r="H704" s="16"/>
      <c r="I704" s="125"/>
      <c r="J704" s="16"/>
      <c r="K704" s="13"/>
      <c r="L704" s="13"/>
      <c r="M704" s="13"/>
      <c r="N704" s="16"/>
      <c r="O704" s="16"/>
      <c r="P704" s="16"/>
      <c r="Q704" s="16"/>
      <c r="R704" s="96"/>
      <c r="S704" s="96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6"/>
      <c r="B705" s="13"/>
      <c r="C705" s="16"/>
      <c r="D705" s="16"/>
      <c r="E705" s="16"/>
      <c r="F705" s="16"/>
      <c r="G705" s="16"/>
      <c r="H705" s="16"/>
      <c r="I705" s="125"/>
      <c r="J705" s="16"/>
      <c r="K705" s="13"/>
      <c r="L705" s="13"/>
      <c r="M705" s="13"/>
      <c r="N705" s="16"/>
      <c r="O705" s="16"/>
      <c r="P705" s="16"/>
      <c r="Q705" s="16"/>
      <c r="R705" s="96"/>
      <c r="S705" s="96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6"/>
      <c r="B706" s="13"/>
      <c r="C706" s="16"/>
      <c r="D706" s="16"/>
      <c r="E706" s="16"/>
      <c r="F706" s="16"/>
      <c r="G706" s="16"/>
      <c r="H706" s="16"/>
      <c r="I706" s="125"/>
      <c r="J706" s="16"/>
      <c r="K706" s="13"/>
      <c r="L706" s="13"/>
      <c r="M706" s="13"/>
      <c r="N706" s="16"/>
      <c r="O706" s="16"/>
      <c r="P706" s="16"/>
      <c r="Q706" s="16"/>
      <c r="R706" s="96"/>
      <c r="S706" s="96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6"/>
      <c r="B707" s="13"/>
      <c r="C707" s="16"/>
      <c r="D707" s="16"/>
      <c r="E707" s="16"/>
      <c r="F707" s="16"/>
      <c r="G707" s="16"/>
      <c r="H707" s="16"/>
      <c r="I707" s="125"/>
      <c r="J707" s="16"/>
      <c r="K707" s="13"/>
      <c r="L707" s="13"/>
      <c r="M707" s="13"/>
      <c r="N707" s="16"/>
      <c r="O707" s="16"/>
      <c r="P707" s="16"/>
      <c r="Q707" s="16"/>
      <c r="R707" s="96"/>
      <c r="S707" s="96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6"/>
      <c r="B708" s="13"/>
      <c r="C708" s="16"/>
      <c r="D708" s="16"/>
      <c r="E708" s="16"/>
      <c r="F708" s="16"/>
      <c r="G708" s="16"/>
      <c r="H708" s="16"/>
      <c r="I708" s="125"/>
      <c r="J708" s="16"/>
      <c r="K708" s="13"/>
      <c r="L708" s="13"/>
      <c r="M708" s="13"/>
      <c r="N708" s="16"/>
      <c r="O708" s="16"/>
      <c r="P708" s="16"/>
      <c r="Q708" s="16"/>
      <c r="R708" s="96"/>
      <c r="S708" s="96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6"/>
      <c r="B709" s="13"/>
      <c r="C709" s="16"/>
      <c r="D709" s="16"/>
      <c r="E709" s="16"/>
      <c r="F709" s="16"/>
      <c r="G709" s="16"/>
      <c r="H709" s="16"/>
      <c r="I709" s="125"/>
      <c r="J709" s="16"/>
      <c r="K709" s="13"/>
      <c r="L709" s="13"/>
      <c r="M709" s="13"/>
      <c r="N709" s="16"/>
      <c r="O709" s="16"/>
      <c r="P709" s="16"/>
      <c r="Q709" s="16"/>
      <c r="R709" s="96"/>
      <c r="S709" s="96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6"/>
      <c r="B710" s="13"/>
      <c r="C710" s="16"/>
      <c r="D710" s="16"/>
      <c r="E710" s="16"/>
      <c r="F710" s="16"/>
      <c r="G710" s="16"/>
      <c r="H710" s="16"/>
      <c r="I710" s="125"/>
      <c r="J710" s="16"/>
      <c r="K710" s="13"/>
      <c r="L710" s="13"/>
      <c r="M710" s="13"/>
      <c r="N710" s="16"/>
      <c r="O710" s="16"/>
      <c r="P710" s="16"/>
      <c r="Q710" s="16"/>
      <c r="R710" s="96"/>
      <c r="S710" s="96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6"/>
      <c r="B711" s="13"/>
      <c r="C711" s="16"/>
      <c r="D711" s="16"/>
      <c r="E711" s="16"/>
      <c r="F711" s="16"/>
      <c r="G711" s="16"/>
      <c r="H711" s="16"/>
      <c r="I711" s="125"/>
      <c r="J711" s="16"/>
      <c r="K711" s="13"/>
      <c r="L711" s="13"/>
      <c r="M711" s="13"/>
      <c r="N711" s="16"/>
      <c r="O711" s="16"/>
      <c r="P711" s="16"/>
      <c r="Q711" s="16"/>
      <c r="R711" s="96"/>
      <c r="S711" s="96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6"/>
      <c r="B712" s="13"/>
      <c r="C712" s="16"/>
      <c r="D712" s="16"/>
      <c r="E712" s="16"/>
      <c r="F712" s="16"/>
      <c r="G712" s="16"/>
      <c r="H712" s="16"/>
      <c r="I712" s="125"/>
      <c r="J712" s="16"/>
      <c r="K712" s="13"/>
      <c r="L712" s="13"/>
      <c r="M712" s="13"/>
      <c r="N712" s="16"/>
      <c r="O712" s="16"/>
      <c r="P712" s="16"/>
      <c r="Q712" s="16"/>
      <c r="R712" s="96"/>
      <c r="S712" s="96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6"/>
      <c r="B713" s="13"/>
      <c r="C713" s="16"/>
      <c r="D713" s="16"/>
      <c r="E713" s="16"/>
      <c r="F713" s="16"/>
      <c r="G713" s="16"/>
      <c r="H713" s="16"/>
      <c r="I713" s="125"/>
      <c r="J713" s="16"/>
      <c r="K713" s="13"/>
      <c r="L713" s="13"/>
      <c r="M713" s="13"/>
      <c r="N713" s="16"/>
      <c r="O713" s="16"/>
      <c r="P713" s="16"/>
      <c r="Q713" s="16"/>
      <c r="R713" s="96"/>
      <c r="S713" s="96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6"/>
      <c r="B714" s="13"/>
      <c r="C714" s="16"/>
      <c r="D714" s="16"/>
      <c r="E714" s="16"/>
      <c r="F714" s="16"/>
      <c r="G714" s="16"/>
      <c r="H714" s="16"/>
      <c r="I714" s="125"/>
      <c r="J714" s="16"/>
      <c r="K714" s="13"/>
      <c r="L714" s="13"/>
      <c r="M714" s="13"/>
      <c r="N714" s="16"/>
      <c r="O714" s="16"/>
      <c r="P714" s="16"/>
      <c r="Q714" s="16"/>
      <c r="R714" s="96"/>
      <c r="S714" s="96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6"/>
      <c r="B715" s="13"/>
      <c r="C715" s="16"/>
      <c r="D715" s="16"/>
      <c r="E715" s="16"/>
      <c r="F715" s="16"/>
      <c r="G715" s="16"/>
      <c r="H715" s="16"/>
      <c r="I715" s="125"/>
      <c r="J715" s="16"/>
      <c r="K715" s="13"/>
      <c r="L715" s="13"/>
      <c r="M715" s="13"/>
      <c r="N715" s="16"/>
      <c r="O715" s="16"/>
      <c r="P715" s="16"/>
      <c r="Q715" s="16"/>
      <c r="R715" s="96"/>
      <c r="S715" s="96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6"/>
      <c r="B716" s="13"/>
      <c r="C716" s="16"/>
      <c r="D716" s="16"/>
      <c r="E716" s="16"/>
      <c r="F716" s="16"/>
      <c r="G716" s="16"/>
      <c r="H716" s="16"/>
      <c r="I716" s="125"/>
      <c r="J716" s="16"/>
      <c r="K716" s="13"/>
      <c r="L716" s="13"/>
      <c r="M716" s="13"/>
      <c r="N716" s="16"/>
      <c r="O716" s="16"/>
      <c r="P716" s="16"/>
      <c r="Q716" s="16"/>
      <c r="R716" s="96"/>
      <c r="S716" s="96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6"/>
      <c r="B717" s="13"/>
      <c r="C717" s="16"/>
      <c r="D717" s="16"/>
      <c r="E717" s="16"/>
      <c r="F717" s="16"/>
      <c r="G717" s="16"/>
      <c r="H717" s="16"/>
      <c r="I717" s="125"/>
      <c r="J717" s="16"/>
      <c r="K717" s="13"/>
      <c r="L717" s="13"/>
      <c r="M717" s="13"/>
      <c r="N717" s="16"/>
      <c r="O717" s="16"/>
      <c r="P717" s="16"/>
      <c r="Q717" s="16"/>
      <c r="R717" s="96"/>
      <c r="S717" s="96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6"/>
      <c r="B718" s="13"/>
      <c r="C718" s="16"/>
      <c r="D718" s="16"/>
      <c r="E718" s="16"/>
      <c r="F718" s="16"/>
      <c r="G718" s="16"/>
      <c r="H718" s="16"/>
      <c r="I718" s="125"/>
      <c r="J718" s="16"/>
      <c r="K718" s="13"/>
      <c r="L718" s="13"/>
      <c r="M718" s="13"/>
      <c r="N718" s="16"/>
      <c r="O718" s="16"/>
      <c r="P718" s="16"/>
      <c r="Q718" s="16"/>
      <c r="R718" s="96"/>
      <c r="S718" s="96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6"/>
      <c r="B719" s="13"/>
      <c r="C719" s="16"/>
      <c r="D719" s="16"/>
      <c r="E719" s="16"/>
      <c r="F719" s="16"/>
      <c r="G719" s="16"/>
      <c r="H719" s="16"/>
      <c r="I719" s="125"/>
      <c r="J719" s="16"/>
      <c r="K719" s="13"/>
      <c r="L719" s="13"/>
      <c r="M719" s="13"/>
      <c r="N719" s="16"/>
      <c r="O719" s="16"/>
      <c r="P719" s="16"/>
      <c r="Q719" s="16"/>
      <c r="R719" s="96"/>
      <c r="S719" s="96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6"/>
      <c r="B720" s="13"/>
      <c r="C720" s="16"/>
      <c r="D720" s="16"/>
      <c r="E720" s="16"/>
      <c r="F720" s="16"/>
      <c r="G720" s="16"/>
      <c r="H720" s="16"/>
      <c r="I720" s="125"/>
      <c r="J720" s="16"/>
      <c r="K720" s="13"/>
      <c r="L720" s="13"/>
      <c r="M720" s="13"/>
      <c r="N720" s="16"/>
      <c r="O720" s="16"/>
      <c r="P720" s="16"/>
      <c r="Q720" s="16"/>
      <c r="R720" s="96"/>
      <c r="S720" s="96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6"/>
      <c r="B721" s="13"/>
      <c r="C721" s="16"/>
      <c r="D721" s="16"/>
      <c r="E721" s="16"/>
      <c r="F721" s="16"/>
      <c r="G721" s="16"/>
      <c r="H721" s="16"/>
      <c r="I721" s="125"/>
      <c r="J721" s="16"/>
      <c r="K721" s="13"/>
      <c r="L721" s="13"/>
      <c r="M721" s="13"/>
      <c r="N721" s="16"/>
      <c r="O721" s="16"/>
      <c r="P721" s="16"/>
      <c r="Q721" s="16"/>
      <c r="R721" s="96"/>
      <c r="S721" s="96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6"/>
      <c r="B722" s="13"/>
      <c r="C722" s="16"/>
      <c r="D722" s="16"/>
      <c r="E722" s="16"/>
      <c r="F722" s="16"/>
      <c r="G722" s="16"/>
      <c r="H722" s="16"/>
      <c r="I722" s="125"/>
      <c r="J722" s="16"/>
      <c r="K722" s="13"/>
      <c r="L722" s="13"/>
      <c r="M722" s="13"/>
      <c r="N722" s="16"/>
      <c r="O722" s="16"/>
      <c r="P722" s="16"/>
      <c r="Q722" s="16"/>
      <c r="R722" s="96"/>
      <c r="S722" s="96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6"/>
      <c r="B723" s="13"/>
      <c r="C723" s="16"/>
      <c r="D723" s="16"/>
      <c r="E723" s="16"/>
      <c r="F723" s="16"/>
      <c r="G723" s="16"/>
      <c r="H723" s="16"/>
      <c r="I723" s="125"/>
      <c r="J723" s="16"/>
      <c r="K723" s="13"/>
      <c r="L723" s="13"/>
      <c r="M723" s="13"/>
      <c r="N723" s="16"/>
      <c r="O723" s="16"/>
      <c r="P723" s="16"/>
      <c r="Q723" s="16"/>
      <c r="R723" s="96"/>
      <c r="S723" s="96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6"/>
      <c r="B724" s="13"/>
      <c r="C724" s="16"/>
      <c r="D724" s="16"/>
      <c r="E724" s="16"/>
      <c r="F724" s="16"/>
      <c r="G724" s="16"/>
      <c r="H724" s="16"/>
      <c r="I724" s="125"/>
      <c r="J724" s="16"/>
      <c r="K724" s="13"/>
      <c r="L724" s="13"/>
      <c r="M724" s="13"/>
      <c r="N724" s="16"/>
      <c r="O724" s="16"/>
      <c r="P724" s="16"/>
      <c r="Q724" s="16"/>
      <c r="R724" s="96"/>
      <c r="S724" s="96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6"/>
      <c r="B725" s="13"/>
      <c r="C725" s="16"/>
      <c r="D725" s="16"/>
      <c r="E725" s="16"/>
      <c r="F725" s="16"/>
      <c r="G725" s="16"/>
      <c r="H725" s="16"/>
      <c r="I725" s="125"/>
      <c r="J725" s="16"/>
      <c r="K725" s="13"/>
      <c r="L725" s="13"/>
      <c r="M725" s="13"/>
      <c r="N725" s="16"/>
      <c r="O725" s="16"/>
      <c r="P725" s="16"/>
      <c r="Q725" s="16"/>
      <c r="R725" s="96"/>
      <c r="S725" s="96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6"/>
      <c r="B726" s="13"/>
      <c r="C726" s="16"/>
      <c r="D726" s="16"/>
      <c r="E726" s="16"/>
      <c r="F726" s="16"/>
      <c r="G726" s="16"/>
      <c r="H726" s="16"/>
      <c r="I726" s="125"/>
      <c r="J726" s="16"/>
      <c r="K726" s="13"/>
      <c r="L726" s="13"/>
      <c r="M726" s="13"/>
      <c r="N726" s="16"/>
      <c r="O726" s="16"/>
      <c r="P726" s="16"/>
      <c r="Q726" s="16"/>
      <c r="R726" s="96"/>
      <c r="S726" s="96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6"/>
      <c r="B727" s="13"/>
      <c r="C727" s="16"/>
      <c r="D727" s="16"/>
      <c r="E727" s="16"/>
      <c r="F727" s="16"/>
      <c r="G727" s="16"/>
      <c r="H727" s="16"/>
      <c r="I727" s="125"/>
      <c r="J727" s="16"/>
      <c r="K727" s="13"/>
      <c r="L727" s="13"/>
      <c r="M727" s="13"/>
      <c r="N727" s="16"/>
      <c r="O727" s="16"/>
      <c r="P727" s="16"/>
      <c r="Q727" s="16"/>
      <c r="R727" s="96"/>
      <c r="S727" s="96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6"/>
      <c r="B728" s="13"/>
      <c r="C728" s="16"/>
      <c r="D728" s="16"/>
      <c r="E728" s="16"/>
      <c r="F728" s="16"/>
      <c r="G728" s="16"/>
      <c r="H728" s="16"/>
      <c r="I728" s="125"/>
      <c r="J728" s="16"/>
      <c r="K728" s="13"/>
      <c r="L728" s="13"/>
      <c r="M728" s="13"/>
      <c r="N728" s="16"/>
      <c r="O728" s="16"/>
      <c r="P728" s="16"/>
      <c r="Q728" s="16"/>
      <c r="R728" s="96"/>
      <c r="S728" s="96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6"/>
      <c r="B729" s="13"/>
      <c r="C729" s="16"/>
      <c r="D729" s="16"/>
      <c r="E729" s="16"/>
      <c r="F729" s="16"/>
      <c r="G729" s="16"/>
      <c r="H729" s="16"/>
      <c r="I729" s="125"/>
      <c r="J729" s="16"/>
      <c r="K729" s="13"/>
      <c r="L729" s="13"/>
      <c r="M729" s="13"/>
      <c r="N729" s="16"/>
      <c r="O729" s="16"/>
      <c r="P729" s="16"/>
      <c r="Q729" s="16"/>
      <c r="R729" s="96"/>
      <c r="S729" s="96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6"/>
      <c r="B730" s="13"/>
      <c r="C730" s="16"/>
      <c r="D730" s="16"/>
      <c r="E730" s="16"/>
      <c r="F730" s="16"/>
      <c r="G730" s="16"/>
      <c r="H730" s="16"/>
      <c r="I730" s="125"/>
      <c r="J730" s="16"/>
      <c r="K730" s="13"/>
      <c r="L730" s="13"/>
      <c r="M730" s="13"/>
      <c r="N730" s="16"/>
      <c r="O730" s="16"/>
      <c r="P730" s="16"/>
      <c r="Q730" s="16"/>
      <c r="R730" s="96"/>
      <c r="S730" s="96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6"/>
      <c r="B731" s="13"/>
      <c r="C731" s="16"/>
      <c r="D731" s="16"/>
      <c r="E731" s="16"/>
      <c r="F731" s="16"/>
      <c r="G731" s="16"/>
      <c r="H731" s="16"/>
      <c r="I731" s="125"/>
      <c r="J731" s="16"/>
      <c r="K731" s="13"/>
      <c r="L731" s="13"/>
      <c r="M731" s="13"/>
      <c r="N731" s="16"/>
      <c r="O731" s="16"/>
      <c r="P731" s="16"/>
      <c r="Q731" s="16"/>
      <c r="R731" s="96"/>
      <c r="S731" s="96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6"/>
      <c r="B732" s="13"/>
      <c r="C732" s="16"/>
      <c r="D732" s="16"/>
      <c r="E732" s="16"/>
      <c r="F732" s="16"/>
      <c r="G732" s="16"/>
      <c r="H732" s="16"/>
      <c r="I732" s="125"/>
      <c r="J732" s="16"/>
      <c r="K732" s="13"/>
      <c r="L732" s="13"/>
      <c r="M732" s="13"/>
      <c r="N732" s="16"/>
      <c r="O732" s="16"/>
      <c r="P732" s="16"/>
      <c r="Q732" s="16"/>
      <c r="R732" s="96"/>
      <c r="S732" s="96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6"/>
      <c r="B733" s="13"/>
      <c r="C733" s="16"/>
      <c r="D733" s="16"/>
      <c r="E733" s="16"/>
      <c r="F733" s="16"/>
      <c r="G733" s="16"/>
      <c r="H733" s="16"/>
      <c r="I733" s="125"/>
      <c r="J733" s="16"/>
      <c r="K733" s="13"/>
      <c r="L733" s="13"/>
      <c r="M733" s="13"/>
      <c r="N733" s="16"/>
      <c r="O733" s="16"/>
      <c r="P733" s="16"/>
      <c r="Q733" s="16"/>
      <c r="R733" s="96"/>
      <c r="S733" s="96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6"/>
      <c r="B734" s="13"/>
      <c r="C734" s="16"/>
      <c r="D734" s="16"/>
      <c r="E734" s="16"/>
      <c r="F734" s="16"/>
      <c r="G734" s="16"/>
      <c r="H734" s="16"/>
      <c r="I734" s="125"/>
      <c r="J734" s="16"/>
      <c r="K734" s="13"/>
      <c r="L734" s="13"/>
      <c r="M734" s="13"/>
      <c r="N734" s="16"/>
      <c r="O734" s="16"/>
      <c r="P734" s="16"/>
      <c r="Q734" s="16"/>
      <c r="R734" s="96"/>
      <c r="S734" s="96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6"/>
      <c r="B735" s="13"/>
      <c r="C735" s="16"/>
      <c r="D735" s="16"/>
      <c r="E735" s="16"/>
      <c r="F735" s="16"/>
      <c r="G735" s="16"/>
      <c r="H735" s="16"/>
      <c r="I735" s="125"/>
      <c r="J735" s="16"/>
      <c r="K735" s="13"/>
      <c r="L735" s="13"/>
      <c r="M735" s="13"/>
      <c r="N735" s="16"/>
      <c r="O735" s="16"/>
      <c r="P735" s="16"/>
      <c r="Q735" s="16"/>
      <c r="R735" s="96"/>
      <c r="S735" s="96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6"/>
      <c r="B736" s="13"/>
      <c r="C736" s="16"/>
      <c r="D736" s="16"/>
      <c r="E736" s="16"/>
      <c r="F736" s="16"/>
      <c r="G736" s="16"/>
      <c r="H736" s="16"/>
      <c r="I736" s="125"/>
      <c r="J736" s="16"/>
      <c r="K736" s="13"/>
      <c r="L736" s="13"/>
      <c r="M736" s="13"/>
      <c r="N736" s="16"/>
      <c r="O736" s="16"/>
      <c r="P736" s="16"/>
      <c r="Q736" s="16"/>
      <c r="R736" s="96"/>
      <c r="S736" s="96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6"/>
      <c r="B737" s="13"/>
      <c r="C737" s="16"/>
      <c r="D737" s="16"/>
      <c r="E737" s="16"/>
      <c r="F737" s="16"/>
      <c r="G737" s="16"/>
      <c r="H737" s="16"/>
      <c r="I737" s="125"/>
      <c r="J737" s="16"/>
      <c r="K737" s="13"/>
      <c r="L737" s="13"/>
      <c r="M737" s="13"/>
      <c r="N737" s="16"/>
      <c r="O737" s="16"/>
      <c r="P737" s="16"/>
      <c r="Q737" s="16"/>
      <c r="R737" s="96"/>
      <c r="S737" s="96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6"/>
      <c r="B738" s="13"/>
      <c r="C738" s="16"/>
      <c r="D738" s="16"/>
      <c r="E738" s="16"/>
      <c r="F738" s="16"/>
      <c r="G738" s="16"/>
      <c r="H738" s="16"/>
      <c r="I738" s="125"/>
      <c r="J738" s="16"/>
      <c r="K738" s="13"/>
      <c r="L738" s="13"/>
      <c r="M738" s="13"/>
      <c r="N738" s="16"/>
      <c r="O738" s="16"/>
      <c r="P738" s="16"/>
      <c r="Q738" s="16"/>
      <c r="R738" s="96"/>
      <c r="S738" s="96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6"/>
      <c r="B739" s="13"/>
      <c r="C739" s="16"/>
      <c r="D739" s="16"/>
      <c r="E739" s="16"/>
      <c r="F739" s="16"/>
      <c r="G739" s="16"/>
      <c r="H739" s="16"/>
      <c r="I739" s="125"/>
      <c r="J739" s="16"/>
      <c r="K739" s="13"/>
      <c r="L739" s="13"/>
      <c r="M739" s="13"/>
      <c r="N739" s="16"/>
      <c r="O739" s="16"/>
      <c r="P739" s="16"/>
      <c r="Q739" s="16"/>
      <c r="R739" s="96"/>
      <c r="S739" s="96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6"/>
      <c r="B740" s="13"/>
      <c r="C740" s="16"/>
      <c r="D740" s="16"/>
      <c r="E740" s="16"/>
      <c r="F740" s="16"/>
      <c r="G740" s="16"/>
      <c r="H740" s="16"/>
      <c r="I740" s="125"/>
      <c r="J740" s="16"/>
      <c r="K740" s="13"/>
      <c r="L740" s="13"/>
      <c r="M740" s="13"/>
      <c r="N740" s="16"/>
      <c r="O740" s="16"/>
      <c r="P740" s="16"/>
      <c r="Q740" s="16"/>
      <c r="R740" s="96"/>
      <c r="S740" s="96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6"/>
      <c r="B741" s="13"/>
      <c r="C741" s="16"/>
      <c r="D741" s="16"/>
      <c r="E741" s="16"/>
      <c r="F741" s="16"/>
      <c r="G741" s="16"/>
      <c r="H741" s="16"/>
      <c r="I741" s="125"/>
      <c r="J741" s="16"/>
      <c r="K741" s="13"/>
      <c r="L741" s="13"/>
      <c r="M741" s="13"/>
      <c r="N741" s="16"/>
      <c r="O741" s="16"/>
      <c r="P741" s="16"/>
      <c r="Q741" s="16"/>
      <c r="R741" s="96"/>
      <c r="S741" s="96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6"/>
      <c r="B742" s="13"/>
      <c r="C742" s="16"/>
      <c r="D742" s="16"/>
      <c r="E742" s="16"/>
      <c r="F742" s="16"/>
      <c r="G742" s="16"/>
      <c r="H742" s="16"/>
      <c r="I742" s="125"/>
      <c r="J742" s="16"/>
      <c r="K742" s="13"/>
      <c r="L742" s="13"/>
      <c r="M742" s="13"/>
      <c r="N742" s="16"/>
      <c r="O742" s="16"/>
      <c r="P742" s="16"/>
      <c r="Q742" s="16"/>
      <c r="R742" s="96"/>
      <c r="S742" s="96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6"/>
      <c r="B743" s="13"/>
      <c r="C743" s="16"/>
      <c r="D743" s="16"/>
      <c r="E743" s="16"/>
      <c r="F743" s="16"/>
      <c r="G743" s="16"/>
      <c r="H743" s="16"/>
      <c r="I743" s="125"/>
      <c r="J743" s="16"/>
      <c r="K743" s="13"/>
      <c r="L743" s="13"/>
      <c r="M743" s="13"/>
      <c r="N743" s="16"/>
      <c r="O743" s="16"/>
      <c r="P743" s="16"/>
      <c r="Q743" s="16"/>
      <c r="R743" s="96"/>
      <c r="S743" s="96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6"/>
      <c r="B744" s="13"/>
      <c r="C744" s="16"/>
      <c r="D744" s="16"/>
      <c r="E744" s="16"/>
      <c r="F744" s="16"/>
      <c r="G744" s="16"/>
      <c r="H744" s="16"/>
      <c r="I744" s="125"/>
      <c r="J744" s="16"/>
      <c r="K744" s="13"/>
      <c r="L744" s="13"/>
      <c r="M744" s="13"/>
      <c r="N744" s="16"/>
      <c r="O744" s="16"/>
      <c r="P744" s="16"/>
      <c r="Q744" s="16"/>
      <c r="R744" s="96"/>
      <c r="S744" s="96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6"/>
      <c r="B745" s="13"/>
      <c r="C745" s="16"/>
      <c r="D745" s="16"/>
      <c r="E745" s="16"/>
      <c r="F745" s="16"/>
      <c r="G745" s="16"/>
      <c r="H745" s="16"/>
      <c r="I745" s="125"/>
      <c r="J745" s="16"/>
      <c r="K745" s="13"/>
      <c r="L745" s="13"/>
      <c r="M745" s="13"/>
      <c r="N745" s="16"/>
      <c r="O745" s="16"/>
      <c r="P745" s="16"/>
      <c r="Q745" s="16"/>
      <c r="R745" s="96"/>
      <c r="S745" s="96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6"/>
      <c r="B746" s="13"/>
      <c r="C746" s="16"/>
      <c r="D746" s="16"/>
      <c r="E746" s="16"/>
      <c r="F746" s="16"/>
      <c r="G746" s="16"/>
      <c r="H746" s="16"/>
      <c r="I746" s="125"/>
      <c r="J746" s="16"/>
      <c r="K746" s="13"/>
      <c r="L746" s="13"/>
      <c r="M746" s="13"/>
      <c r="N746" s="16"/>
      <c r="O746" s="16"/>
      <c r="P746" s="16"/>
      <c r="Q746" s="16"/>
      <c r="R746" s="96"/>
      <c r="S746" s="96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6"/>
      <c r="B747" s="13"/>
      <c r="C747" s="16"/>
      <c r="D747" s="16"/>
      <c r="E747" s="16"/>
      <c r="F747" s="16"/>
      <c r="G747" s="16"/>
      <c r="H747" s="16"/>
      <c r="I747" s="125"/>
      <c r="J747" s="16"/>
      <c r="K747" s="13"/>
      <c r="L747" s="13"/>
      <c r="M747" s="13"/>
      <c r="N747" s="16"/>
      <c r="O747" s="16"/>
      <c r="P747" s="16"/>
      <c r="Q747" s="16"/>
      <c r="R747" s="96"/>
      <c r="S747" s="96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6"/>
      <c r="B748" s="13"/>
      <c r="C748" s="16"/>
      <c r="D748" s="16"/>
      <c r="E748" s="16"/>
      <c r="F748" s="16"/>
      <c r="G748" s="16"/>
      <c r="H748" s="16"/>
      <c r="I748" s="125"/>
      <c r="J748" s="16"/>
      <c r="K748" s="13"/>
      <c r="L748" s="13"/>
      <c r="M748" s="13"/>
      <c r="N748" s="16"/>
      <c r="O748" s="16"/>
      <c r="P748" s="16"/>
      <c r="Q748" s="16"/>
      <c r="R748" s="96"/>
      <c r="S748" s="96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6"/>
      <c r="B749" s="13"/>
      <c r="C749" s="16"/>
      <c r="D749" s="16"/>
      <c r="E749" s="16"/>
      <c r="F749" s="16"/>
      <c r="G749" s="16"/>
      <c r="H749" s="16"/>
      <c r="I749" s="125"/>
      <c r="J749" s="16"/>
      <c r="K749" s="13"/>
      <c r="L749" s="13"/>
      <c r="M749" s="13"/>
      <c r="N749" s="16"/>
      <c r="O749" s="16"/>
      <c r="P749" s="16"/>
      <c r="Q749" s="16"/>
      <c r="R749" s="96"/>
      <c r="S749" s="96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6"/>
      <c r="B750" s="13"/>
      <c r="C750" s="16"/>
      <c r="D750" s="16"/>
      <c r="E750" s="16"/>
      <c r="F750" s="16"/>
      <c r="G750" s="16"/>
      <c r="H750" s="16"/>
      <c r="I750" s="125"/>
      <c r="J750" s="16"/>
      <c r="K750" s="13"/>
      <c r="L750" s="13"/>
      <c r="M750" s="13"/>
      <c r="N750" s="16"/>
      <c r="O750" s="16"/>
      <c r="P750" s="16"/>
      <c r="Q750" s="16"/>
      <c r="R750" s="96"/>
      <c r="S750" s="96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6"/>
      <c r="B751" s="13"/>
      <c r="C751" s="16"/>
      <c r="D751" s="16"/>
      <c r="E751" s="16"/>
      <c r="F751" s="16"/>
      <c r="G751" s="16"/>
      <c r="H751" s="16"/>
      <c r="I751" s="125"/>
      <c r="J751" s="16"/>
      <c r="K751" s="13"/>
      <c r="L751" s="13"/>
      <c r="M751" s="13"/>
      <c r="N751" s="16"/>
      <c r="O751" s="16"/>
      <c r="P751" s="16"/>
      <c r="Q751" s="16"/>
      <c r="R751" s="96"/>
      <c r="S751" s="96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6"/>
      <c r="B752" s="13"/>
      <c r="C752" s="16"/>
      <c r="D752" s="16"/>
      <c r="E752" s="16"/>
      <c r="F752" s="16"/>
      <c r="G752" s="16"/>
      <c r="H752" s="16"/>
      <c r="I752" s="125"/>
      <c r="J752" s="16"/>
      <c r="K752" s="13"/>
      <c r="L752" s="13"/>
      <c r="M752" s="13"/>
      <c r="N752" s="16"/>
      <c r="O752" s="16"/>
      <c r="P752" s="16"/>
      <c r="Q752" s="16"/>
      <c r="R752" s="96"/>
      <c r="S752" s="96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6"/>
      <c r="B753" s="13"/>
      <c r="C753" s="16"/>
      <c r="D753" s="16"/>
      <c r="E753" s="16"/>
      <c r="F753" s="16"/>
      <c r="G753" s="16"/>
      <c r="H753" s="16"/>
      <c r="I753" s="125"/>
      <c r="J753" s="16"/>
      <c r="K753" s="13"/>
      <c r="L753" s="13"/>
      <c r="M753" s="13"/>
      <c r="N753" s="16"/>
      <c r="O753" s="16"/>
      <c r="P753" s="16"/>
      <c r="Q753" s="16"/>
      <c r="R753" s="96"/>
      <c r="S753" s="96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6"/>
      <c r="B754" s="13"/>
      <c r="C754" s="16"/>
      <c r="D754" s="16"/>
      <c r="E754" s="16"/>
      <c r="F754" s="16"/>
      <c r="G754" s="16"/>
      <c r="H754" s="16"/>
      <c r="I754" s="125"/>
      <c r="J754" s="16"/>
      <c r="K754" s="13"/>
      <c r="L754" s="13"/>
      <c r="M754" s="13"/>
      <c r="N754" s="16"/>
      <c r="O754" s="16"/>
      <c r="P754" s="16"/>
      <c r="Q754" s="16"/>
      <c r="R754" s="96"/>
      <c r="S754" s="96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6"/>
      <c r="B755" s="13"/>
      <c r="C755" s="16"/>
      <c r="D755" s="16"/>
      <c r="E755" s="16"/>
      <c r="F755" s="16"/>
      <c r="G755" s="16"/>
      <c r="H755" s="16"/>
      <c r="I755" s="125"/>
      <c r="J755" s="16"/>
      <c r="K755" s="13"/>
      <c r="L755" s="13"/>
      <c r="M755" s="13"/>
      <c r="N755" s="16"/>
      <c r="O755" s="16"/>
      <c r="P755" s="16"/>
      <c r="Q755" s="16"/>
      <c r="R755" s="96"/>
      <c r="S755" s="96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6"/>
      <c r="B756" s="13"/>
      <c r="C756" s="16"/>
      <c r="D756" s="16"/>
      <c r="E756" s="16"/>
      <c r="F756" s="16"/>
      <c r="G756" s="16"/>
      <c r="H756" s="16"/>
      <c r="I756" s="125"/>
      <c r="J756" s="16"/>
      <c r="K756" s="13"/>
      <c r="L756" s="13"/>
      <c r="M756" s="13"/>
      <c r="N756" s="16"/>
      <c r="O756" s="16"/>
      <c r="P756" s="16"/>
      <c r="Q756" s="16"/>
      <c r="R756" s="96"/>
      <c r="S756" s="96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6"/>
      <c r="B757" s="13"/>
      <c r="C757" s="16"/>
      <c r="D757" s="16"/>
      <c r="E757" s="16"/>
      <c r="F757" s="16"/>
      <c r="G757" s="16"/>
      <c r="H757" s="16"/>
      <c r="I757" s="125"/>
      <c r="J757" s="16"/>
      <c r="K757" s="13"/>
      <c r="L757" s="13"/>
      <c r="M757" s="13"/>
      <c r="N757" s="16"/>
      <c r="O757" s="16"/>
      <c r="P757" s="16"/>
      <c r="Q757" s="16"/>
      <c r="R757" s="96"/>
      <c r="S757" s="96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6"/>
      <c r="B758" s="13"/>
      <c r="C758" s="16"/>
      <c r="D758" s="16"/>
      <c r="E758" s="16"/>
      <c r="F758" s="16"/>
      <c r="G758" s="16"/>
      <c r="H758" s="16"/>
      <c r="I758" s="125"/>
      <c r="J758" s="16"/>
      <c r="K758" s="13"/>
      <c r="L758" s="13"/>
      <c r="M758" s="13"/>
      <c r="N758" s="16"/>
      <c r="O758" s="16"/>
      <c r="P758" s="16"/>
      <c r="Q758" s="16"/>
      <c r="R758" s="96"/>
      <c r="S758" s="96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6"/>
      <c r="B759" s="13"/>
      <c r="C759" s="16"/>
      <c r="D759" s="16"/>
      <c r="E759" s="16"/>
      <c r="F759" s="16"/>
      <c r="G759" s="16"/>
      <c r="H759" s="16"/>
      <c r="I759" s="125"/>
      <c r="J759" s="16"/>
      <c r="K759" s="13"/>
      <c r="L759" s="13"/>
      <c r="M759" s="13"/>
      <c r="N759" s="16"/>
      <c r="O759" s="16"/>
      <c r="P759" s="16"/>
      <c r="Q759" s="16"/>
      <c r="R759" s="96"/>
      <c r="S759" s="96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6"/>
      <c r="B760" s="13"/>
      <c r="C760" s="16"/>
      <c r="D760" s="16"/>
      <c r="E760" s="16"/>
      <c r="F760" s="16"/>
      <c r="G760" s="16"/>
      <c r="H760" s="16"/>
      <c r="I760" s="125"/>
      <c r="J760" s="16"/>
      <c r="K760" s="13"/>
      <c r="L760" s="13"/>
      <c r="M760" s="13"/>
      <c r="N760" s="16"/>
      <c r="O760" s="16"/>
      <c r="P760" s="16"/>
      <c r="Q760" s="16"/>
      <c r="R760" s="96"/>
      <c r="S760" s="96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6"/>
      <c r="B761" s="13"/>
      <c r="C761" s="16"/>
      <c r="D761" s="16"/>
      <c r="E761" s="16"/>
      <c r="F761" s="16"/>
      <c r="G761" s="16"/>
      <c r="H761" s="16"/>
      <c r="I761" s="125"/>
      <c r="J761" s="16"/>
      <c r="K761" s="13"/>
      <c r="L761" s="13"/>
      <c r="M761" s="13"/>
      <c r="N761" s="16"/>
      <c r="O761" s="16"/>
      <c r="P761" s="16"/>
      <c r="Q761" s="16"/>
      <c r="R761" s="96"/>
      <c r="S761" s="96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6"/>
      <c r="B762" s="13"/>
      <c r="C762" s="16"/>
      <c r="D762" s="16"/>
      <c r="E762" s="16"/>
      <c r="F762" s="16"/>
      <c r="G762" s="16"/>
      <c r="H762" s="16"/>
      <c r="I762" s="125"/>
      <c r="J762" s="16"/>
      <c r="K762" s="13"/>
      <c r="L762" s="13"/>
      <c r="M762" s="13"/>
      <c r="N762" s="16"/>
      <c r="O762" s="16"/>
      <c r="P762" s="16"/>
      <c r="Q762" s="16"/>
      <c r="R762" s="96"/>
      <c r="S762" s="96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6"/>
      <c r="B763" s="13"/>
      <c r="C763" s="16"/>
      <c r="D763" s="16"/>
      <c r="E763" s="16"/>
      <c r="F763" s="16"/>
      <c r="G763" s="16"/>
      <c r="H763" s="16"/>
      <c r="I763" s="125"/>
      <c r="J763" s="16"/>
      <c r="K763" s="13"/>
      <c r="L763" s="13"/>
      <c r="M763" s="13"/>
      <c r="N763" s="16"/>
      <c r="O763" s="16"/>
      <c r="P763" s="16"/>
      <c r="Q763" s="16"/>
      <c r="R763" s="96"/>
      <c r="S763" s="96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6"/>
      <c r="B764" s="13"/>
      <c r="C764" s="16"/>
      <c r="D764" s="16"/>
      <c r="E764" s="16"/>
      <c r="F764" s="16"/>
      <c r="G764" s="16"/>
      <c r="H764" s="16"/>
      <c r="I764" s="125"/>
      <c r="J764" s="16"/>
      <c r="K764" s="13"/>
      <c r="L764" s="13"/>
      <c r="M764" s="13"/>
      <c r="N764" s="16"/>
      <c r="O764" s="16"/>
      <c r="P764" s="16"/>
      <c r="Q764" s="16"/>
      <c r="R764" s="96"/>
      <c r="S764" s="96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6"/>
      <c r="B765" s="13"/>
      <c r="C765" s="16"/>
      <c r="D765" s="16"/>
      <c r="E765" s="16"/>
      <c r="F765" s="16"/>
      <c r="G765" s="16"/>
      <c r="H765" s="16"/>
      <c r="I765" s="125"/>
      <c r="J765" s="16"/>
      <c r="K765" s="13"/>
      <c r="L765" s="13"/>
      <c r="M765" s="13"/>
      <c r="N765" s="16"/>
      <c r="O765" s="16"/>
      <c r="P765" s="16"/>
      <c r="Q765" s="16"/>
      <c r="R765" s="96"/>
      <c r="S765" s="96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6"/>
      <c r="B766" s="13"/>
      <c r="C766" s="16"/>
      <c r="D766" s="16"/>
      <c r="E766" s="16"/>
      <c r="F766" s="16"/>
      <c r="G766" s="16"/>
      <c r="H766" s="16"/>
      <c r="I766" s="125"/>
      <c r="J766" s="16"/>
      <c r="K766" s="13"/>
      <c r="L766" s="13"/>
      <c r="M766" s="13"/>
      <c r="N766" s="16"/>
      <c r="O766" s="16"/>
      <c r="P766" s="16"/>
      <c r="Q766" s="16"/>
      <c r="R766" s="96"/>
      <c r="S766" s="96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6"/>
      <c r="B767" s="13"/>
      <c r="C767" s="16"/>
      <c r="D767" s="16"/>
      <c r="E767" s="16"/>
      <c r="F767" s="16"/>
      <c r="G767" s="16"/>
      <c r="H767" s="16"/>
      <c r="I767" s="125"/>
      <c r="J767" s="16"/>
      <c r="K767" s="13"/>
      <c r="L767" s="13"/>
      <c r="M767" s="13"/>
      <c r="N767" s="16"/>
      <c r="O767" s="16"/>
      <c r="P767" s="16"/>
      <c r="Q767" s="16"/>
      <c r="R767" s="96"/>
      <c r="S767" s="96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6"/>
      <c r="B768" s="13"/>
      <c r="C768" s="16"/>
      <c r="D768" s="16"/>
      <c r="E768" s="16"/>
      <c r="F768" s="16"/>
      <c r="G768" s="16"/>
      <c r="H768" s="16"/>
      <c r="I768" s="125"/>
      <c r="J768" s="16"/>
      <c r="K768" s="13"/>
      <c r="L768" s="13"/>
      <c r="M768" s="13"/>
      <c r="N768" s="16"/>
      <c r="O768" s="16"/>
      <c r="P768" s="16"/>
      <c r="Q768" s="16"/>
      <c r="R768" s="96"/>
      <c r="S768" s="96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6"/>
      <c r="B769" s="13"/>
      <c r="C769" s="16"/>
      <c r="D769" s="16"/>
      <c r="E769" s="16"/>
      <c r="F769" s="16"/>
      <c r="G769" s="16"/>
      <c r="H769" s="16"/>
      <c r="I769" s="125"/>
      <c r="J769" s="16"/>
      <c r="K769" s="13"/>
      <c r="L769" s="13"/>
      <c r="M769" s="13"/>
      <c r="N769" s="16"/>
      <c r="O769" s="16"/>
      <c r="P769" s="16"/>
      <c r="Q769" s="16"/>
      <c r="R769" s="96"/>
      <c r="S769" s="96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6"/>
      <c r="B770" s="13"/>
      <c r="C770" s="16"/>
      <c r="D770" s="16"/>
      <c r="E770" s="16"/>
      <c r="F770" s="16"/>
      <c r="G770" s="16"/>
      <c r="H770" s="16"/>
      <c r="I770" s="125"/>
      <c r="J770" s="16"/>
      <c r="K770" s="13"/>
      <c r="L770" s="13"/>
      <c r="M770" s="13"/>
      <c r="N770" s="16"/>
      <c r="O770" s="16"/>
      <c r="P770" s="16"/>
      <c r="Q770" s="16"/>
      <c r="R770" s="96"/>
      <c r="S770" s="96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6"/>
      <c r="B771" s="13"/>
      <c r="C771" s="16"/>
      <c r="D771" s="16"/>
      <c r="E771" s="16"/>
      <c r="F771" s="16"/>
      <c r="G771" s="16"/>
      <c r="H771" s="16"/>
      <c r="I771" s="125"/>
      <c r="J771" s="16"/>
      <c r="K771" s="13"/>
      <c r="L771" s="13"/>
      <c r="M771" s="13"/>
      <c r="N771" s="16"/>
      <c r="O771" s="16"/>
      <c r="P771" s="16"/>
      <c r="Q771" s="16"/>
      <c r="R771" s="96"/>
      <c r="S771" s="96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6"/>
      <c r="B772" s="13"/>
      <c r="C772" s="16"/>
      <c r="D772" s="16"/>
      <c r="E772" s="16"/>
      <c r="F772" s="16"/>
      <c r="G772" s="16"/>
      <c r="H772" s="16"/>
      <c r="I772" s="125"/>
      <c r="J772" s="16"/>
      <c r="K772" s="13"/>
      <c r="L772" s="13"/>
      <c r="M772" s="13"/>
      <c r="N772" s="16"/>
      <c r="O772" s="16"/>
      <c r="P772" s="16"/>
      <c r="Q772" s="16"/>
      <c r="R772" s="96"/>
      <c r="S772" s="96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6"/>
      <c r="B773" s="13"/>
      <c r="C773" s="16"/>
      <c r="D773" s="16"/>
      <c r="E773" s="16"/>
      <c r="F773" s="16"/>
      <c r="G773" s="16"/>
      <c r="H773" s="16"/>
      <c r="I773" s="125"/>
      <c r="J773" s="16"/>
      <c r="K773" s="13"/>
      <c r="L773" s="13"/>
      <c r="M773" s="13"/>
      <c r="N773" s="16"/>
      <c r="O773" s="16"/>
      <c r="P773" s="16"/>
      <c r="Q773" s="16"/>
      <c r="R773" s="96"/>
      <c r="S773" s="96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6"/>
      <c r="B774" s="13"/>
      <c r="C774" s="16"/>
      <c r="D774" s="16"/>
      <c r="E774" s="16"/>
      <c r="F774" s="16"/>
      <c r="G774" s="16"/>
      <c r="H774" s="16"/>
      <c r="I774" s="125"/>
      <c r="J774" s="16"/>
      <c r="K774" s="13"/>
      <c r="L774" s="13"/>
      <c r="M774" s="13"/>
      <c r="N774" s="16"/>
      <c r="O774" s="16"/>
      <c r="P774" s="16"/>
      <c r="Q774" s="16"/>
      <c r="R774" s="96"/>
      <c r="S774" s="96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6"/>
      <c r="B775" s="13"/>
      <c r="C775" s="16"/>
      <c r="D775" s="16"/>
      <c r="E775" s="16"/>
      <c r="F775" s="16"/>
      <c r="G775" s="16"/>
      <c r="H775" s="16"/>
      <c r="I775" s="125"/>
      <c r="J775" s="16"/>
      <c r="K775" s="13"/>
      <c r="L775" s="13"/>
      <c r="M775" s="13"/>
      <c r="N775" s="16"/>
      <c r="O775" s="16"/>
      <c r="P775" s="16"/>
      <c r="Q775" s="16"/>
      <c r="R775" s="96"/>
      <c r="S775" s="96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6"/>
      <c r="B776" s="13"/>
      <c r="C776" s="16"/>
      <c r="D776" s="16"/>
      <c r="E776" s="16"/>
      <c r="F776" s="16"/>
      <c r="G776" s="16"/>
      <c r="H776" s="16"/>
      <c r="I776" s="125"/>
      <c r="J776" s="16"/>
      <c r="K776" s="13"/>
      <c r="L776" s="13"/>
      <c r="M776" s="13"/>
      <c r="N776" s="16"/>
      <c r="O776" s="16"/>
      <c r="P776" s="16"/>
      <c r="Q776" s="16"/>
      <c r="R776" s="96"/>
      <c r="S776" s="96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6"/>
      <c r="B777" s="13"/>
      <c r="C777" s="16"/>
      <c r="D777" s="16"/>
      <c r="E777" s="16"/>
      <c r="F777" s="16"/>
      <c r="G777" s="16"/>
      <c r="H777" s="16"/>
      <c r="I777" s="125"/>
      <c r="J777" s="16"/>
      <c r="K777" s="13"/>
      <c r="L777" s="13"/>
      <c r="M777" s="13"/>
      <c r="N777" s="16"/>
      <c r="O777" s="16"/>
      <c r="P777" s="16"/>
      <c r="Q777" s="16"/>
      <c r="R777" s="96"/>
      <c r="S777" s="96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6"/>
      <c r="B778" s="13"/>
      <c r="C778" s="16"/>
      <c r="D778" s="16"/>
      <c r="E778" s="16"/>
      <c r="F778" s="16"/>
      <c r="G778" s="16"/>
      <c r="H778" s="16"/>
      <c r="I778" s="125"/>
      <c r="J778" s="16"/>
      <c r="K778" s="13"/>
      <c r="L778" s="13"/>
      <c r="M778" s="13"/>
      <c r="N778" s="16"/>
      <c r="O778" s="16"/>
      <c r="P778" s="16"/>
      <c r="Q778" s="16"/>
      <c r="R778" s="96"/>
      <c r="S778" s="96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6"/>
      <c r="B779" s="13"/>
      <c r="C779" s="16"/>
      <c r="D779" s="16"/>
      <c r="E779" s="16"/>
      <c r="F779" s="16"/>
      <c r="G779" s="16"/>
      <c r="H779" s="16"/>
      <c r="I779" s="125"/>
      <c r="J779" s="16"/>
      <c r="K779" s="13"/>
      <c r="L779" s="13"/>
      <c r="M779" s="13"/>
      <c r="N779" s="16"/>
      <c r="O779" s="16"/>
      <c r="P779" s="16"/>
      <c r="Q779" s="16"/>
      <c r="R779" s="96"/>
      <c r="S779" s="96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6"/>
      <c r="B780" s="13"/>
      <c r="C780" s="16"/>
      <c r="D780" s="16"/>
      <c r="E780" s="16"/>
      <c r="F780" s="16"/>
      <c r="G780" s="16"/>
      <c r="H780" s="16"/>
      <c r="I780" s="125"/>
      <c r="J780" s="16"/>
      <c r="K780" s="13"/>
      <c r="L780" s="13"/>
      <c r="M780" s="13"/>
      <c r="N780" s="16"/>
      <c r="O780" s="16"/>
      <c r="P780" s="16"/>
      <c r="Q780" s="16"/>
      <c r="R780" s="96"/>
      <c r="S780" s="96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6"/>
      <c r="B781" s="13"/>
      <c r="C781" s="16"/>
      <c r="D781" s="16"/>
      <c r="E781" s="16"/>
      <c r="F781" s="16"/>
      <c r="G781" s="16"/>
      <c r="H781" s="16"/>
      <c r="I781" s="125"/>
      <c r="J781" s="16"/>
      <c r="K781" s="13"/>
      <c r="L781" s="13"/>
      <c r="M781" s="13"/>
      <c r="N781" s="16"/>
      <c r="O781" s="16"/>
      <c r="P781" s="16"/>
      <c r="Q781" s="16"/>
      <c r="R781" s="96"/>
      <c r="S781" s="96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6"/>
      <c r="B782" s="13"/>
      <c r="C782" s="16"/>
      <c r="D782" s="16"/>
      <c r="E782" s="16"/>
      <c r="F782" s="16"/>
      <c r="G782" s="16"/>
      <c r="H782" s="16"/>
      <c r="I782" s="125"/>
      <c r="J782" s="16"/>
      <c r="K782" s="13"/>
      <c r="L782" s="13"/>
      <c r="M782" s="13"/>
      <c r="N782" s="16"/>
      <c r="O782" s="16"/>
      <c r="P782" s="16"/>
      <c r="Q782" s="16"/>
      <c r="R782" s="96"/>
      <c r="S782" s="96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6"/>
      <c r="B783" s="13"/>
      <c r="C783" s="16"/>
      <c r="D783" s="16"/>
      <c r="E783" s="16"/>
      <c r="F783" s="16"/>
      <c r="G783" s="16"/>
      <c r="H783" s="16"/>
      <c r="I783" s="125"/>
      <c r="J783" s="16"/>
      <c r="K783" s="13"/>
      <c r="L783" s="13"/>
      <c r="M783" s="13"/>
      <c r="N783" s="16"/>
      <c r="O783" s="16"/>
      <c r="P783" s="16"/>
      <c r="Q783" s="16"/>
      <c r="R783" s="96"/>
      <c r="S783" s="96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6"/>
      <c r="B784" s="13"/>
      <c r="C784" s="16"/>
      <c r="D784" s="16"/>
      <c r="E784" s="16"/>
      <c r="F784" s="16"/>
      <c r="G784" s="16"/>
      <c r="H784" s="16"/>
      <c r="I784" s="125"/>
      <c r="J784" s="16"/>
      <c r="K784" s="13"/>
      <c r="L784" s="13"/>
      <c r="M784" s="13"/>
      <c r="N784" s="16"/>
      <c r="O784" s="16"/>
      <c r="P784" s="16"/>
      <c r="Q784" s="16"/>
      <c r="R784" s="96"/>
      <c r="S784" s="96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6"/>
      <c r="B785" s="13"/>
      <c r="C785" s="16"/>
      <c r="D785" s="16"/>
      <c r="E785" s="16"/>
      <c r="F785" s="16"/>
      <c r="G785" s="16"/>
      <c r="H785" s="16"/>
      <c r="I785" s="125"/>
      <c r="J785" s="16"/>
      <c r="K785" s="13"/>
      <c r="L785" s="13"/>
      <c r="M785" s="13"/>
      <c r="N785" s="16"/>
      <c r="O785" s="16"/>
      <c r="P785" s="16"/>
      <c r="Q785" s="16"/>
      <c r="R785" s="96"/>
      <c r="S785" s="96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6"/>
      <c r="B786" s="13"/>
      <c r="C786" s="16"/>
      <c r="D786" s="16"/>
      <c r="E786" s="16"/>
      <c r="F786" s="16"/>
      <c r="G786" s="16"/>
      <c r="H786" s="16"/>
      <c r="I786" s="125"/>
      <c r="J786" s="16"/>
      <c r="K786" s="13"/>
      <c r="L786" s="13"/>
      <c r="M786" s="13"/>
      <c r="N786" s="16"/>
      <c r="O786" s="16"/>
      <c r="P786" s="16"/>
      <c r="Q786" s="16"/>
      <c r="R786" s="96"/>
      <c r="S786" s="96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6"/>
      <c r="B787" s="13"/>
      <c r="C787" s="16"/>
      <c r="D787" s="16"/>
      <c r="E787" s="16"/>
      <c r="F787" s="16"/>
      <c r="G787" s="16"/>
      <c r="H787" s="16"/>
      <c r="I787" s="125"/>
      <c r="J787" s="16"/>
      <c r="K787" s="13"/>
      <c r="L787" s="13"/>
      <c r="M787" s="13"/>
      <c r="N787" s="16"/>
      <c r="O787" s="16"/>
      <c r="P787" s="16"/>
      <c r="Q787" s="16"/>
      <c r="R787" s="96"/>
      <c r="S787" s="96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6"/>
      <c r="B788" s="13"/>
      <c r="C788" s="16"/>
      <c r="D788" s="16"/>
      <c r="E788" s="16"/>
      <c r="F788" s="16"/>
      <c r="G788" s="16"/>
      <c r="H788" s="16"/>
      <c r="I788" s="125"/>
      <c r="J788" s="16"/>
      <c r="K788" s="13"/>
      <c r="L788" s="13"/>
      <c r="M788" s="13"/>
      <c r="N788" s="16"/>
      <c r="O788" s="16"/>
      <c r="P788" s="16"/>
      <c r="Q788" s="16"/>
      <c r="R788" s="96"/>
      <c r="S788" s="96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6"/>
      <c r="B789" s="13"/>
      <c r="C789" s="16"/>
      <c r="D789" s="16"/>
      <c r="E789" s="16"/>
      <c r="F789" s="16"/>
      <c r="G789" s="16"/>
      <c r="H789" s="16"/>
      <c r="I789" s="125"/>
      <c r="J789" s="16"/>
      <c r="K789" s="13"/>
      <c r="L789" s="13"/>
      <c r="M789" s="13"/>
      <c r="N789" s="16"/>
      <c r="O789" s="16"/>
      <c r="P789" s="16"/>
      <c r="Q789" s="16"/>
      <c r="R789" s="96"/>
      <c r="S789" s="96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6"/>
      <c r="B790" s="13"/>
      <c r="C790" s="16"/>
      <c r="D790" s="16"/>
      <c r="E790" s="16"/>
      <c r="F790" s="16"/>
      <c r="G790" s="16"/>
      <c r="H790" s="16"/>
      <c r="I790" s="125"/>
      <c r="J790" s="16"/>
      <c r="K790" s="13"/>
      <c r="L790" s="13"/>
      <c r="M790" s="13"/>
      <c r="N790" s="16"/>
      <c r="O790" s="16"/>
      <c r="P790" s="16"/>
      <c r="Q790" s="16"/>
      <c r="R790" s="96"/>
      <c r="S790" s="96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6"/>
      <c r="B791" s="13"/>
      <c r="C791" s="16"/>
      <c r="D791" s="16"/>
      <c r="E791" s="16"/>
      <c r="F791" s="16"/>
      <c r="G791" s="16"/>
      <c r="H791" s="16"/>
      <c r="I791" s="125"/>
      <c r="J791" s="16"/>
      <c r="K791" s="13"/>
      <c r="L791" s="13"/>
      <c r="M791" s="13"/>
      <c r="N791" s="16"/>
      <c r="O791" s="16"/>
      <c r="P791" s="16"/>
      <c r="Q791" s="16"/>
      <c r="R791" s="96"/>
      <c r="S791" s="96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6"/>
      <c r="B792" s="13"/>
      <c r="C792" s="16"/>
      <c r="D792" s="16"/>
      <c r="E792" s="16"/>
      <c r="F792" s="16"/>
      <c r="G792" s="16"/>
      <c r="H792" s="16"/>
      <c r="I792" s="125"/>
      <c r="J792" s="16"/>
      <c r="K792" s="13"/>
      <c r="L792" s="13"/>
      <c r="M792" s="13"/>
      <c r="N792" s="16"/>
      <c r="O792" s="16"/>
      <c r="P792" s="16"/>
      <c r="Q792" s="16"/>
      <c r="R792" s="96"/>
      <c r="S792" s="96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6"/>
      <c r="B793" s="13"/>
      <c r="C793" s="16"/>
      <c r="D793" s="16"/>
      <c r="E793" s="16"/>
      <c r="F793" s="16"/>
      <c r="G793" s="16"/>
      <c r="H793" s="16"/>
      <c r="I793" s="125"/>
      <c r="J793" s="16"/>
      <c r="K793" s="13"/>
      <c r="L793" s="13"/>
      <c r="M793" s="13"/>
      <c r="N793" s="16"/>
      <c r="O793" s="16"/>
      <c r="P793" s="16"/>
      <c r="Q793" s="16"/>
      <c r="R793" s="96"/>
      <c r="S793" s="96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6"/>
      <c r="B794" s="13"/>
      <c r="C794" s="16"/>
      <c r="D794" s="16"/>
      <c r="E794" s="16"/>
      <c r="F794" s="16"/>
      <c r="G794" s="16"/>
      <c r="H794" s="16"/>
      <c r="I794" s="125"/>
      <c r="J794" s="16"/>
      <c r="K794" s="13"/>
      <c r="L794" s="13"/>
      <c r="M794" s="13"/>
      <c r="N794" s="16"/>
      <c r="O794" s="16"/>
      <c r="P794" s="16"/>
      <c r="Q794" s="16"/>
      <c r="R794" s="96"/>
      <c r="S794" s="96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6"/>
      <c r="B795" s="13"/>
      <c r="C795" s="16"/>
      <c r="D795" s="16"/>
      <c r="E795" s="16"/>
      <c r="F795" s="16"/>
      <c r="G795" s="16"/>
      <c r="H795" s="16"/>
      <c r="I795" s="125"/>
      <c r="J795" s="16"/>
      <c r="K795" s="13"/>
      <c r="L795" s="13"/>
      <c r="M795" s="13"/>
      <c r="N795" s="16"/>
      <c r="O795" s="16"/>
      <c r="P795" s="16"/>
      <c r="Q795" s="16"/>
      <c r="R795" s="96"/>
      <c r="S795" s="96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6"/>
      <c r="B796" s="13"/>
      <c r="C796" s="16"/>
      <c r="D796" s="16"/>
      <c r="E796" s="16"/>
      <c r="F796" s="16"/>
      <c r="G796" s="16"/>
      <c r="H796" s="16"/>
      <c r="I796" s="125"/>
      <c r="J796" s="16"/>
      <c r="K796" s="13"/>
      <c r="L796" s="13"/>
      <c r="M796" s="13"/>
      <c r="N796" s="16"/>
      <c r="O796" s="16"/>
      <c r="P796" s="16"/>
      <c r="Q796" s="16"/>
      <c r="R796" s="96"/>
      <c r="S796" s="96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6"/>
      <c r="B797" s="13"/>
      <c r="C797" s="16"/>
      <c r="D797" s="16"/>
      <c r="E797" s="16"/>
      <c r="F797" s="16"/>
      <c r="G797" s="16"/>
      <c r="H797" s="16"/>
      <c r="I797" s="125"/>
      <c r="J797" s="16"/>
      <c r="K797" s="13"/>
      <c r="L797" s="13"/>
      <c r="M797" s="13"/>
      <c r="N797" s="16"/>
      <c r="O797" s="16"/>
      <c r="P797" s="16"/>
      <c r="Q797" s="16"/>
      <c r="R797" s="96"/>
      <c r="S797" s="96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6"/>
      <c r="B798" s="13"/>
      <c r="C798" s="16"/>
      <c r="D798" s="16"/>
      <c r="E798" s="16"/>
      <c r="F798" s="16"/>
      <c r="G798" s="16"/>
      <c r="H798" s="16"/>
      <c r="I798" s="125"/>
      <c r="J798" s="16"/>
      <c r="K798" s="13"/>
      <c r="L798" s="13"/>
      <c r="M798" s="13"/>
      <c r="N798" s="16"/>
      <c r="O798" s="16"/>
      <c r="P798" s="16"/>
      <c r="Q798" s="16"/>
      <c r="R798" s="96"/>
      <c r="S798" s="96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6"/>
      <c r="B799" s="13"/>
      <c r="C799" s="16"/>
      <c r="D799" s="16"/>
      <c r="E799" s="16"/>
      <c r="F799" s="16"/>
      <c r="G799" s="16"/>
      <c r="H799" s="16"/>
      <c r="I799" s="125"/>
      <c r="J799" s="16"/>
      <c r="K799" s="13"/>
      <c r="L799" s="13"/>
      <c r="M799" s="13"/>
      <c r="N799" s="16"/>
      <c r="O799" s="16"/>
      <c r="P799" s="16"/>
      <c r="Q799" s="16"/>
      <c r="R799" s="96"/>
      <c r="S799" s="96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6"/>
      <c r="B800" s="13"/>
      <c r="C800" s="16"/>
      <c r="D800" s="16"/>
      <c r="E800" s="16"/>
      <c r="F800" s="16"/>
      <c r="G800" s="16"/>
      <c r="H800" s="16"/>
      <c r="I800" s="125"/>
      <c r="J800" s="16"/>
      <c r="K800" s="13"/>
      <c r="L800" s="13"/>
      <c r="M800" s="13"/>
      <c r="N800" s="16"/>
      <c r="O800" s="16"/>
      <c r="P800" s="16"/>
      <c r="Q800" s="16"/>
      <c r="R800" s="96"/>
      <c r="S800" s="96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6"/>
      <c r="B801" s="13"/>
      <c r="C801" s="16"/>
      <c r="D801" s="16"/>
      <c r="E801" s="16"/>
      <c r="F801" s="16"/>
      <c r="G801" s="16"/>
      <c r="H801" s="16"/>
      <c r="I801" s="125"/>
      <c r="J801" s="16"/>
      <c r="K801" s="13"/>
      <c r="L801" s="13"/>
      <c r="M801" s="13"/>
      <c r="N801" s="16"/>
      <c r="O801" s="16"/>
      <c r="P801" s="16"/>
      <c r="Q801" s="16"/>
      <c r="R801" s="96"/>
      <c r="S801" s="96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6"/>
      <c r="B802" s="13"/>
      <c r="C802" s="16"/>
      <c r="D802" s="16"/>
      <c r="E802" s="16"/>
      <c r="F802" s="16"/>
      <c r="G802" s="16"/>
      <c r="H802" s="16"/>
      <c r="I802" s="125"/>
      <c r="J802" s="16"/>
      <c r="K802" s="13"/>
      <c r="L802" s="13"/>
      <c r="M802" s="13"/>
      <c r="N802" s="16"/>
      <c r="O802" s="16"/>
      <c r="P802" s="16"/>
      <c r="Q802" s="16"/>
      <c r="R802" s="96"/>
      <c r="S802" s="96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6"/>
      <c r="B803" s="13"/>
      <c r="C803" s="16"/>
      <c r="D803" s="16"/>
      <c r="E803" s="16"/>
      <c r="F803" s="16"/>
      <c r="G803" s="16"/>
      <c r="H803" s="16"/>
      <c r="I803" s="125"/>
      <c r="J803" s="16"/>
      <c r="K803" s="13"/>
      <c r="L803" s="13"/>
      <c r="M803" s="13"/>
      <c r="N803" s="16"/>
      <c r="O803" s="16"/>
      <c r="P803" s="16"/>
      <c r="Q803" s="16"/>
      <c r="R803" s="96"/>
      <c r="S803" s="96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6"/>
      <c r="B804" s="13"/>
      <c r="C804" s="16"/>
      <c r="D804" s="16"/>
      <c r="E804" s="16"/>
      <c r="F804" s="16"/>
      <c r="G804" s="16"/>
      <c r="H804" s="16"/>
      <c r="I804" s="125"/>
      <c r="J804" s="16"/>
      <c r="K804" s="13"/>
      <c r="L804" s="13"/>
      <c r="M804" s="13"/>
      <c r="N804" s="16"/>
      <c r="O804" s="16"/>
      <c r="P804" s="16"/>
      <c r="Q804" s="16"/>
      <c r="R804" s="96"/>
      <c r="S804" s="96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6"/>
      <c r="B805" s="13"/>
      <c r="C805" s="16"/>
      <c r="D805" s="16"/>
      <c r="E805" s="16"/>
      <c r="F805" s="16"/>
      <c r="G805" s="16"/>
      <c r="H805" s="16"/>
      <c r="I805" s="125"/>
      <c r="J805" s="16"/>
      <c r="K805" s="13"/>
      <c r="L805" s="13"/>
      <c r="M805" s="13"/>
      <c r="N805" s="16"/>
      <c r="O805" s="16"/>
      <c r="P805" s="16"/>
      <c r="Q805" s="16"/>
      <c r="R805" s="96"/>
      <c r="S805" s="96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6"/>
      <c r="B806" s="13"/>
      <c r="C806" s="16"/>
      <c r="D806" s="16"/>
      <c r="E806" s="16"/>
      <c r="F806" s="16"/>
      <c r="G806" s="16"/>
      <c r="H806" s="16"/>
      <c r="I806" s="125"/>
      <c r="J806" s="16"/>
      <c r="K806" s="13"/>
      <c r="L806" s="13"/>
      <c r="M806" s="13"/>
      <c r="N806" s="16"/>
      <c r="O806" s="16"/>
      <c r="P806" s="16"/>
      <c r="Q806" s="16"/>
      <c r="R806" s="96"/>
      <c r="S806" s="96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6"/>
      <c r="B807" s="13"/>
      <c r="C807" s="16"/>
      <c r="D807" s="16"/>
      <c r="E807" s="16"/>
      <c r="F807" s="16"/>
      <c r="G807" s="16"/>
      <c r="H807" s="16"/>
      <c r="I807" s="125"/>
      <c r="J807" s="16"/>
      <c r="K807" s="13"/>
      <c r="L807" s="13"/>
      <c r="M807" s="13"/>
      <c r="N807" s="16"/>
      <c r="O807" s="16"/>
      <c r="P807" s="16"/>
      <c r="Q807" s="16"/>
      <c r="R807" s="96"/>
      <c r="S807" s="96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6"/>
      <c r="B808" s="13"/>
      <c r="C808" s="16"/>
      <c r="D808" s="16"/>
      <c r="E808" s="16"/>
      <c r="F808" s="16"/>
      <c r="G808" s="16"/>
      <c r="H808" s="16"/>
      <c r="I808" s="125"/>
      <c r="J808" s="16"/>
      <c r="K808" s="13"/>
      <c r="L808" s="13"/>
      <c r="M808" s="13"/>
      <c r="N808" s="16"/>
      <c r="O808" s="16"/>
      <c r="P808" s="16"/>
      <c r="Q808" s="16"/>
      <c r="R808" s="96"/>
      <c r="S808" s="96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6"/>
      <c r="B809" s="13"/>
      <c r="C809" s="16"/>
      <c r="D809" s="16"/>
      <c r="E809" s="16"/>
      <c r="F809" s="16"/>
      <c r="G809" s="16"/>
      <c r="H809" s="16"/>
      <c r="I809" s="125"/>
      <c r="J809" s="16"/>
      <c r="K809" s="13"/>
      <c r="L809" s="13"/>
      <c r="M809" s="13"/>
      <c r="N809" s="16"/>
      <c r="O809" s="16"/>
      <c r="P809" s="16"/>
      <c r="Q809" s="16"/>
      <c r="R809" s="96"/>
      <c r="S809" s="96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6"/>
      <c r="B810" s="13"/>
      <c r="C810" s="16"/>
      <c r="D810" s="16"/>
      <c r="E810" s="16"/>
      <c r="F810" s="16"/>
      <c r="G810" s="16"/>
      <c r="H810" s="16"/>
      <c r="I810" s="125"/>
      <c r="J810" s="16"/>
      <c r="K810" s="13"/>
      <c r="L810" s="13"/>
      <c r="M810" s="13"/>
      <c r="N810" s="16"/>
      <c r="O810" s="16"/>
      <c r="P810" s="16"/>
      <c r="Q810" s="16"/>
      <c r="R810" s="96"/>
      <c r="S810" s="96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6"/>
      <c r="B811" s="13"/>
      <c r="C811" s="16"/>
      <c r="D811" s="16"/>
      <c r="E811" s="16"/>
      <c r="F811" s="16"/>
      <c r="G811" s="16"/>
      <c r="H811" s="16"/>
      <c r="I811" s="125"/>
      <c r="J811" s="16"/>
      <c r="K811" s="13"/>
      <c r="L811" s="13"/>
      <c r="M811" s="13"/>
      <c r="N811" s="16"/>
      <c r="O811" s="16"/>
      <c r="P811" s="16"/>
      <c r="Q811" s="16"/>
      <c r="R811" s="96"/>
      <c r="S811" s="96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6"/>
      <c r="B812" s="13"/>
      <c r="C812" s="16"/>
      <c r="D812" s="16"/>
      <c r="E812" s="16"/>
      <c r="F812" s="16"/>
      <c r="G812" s="16"/>
      <c r="H812" s="16"/>
      <c r="I812" s="125"/>
      <c r="J812" s="16"/>
      <c r="K812" s="13"/>
      <c r="L812" s="13"/>
      <c r="M812" s="13"/>
      <c r="N812" s="16"/>
      <c r="O812" s="16"/>
      <c r="P812" s="16"/>
      <c r="Q812" s="16"/>
      <c r="R812" s="96"/>
      <c r="S812" s="96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6"/>
      <c r="B813" s="13"/>
      <c r="C813" s="16"/>
      <c r="D813" s="16"/>
      <c r="E813" s="16"/>
      <c r="F813" s="16"/>
      <c r="G813" s="16"/>
      <c r="H813" s="16"/>
      <c r="I813" s="125"/>
      <c r="J813" s="16"/>
      <c r="K813" s="13"/>
      <c r="L813" s="13"/>
      <c r="M813" s="13"/>
      <c r="N813" s="16"/>
      <c r="O813" s="16"/>
      <c r="P813" s="16"/>
      <c r="Q813" s="16"/>
      <c r="R813" s="96"/>
      <c r="S813" s="96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6"/>
      <c r="B814" s="13"/>
      <c r="C814" s="16"/>
      <c r="D814" s="16"/>
      <c r="E814" s="16"/>
      <c r="F814" s="16"/>
      <c r="G814" s="16"/>
      <c r="H814" s="16"/>
      <c r="I814" s="125"/>
      <c r="J814" s="16"/>
      <c r="K814" s="13"/>
      <c r="L814" s="13"/>
      <c r="M814" s="13"/>
      <c r="N814" s="16"/>
      <c r="O814" s="16"/>
      <c r="P814" s="16"/>
      <c r="Q814" s="16"/>
      <c r="R814" s="96"/>
      <c r="S814" s="96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6"/>
      <c r="B815" s="13"/>
      <c r="C815" s="16"/>
      <c r="D815" s="16"/>
      <c r="E815" s="16"/>
      <c r="F815" s="16"/>
      <c r="G815" s="16"/>
      <c r="H815" s="16"/>
      <c r="I815" s="125"/>
      <c r="J815" s="16"/>
      <c r="K815" s="13"/>
      <c r="L815" s="13"/>
      <c r="M815" s="13"/>
      <c r="N815" s="16"/>
      <c r="O815" s="16"/>
      <c r="P815" s="16"/>
      <c r="Q815" s="16"/>
      <c r="R815" s="96"/>
      <c r="S815" s="96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6"/>
      <c r="B816" s="13"/>
      <c r="C816" s="16"/>
      <c r="D816" s="16"/>
      <c r="E816" s="16"/>
      <c r="F816" s="16"/>
      <c r="G816" s="16"/>
      <c r="H816" s="16"/>
      <c r="I816" s="125"/>
      <c r="J816" s="16"/>
      <c r="K816" s="13"/>
      <c r="L816" s="13"/>
      <c r="M816" s="13"/>
      <c r="N816" s="16"/>
      <c r="O816" s="16"/>
      <c r="P816" s="16"/>
      <c r="Q816" s="16"/>
      <c r="R816" s="96"/>
      <c r="S816" s="96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6"/>
      <c r="B817" s="13"/>
      <c r="C817" s="16"/>
      <c r="D817" s="16"/>
      <c r="E817" s="16"/>
      <c r="F817" s="16"/>
      <c r="G817" s="16"/>
      <c r="H817" s="16"/>
      <c r="I817" s="125"/>
      <c r="J817" s="16"/>
      <c r="K817" s="13"/>
      <c r="L817" s="13"/>
      <c r="M817" s="13"/>
      <c r="N817" s="16"/>
      <c r="O817" s="16"/>
      <c r="P817" s="16"/>
      <c r="Q817" s="16"/>
      <c r="R817" s="96"/>
      <c r="S817" s="96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6"/>
      <c r="B818" s="13"/>
      <c r="C818" s="16"/>
      <c r="D818" s="16"/>
      <c r="E818" s="16"/>
      <c r="F818" s="16"/>
      <c r="G818" s="16"/>
      <c r="H818" s="16"/>
      <c r="I818" s="125"/>
      <c r="J818" s="16"/>
      <c r="K818" s="13"/>
      <c r="L818" s="13"/>
      <c r="M818" s="13"/>
      <c r="N818" s="16"/>
      <c r="O818" s="16"/>
      <c r="P818" s="16"/>
      <c r="Q818" s="16"/>
      <c r="R818" s="96"/>
      <c r="S818" s="96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6"/>
      <c r="B819" s="13"/>
      <c r="C819" s="16"/>
      <c r="D819" s="16"/>
      <c r="E819" s="16"/>
      <c r="F819" s="16"/>
      <c r="G819" s="16"/>
      <c r="H819" s="16"/>
      <c r="I819" s="125"/>
      <c r="J819" s="16"/>
      <c r="K819" s="13"/>
      <c r="L819" s="13"/>
      <c r="M819" s="13"/>
      <c r="N819" s="16"/>
      <c r="O819" s="16"/>
      <c r="P819" s="16"/>
      <c r="Q819" s="16"/>
      <c r="R819" s="96"/>
      <c r="S819" s="96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6"/>
      <c r="B820" s="13"/>
      <c r="C820" s="16"/>
      <c r="D820" s="16"/>
      <c r="E820" s="16"/>
      <c r="F820" s="16"/>
      <c r="G820" s="16"/>
      <c r="H820" s="16"/>
      <c r="I820" s="125"/>
      <c r="J820" s="16"/>
      <c r="K820" s="13"/>
      <c r="L820" s="13"/>
      <c r="M820" s="13"/>
      <c r="N820" s="16"/>
      <c r="O820" s="16"/>
      <c r="P820" s="16"/>
      <c r="Q820" s="16"/>
      <c r="R820" s="96"/>
      <c r="S820" s="96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6"/>
      <c r="B821" s="13"/>
      <c r="C821" s="16"/>
      <c r="D821" s="16"/>
      <c r="E821" s="16"/>
      <c r="F821" s="16"/>
      <c r="G821" s="16"/>
      <c r="H821" s="16"/>
      <c r="I821" s="125"/>
      <c r="J821" s="16"/>
      <c r="K821" s="13"/>
      <c r="L821" s="13"/>
      <c r="M821" s="13"/>
      <c r="N821" s="16"/>
      <c r="O821" s="16"/>
      <c r="P821" s="16"/>
      <c r="Q821" s="16"/>
      <c r="R821" s="96"/>
      <c r="S821" s="96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6"/>
      <c r="B822" s="13"/>
      <c r="C822" s="16"/>
      <c r="D822" s="16"/>
      <c r="E822" s="16"/>
      <c r="F822" s="16"/>
      <c r="G822" s="16"/>
      <c r="H822" s="16"/>
      <c r="I822" s="125"/>
      <c r="J822" s="16"/>
      <c r="K822" s="13"/>
      <c r="L822" s="13"/>
      <c r="M822" s="13"/>
      <c r="N822" s="16"/>
      <c r="O822" s="16"/>
      <c r="P822" s="16"/>
      <c r="Q822" s="16"/>
      <c r="R822" s="96"/>
      <c r="S822" s="96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6"/>
      <c r="B823" s="13"/>
      <c r="C823" s="16"/>
      <c r="D823" s="16"/>
      <c r="E823" s="16"/>
      <c r="F823" s="16"/>
      <c r="G823" s="16"/>
      <c r="H823" s="16"/>
      <c r="I823" s="125"/>
      <c r="J823" s="16"/>
      <c r="K823" s="13"/>
      <c r="L823" s="13"/>
      <c r="M823" s="13"/>
      <c r="N823" s="16"/>
      <c r="O823" s="16"/>
      <c r="P823" s="16"/>
      <c r="Q823" s="16"/>
      <c r="R823" s="96"/>
      <c r="S823" s="96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6"/>
      <c r="B824" s="13"/>
      <c r="C824" s="16"/>
      <c r="D824" s="16"/>
      <c r="E824" s="16"/>
      <c r="F824" s="16"/>
      <c r="G824" s="16"/>
      <c r="H824" s="16"/>
      <c r="I824" s="125"/>
      <c r="J824" s="16"/>
      <c r="K824" s="13"/>
      <c r="L824" s="13"/>
      <c r="M824" s="13"/>
      <c r="N824" s="16"/>
      <c r="O824" s="16"/>
      <c r="P824" s="16"/>
      <c r="Q824" s="16"/>
      <c r="R824" s="96"/>
      <c r="S824" s="96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6"/>
      <c r="B825" s="13"/>
      <c r="C825" s="16"/>
      <c r="D825" s="16"/>
      <c r="E825" s="16"/>
      <c r="F825" s="16"/>
      <c r="G825" s="16"/>
      <c r="H825" s="16"/>
      <c r="I825" s="125"/>
      <c r="J825" s="16"/>
      <c r="K825" s="13"/>
      <c r="L825" s="13"/>
      <c r="M825" s="13"/>
      <c r="N825" s="16"/>
      <c r="O825" s="16"/>
      <c r="P825" s="16"/>
      <c r="Q825" s="16"/>
      <c r="R825" s="96"/>
      <c r="S825" s="96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6"/>
      <c r="B826" s="13"/>
      <c r="C826" s="16"/>
      <c r="D826" s="16"/>
      <c r="E826" s="16"/>
      <c r="F826" s="16"/>
      <c r="G826" s="16"/>
      <c r="H826" s="16"/>
      <c r="I826" s="125"/>
      <c r="J826" s="16"/>
      <c r="K826" s="13"/>
      <c r="L826" s="13"/>
      <c r="M826" s="13"/>
      <c r="N826" s="16"/>
      <c r="O826" s="16"/>
      <c r="P826" s="16"/>
      <c r="Q826" s="16"/>
      <c r="R826" s="96"/>
      <c r="S826" s="96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6"/>
      <c r="B827" s="13"/>
      <c r="C827" s="16"/>
      <c r="D827" s="16"/>
      <c r="E827" s="16"/>
      <c r="F827" s="16"/>
      <c r="G827" s="16"/>
      <c r="H827" s="16"/>
      <c r="I827" s="125"/>
      <c r="J827" s="16"/>
      <c r="K827" s="13"/>
      <c r="L827" s="13"/>
      <c r="M827" s="13"/>
      <c r="N827" s="16"/>
      <c r="O827" s="16"/>
      <c r="P827" s="16"/>
      <c r="Q827" s="16"/>
      <c r="R827" s="96"/>
      <c r="S827" s="96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6"/>
      <c r="B828" s="13"/>
      <c r="C828" s="16"/>
      <c r="D828" s="16"/>
      <c r="E828" s="16"/>
      <c r="F828" s="16"/>
      <c r="G828" s="16"/>
      <c r="H828" s="16"/>
      <c r="I828" s="125"/>
      <c r="J828" s="16"/>
      <c r="K828" s="13"/>
      <c r="L828" s="13"/>
      <c r="M828" s="13"/>
      <c r="N828" s="16"/>
      <c r="O828" s="16"/>
      <c r="P828" s="16"/>
      <c r="Q828" s="16"/>
      <c r="R828" s="96"/>
      <c r="S828" s="96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6"/>
      <c r="B829" s="13"/>
      <c r="C829" s="16"/>
      <c r="D829" s="16"/>
      <c r="E829" s="16"/>
      <c r="F829" s="16"/>
      <c r="G829" s="16"/>
      <c r="H829" s="16"/>
      <c r="I829" s="125"/>
      <c r="J829" s="16"/>
      <c r="K829" s="13"/>
      <c r="L829" s="13"/>
      <c r="M829" s="13"/>
      <c r="N829" s="16"/>
      <c r="O829" s="16"/>
      <c r="P829" s="16"/>
      <c r="Q829" s="16"/>
      <c r="R829" s="96"/>
      <c r="S829" s="96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6"/>
      <c r="B830" s="13"/>
      <c r="C830" s="16"/>
      <c r="D830" s="16"/>
      <c r="E830" s="16"/>
      <c r="F830" s="16"/>
      <c r="G830" s="16"/>
      <c r="H830" s="16"/>
      <c r="I830" s="125"/>
      <c r="J830" s="16"/>
      <c r="K830" s="13"/>
      <c r="L830" s="13"/>
      <c r="M830" s="13"/>
      <c r="N830" s="16"/>
      <c r="O830" s="16"/>
      <c r="P830" s="16"/>
      <c r="Q830" s="16"/>
      <c r="R830" s="96"/>
      <c r="S830" s="96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6"/>
      <c r="B831" s="13"/>
      <c r="C831" s="16"/>
      <c r="D831" s="16"/>
      <c r="E831" s="16"/>
      <c r="F831" s="16"/>
      <c r="G831" s="16"/>
      <c r="H831" s="16"/>
      <c r="I831" s="125"/>
      <c r="J831" s="16"/>
      <c r="K831" s="13"/>
      <c r="L831" s="13"/>
      <c r="M831" s="13"/>
      <c r="N831" s="16"/>
      <c r="O831" s="16"/>
      <c r="P831" s="16"/>
      <c r="Q831" s="16"/>
      <c r="R831" s="96"/>
      <c r="S831" s="96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6"/>
      <c r="B832" s="13"/>
      <c r="C832" s="16"/>
      <c r="D832" s="16"/>
      <c r="E832" s="16"/>
      <c r="F832" s="16"/>
      <c r="G832" s="16"/>
      <c r="H832" s="16"/>
      <c r="I832" s="125"/>
      <c r="J832" s="16"/>
      <c r="K832" s="13"/>
      <c r="L832" s="13"/>
      <c r="M832" s="13"/>
      <c r="N832" s="16"/>
      <c r="O832" s="16"/>
      <c r="P832" s="16"/>
      <c r="Q832" s="16"/>
      <c r="R832" s="96"/>
      <c r="S832" s="96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6"/>
      <c r="B833" s="13"/>
      <c r="C833" s="16"/>
      <c r="D833" s="16"/>
      <c r="E833" s="16"/>
      <c r="F833" s="16"/>
      <c r="G833" s="16"/>
      <c r="H833" s="16"/>
      <c r="I833" s="125"/>
      <c r="J833" s="16"/>
      <c r="K833" s="13"/>
      <c r="L833" s="13"/>
      <c r="M833" s="13"/>
      <c r="N833" s="16"/>
      <c r="O833" s="16"/>
      <c r="P833" s="16"/>
      <c r="Q833" s="16"/>
      <c r="R833" s="96"/>
      <c r="S833" s="96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6"/>
      <c r="B834" s="13"/>
      <c r="C834" s="16"/>
      <c r="D834" s="16"/>
      <c r="E834" s="16"/>
      <c r="F834" s="16"/>
      <c r="G834" s="16"/>
      <c r="H834" s="16"/>
      <c r="I834" s="125"/>
      <c r="J834" s="16"/>
      <c r="K834" s="13"/>
      <c r="L834" s="13"/>
      <c r="M834" s="13"/>
      <c r="N834" s="16"/>
      <c r="O834" s="16"/>
      <c r="P834" s="16"/>
      <c r="Q834" s="16"/>
      <c r="R834" s="96"/>
      <c r="S834" s="96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6"/>
      <c r="B835" s="13"/>
      <c r="C835" s="16"/>
      <c r="D835" s="16"/>
      <c r="E835" s="16"/>
      <c r="F835" s="16"/>
      <c r="G835" s="16"/>
      <c r="H835" s="16"/>
      <c r="I835" s="125"/>
      <c r="J835" s="16"/>
      <c r="K835" s="13"/>
      <c r="L835" s="13"/>
      <c r="M835" s="13"/>
      <c r="N835" s="16"/>
      <c r="O835" s="16"/>
      <c r="P835" s="16"/>
      <c r="Q835" s="16"/>
      <c r="R835" s="96"/>
      <c r="S835" s="96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6"/>
      <c r="B836" s="13"/>
      <c r="C836" s="16"/>
      <c r="D836" s="16"/>
      <c r="E836" s="16"/>
      <c r="F836" s="16"/>
      <c r="G836" s="16"/>
      <c r="H836" s="16"/>
      <c r="I836" s="125"/>
      <c r="J836" s="16"/>
      <c r="K836" s="13"/>
      <c r="L836" s="13"/>
      <c r="M836" s="13"/>
      <c r="N836" s="16"/>
      <c r="O836" s="16"/>
      <c r="P836" s="16"/>
      <c r="Q836" s="16"/>
      <c r="R836" s="96"/>
      <c r="S836" s="96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6"/>
      <c r="B837" s="13"/>
      <c r="C837" s="16"/>
      <c r="D837" s="16"/>
      <c r="E837" s="16"/>
      <c r="F837" s="16"/>
      <c r="G837" s="16"/>
      <c r="H837" s="16"/>
      <c r="I837" s="125"/>
      <c r="J837" s="16"/>
      <c r="K837" s="13"/>
      <c r="L837" s="13"/>
      <c r="M837" s="13"/>
      <c r="N837" s="16"/>
      <c r="O837" s="16"/>
      <c r="P837" s="16"/>
      <c r="Q837" s="16"/>
      <c r="R837" s="96"/>
      <c r="S837" s="96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6"/>
      <c r="B838" s="13"/>
      <c r="C838" s="16"/>
      <c r="D838" s="16"/>
      <c r="E838" s="16"/>
      <c r="F838" s="16"/>
      <c r="G838" s="16"/>
      <c r="H838" s="16"/>
      <c r="I838" s="125"/>
      <c r="J838" s="16"/>
      <c r="K838" s="13"/>
      <c r="L838" s="13"/>
      <c r="M838" s="13"/>
      <c r="N838" s="16"/>
      <c r="O838" s="16"/>
      <c r="P838" s="16"/>
      <c r="Q838" s="16"/>
      <c r="R838" s="96"/>
      <c r="S838" s="96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6"/>
      <c r="B839" s="13"/>
      <c r="C839" s="16"/>
      <c r="D839" s="16"/>
      <c r="E839" s="16"/>
      <c r="F839" s="16"/>
      <c r="G839" s="16"/>
      <c r="H839" s="16"/>
      <c r="I839" s="125"/>
      <c r="J839" s="16"/>
      <c r="K839" s="13"/>
      <c r="L839" s="13"/>
      <c r="M839" s="13"/>
      <c r="N839" s="16"/>
      <c r="O839" s="16"/>
      <c r="P839" s="16"/>
      <c r="Q839" s="16"/>
      <c r="R839" s="96"/>
      <c r="S839" s="96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6"/>
      <c r="B840" s="13"/>
      <c r="C840" s="16"/>
      <c r="D840" s="16"/>
      <c r="E840" s="16"/>
      <c r="F840" s="16"/>
      <c r="G840" s="16"/>
      <c r="H840" s="16"/>
      <c r="I840" s="125"/>
      <c r="J840" s="16"/>
      <c r="K840" s="13"/>
      <c r="L840" s="13"/>
      <c r="M840" s="13"/>
      <c r="N840" s="16"/>
      <c r="O840" s="16"/>
      <c r="P840" s="16"/>
      <c r="Q840" s="16"/>
      <c r="R840" s="96"/>
      <c r="S840" s="96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6"/>
      <c r="B841" s="13"/>
      <c r="C841" s="16"/>
      <c r="D841" s="16"/>
      <c r="E841" s="16"/>
      <c r="F841" s="16"/>
      <c r="G841" s="16"/>
      <c r="H841" s="16"/>
      <c r="I841" s="125"/>
      <c r="J841" s="16"/>
      <c r="K841" s="13"/>
      <c r="L841" s="13"/>
      <c r="M841" s="13"/>
      <c r="N841" s="16"/>
      <c r="O841" s="16"/>
      <c r="P841" s="16"/>
      <c r="Q841" s="16"/>
      <c r="R841" s="96"/>
      <c r="S841" s="96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6"/>
      <c r="B842" s="13"/>
      <c r="C842" s="16"/>
      <c r="D842" s="16"/>
      <c r="E842" s="16"/>
      <c r="F842" s="16"/>
      <c r="G842" s="16"/>
      <c r="H842" s="16"/>
      <c r="I842" s="125"/>
      <c r="J842" s="16"/>
      <c r="K842" s="13"/>
      <c r="L842" s="13"/>
      <c r="M842" s="13"/>
      <c r="N842" s="16"/>
      <c r="O842" s="16"/>
      <c r="P842" s="16"/>
      <c r="Q842" s="16"/>
      <c r="R842" s="96"/>
      <c r="S842" s="96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6"/>
      <c r="B843" s="13"/>
      <c r="C843" s="16"/>
      <c r="D843" s="16"/>
      <c r="E843" s="16"/>
      <c r="F843" s="16"/>
      <c r="G843" s="16"/>
      <c r="H843" s="16"/>
      <c r="I843" s="125"/>
      <c r="J843" s="16"/>
      <c r="K843" s="13"/>
      <c r="L843" s="13"/>
      <c r="M843" s="13"/>
      <c r="N843" s="16"/>
      <c r="O843" s="16"/>
      <c r="P843" s="16"/>
      <c r="Q843" s="16"/>
      <c r="R843" s="96"/>
      <c r="S843" s="96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6"/>
      <c r="B844" s="13"/>
      <c r="C844" s="16"/>
      <c r="D844" s="16"/>
      <c r="E844" s="16"/>
      <c r="F844" s="16"/>
      <c r="G844" s="16"/>
      <c r="H844" s="16"/>
      <c r="I844" s="125"/>
      <c r="J844" s="16"/>
      <c r="K844" s="13"/>
      <c r="L844" s="13"/>
      <c r="M844" s="13"/>
      <c r="N844" s="16"/>
      <c r="O844" s="16"/>
      <c r="P844" s="16"/>
      <c r="Q844" s="16"/>
      <c r="R844" s="96"/>
      <c r="S844" s="96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6"/>
      <c r="B845" s="13"/>
      <c r="C845" s="16"/>
      <c r="D845" s="16"/>
      <c r="E845" s="16"/>
      <c r="F845" s="16"/>
      <c r="G845" s="16"/>
      <c r="H845" s="16"/>
      <c r="I845" s="125"/>
      <c r="J845" s="16"/>
      <c r="K845" s="13"/>
      <c r="L845" s="13"/>
      <c r="M845" s="13"/>
      <c r="N845" s="16"/>
      <c r="O845" s="16"/>
      <c r="P845" s="16"/>
      <c r="Q845" s="16"/>
      <c r="R845" s="96"/>
      <c r="S845" s="96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6"/>
      <c r="B846" s="13"/>
      <c r="C846" s="16"/>
      <c r="D846" s="16"/>
      <c r="E846" s="16"/>
      <c r="F846" s="16"/>
      <c r="G846" s="16"/>
      <c r="H846" s="16"/>
      <c r="I846" s="125"/>
      <c r="J846" s="16"/>
      <c r="K846" s="13"/>
      <c r="L846" s="13"/>
      <c r="M846" s="13"/>
      <c r="N846" s="16"/>
      <c r="O846" s="16"/>
      <c r="P846" s="16"/>
      <c r="Q846" s="16"/>
      <c r="R846" s="96"/>
      <c r="S846" s="96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6"/>
      <c r="B847" s="13"/>
      <c r="C847" s="16"/>
      <c r="D847" s="16"/>
      <c r="E847" s="16"/>
      <c r="F847" s="16"/>
      <c r="G847" s="16"/>
      <c r="H847" s="16"/>
      <c r="I847" s="125"/>
      <c r="J847" s="16"/>
      <c r="K847" s="13"/>
      <c r="L847" s="13"/>
      <c r="M847" s="13"/>
      <c r="N847" s="16"/>
      <c r="O847" s="16"/>
      <c r="P847" s="16"/>
      <c r="Q847" s="16"/>
      <c r="R847" s="96"/>
      <c r="S847" s="96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6"/>
      <c r="B848" s="13"/>
      <c r="C848" s="16"/>
      <c r="D848" s="16"/>
      <c r="E848" s="16"/>
      <c r="F848" s="16"/>
      <c r="G848" s="16"/>
      <c r="H848" s="16"/>
      <c r="I848" s="125"/>
      <c r="J848" s="16"/>
      <c r="K848" s="13"/>
      <c r="L848" s="13"/>
      <c r="M848" s="13"/>
      <c r="N848" s="16"/>
      <c r="O848" s="16"/>
      <c r="P848" s="16"/>
      <c r="Q848" s="16"/>
      <c r="R848" s="96"/>
      <c r="S848" s="96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6"/>
      <c r="B849" s="13"/>
      <c r="C849" s="16"/>
      <c r="D849" s="16"/>
      <c r="E849" s="16"/>
      <c r="F849" s="16"/>
      <c r="G849" s="16"/>
      <c r="H849" s="16"/>
      <c r="I849" s="125"/>
      <c r="J849" s="16"/>
      <c r="K849" s="13"/>
      <c r="L849" s="13"/>
      <c r="M849" s="13"/>
      <c r="N849" s="16"/>
      <c r="O849" s="16"/>
      <c r="P849" s="16"/>
      <c r="Q849" s="16"/>
      <c r="R849" s="96"/>
      <c r="S849" s="96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6"/>
      <c r="B850" s="13"/>
      <c r="C850" s="16"/>
      <c r="D850" s="16"/>
      <c r="E850" s="16"/>
      <c r="F850" s="16"/>
      <c r="G850" s="16"/>
      <c r="H850" s="16"/>
      <c r="I850" s="125"/>
      <c r="J850" s="16"/>
      <c r="K850" s="13"/>
      <c r="L850" s="13"/>
      <c r="M850" s="13"/>
      <c r="N850" s="16"/>
      <c r="O850" s="16"/>
      <c r="P850" s="16"/>
      <c r="Q850" s="16"/>
      <c r="R850" s="96"/>
      <c r="S850" s="96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6"/>
      <c r="B851" s="13"/>
      <c r="C851" s="16"/>
      <c r="D851" s="16"/>
      <c r="E851" s="16"/>
      <c r="F851" s="16"/>
      <c r="G851" s="16"/>
      <c r="H851" s="16"/>
      <c r="I851" s="125"/>
      <c r="J851" s="16"/>
      <c r="K851" s="13"/>
      <c r="L851" s="13"/>
      <c r="M851" s="13"/>
      <c r="N851" s="16"/>
      <c r="O851" s="16"/>
      <c r="P851" s="16"/>
      <c r="Q851" s="16"/>
      <c r="R851" s="96"/>
      <c r="S851" s="96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6"/>
      <c r="B852" s="13"/>
      <c r="C852" s="16"/>
      <c r="D852" s="16"/>
      <c r="E852" s="16"/>
      <c r="F852" s="16"/>
      <c r="G852" s="16"/>
      <c r="H852" s="16"/>
      <c r="I852" s="125"/>
      <c r="J852" s="16"/>
      <c r="K852" s="13"/>
      <c r="L852" s="13"/>
      <c r="M852" s="13"/>
      <c r="N852" s="16"/>
      <c r="O852" s="16"/>
      <c r="P852" s="16"/>
      <c r="Q852" s="16"/>
      <c r="R852" s="96"/>
      <c r="S852" s="96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6"/>
      <c r="B853" s="13"/>
      <c r="C853" s="16"/>
      <c r="D853" s="16"/>
      <c r="E853" s="16"/>
      <c r="F853" s="16"/>
      <c r="G853" s="16"/>
      <c r="H853" s="16"/>
      <c r="I853" s="125"/>
      <c r="J853" s="16"/>
      <c r="K853" s="13"/>
      <c r="L853" s="13"/>
      <c r="M853" s="13"/>
      <c r="N853" s="16"/>
      <c r="O853" s="16"/>
      <c r="P853" s="16"/>
      <c r="Q853" s="16"/>
      <c r="R853" s="96"/>
      <c r="S853" s="96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6"/>
      <c r="B854" s="13"/>
      <c r="C854" s="16"/>
      <c r="D854" s="16"/>
      <c r="E854" s="16"/>
      <c r="F854" s="16"/>
      <c r="G854" s="16"/>
      <c r="H854" s="16"/>
      <c r="I854" s="125"/>
      <c r="J854" s="16"/>
      <c r="K854" s="13"/>
      <c r="L854" s="13"/>
      <c r="M854" s="13"/>
      <c r="N854" s="16"/>
      <c r="O854" s="16"/>
      <c r="P854" s="16"/>
      <c r="Q854" s="16"/>
      <c r="R854" s="96"/>
      <c r="S854" s="96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6"/>
      <c r="B855" s="13"/>
      <c r="C855" s="16"/>
      <c r="D855" s="16"/>
      <c r="E855" s="16"/>
      <c r="F855" s="16"/>
      <c r="G855" s="16"/>
      <c r="H855" s="16"/>
      <c r="I855" s="125"/>
      <c r="J855" s="16"/>
      <c r="K855" s="13"/>
      <c r="L855" s="13"/>
      <c r="M855" s="13"/>
      <c r="N855" s="16"/>
      <c r="O855" s="16"/>
      <c r="P855" s="16"/>
      <c r="Q855" s="16"/>
      <c r="R855" s="96"/>
      <c r="S855" s="96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6"/>
      <c r="B856" s="13"/>
      <c r="C856" s="16"/>
      <c r="D856" s="16"/>
      <c r="E856" s="16"/>
      <c r="F856" s="16"/>
      <c r="G856" s="16"/>
      <c r="H856" s="16"/>
      <c r="I856" s="125"/>
      <c r="J856" s="16"/>
      <c r="K856" s="13"/>
      <c r="L856" s="13"/>
      <c r="M856" s="13"/>
      <c r="N856" s="16"/>
      <c r="O856" s="16"/>
      <c r="P856" s="16"/>
      <c r="Q856" s="16"/>
      <c r="R856" s="96"/>
      <c r="S856" s="96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6"/>
      <c r="B857" s="13"/>
      <c r="C857" s="16"/>
      <c r="D857" s="16"/>
      <c r="E857" s="16"/>
      <c r="F857" s="16"/>
      <c r="G857" s="16"/>
      <c r="H857" s="16"/>
      <c r="I857" s="125"/>
      <c r="J857" s="16"/>
      <c r="K857" s="13"/>
      <c r="L857" s="13"/>
      <c r="M857" s="13"/>
      <c r="N857" s="16"/>
      <c r="O857" s="16"/>
      <c r="P857" s="16"/>
      <c r="Q857" s="16"/>
      <c r="R857" s="96"/>
      <c r="S857" s="96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6"/>
      <c r="B858" s="13"/>
      <c r="C858" s="16"/>
      <c r="D858" s="16"/>
      <c r="E858" s="16"/>
      <c r="F858" s="16"/>
      <c r="G858" s="16"/>
      <c r="H858" s="16"/>
      <c r="I858" s="125"/>
      <c r="J858" s="16"/>
      <c r="K858" s="13"/>
      <c r="L858" s="13"/>
      <c r="M858" s="13"/>
      <c r="N858" s="16"/>
      <c r="O858" s="16"/>
      <c r="P858" s="16"/>
      <c r="Q858" s="16"/>
      <c r="R858" s="96"/>
      <c r="S858" s="96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6"/>
      <c r="B859" s="13"/>
      <c r="C859" s="16"/>
      <c r="D859" s="16"/>
      <c r="E859" s="16"/>
      <c r="F859" s="16"/>
      <c r="G859" s="16"/>
      <c r="H859" s="16"/>
      <c r="I859" s="125"/>
      <c r="J859" s="16"/>
      <c r="K859" s="13"/>
      <c r="L859" s="13"/>
      <c r="M859" s="13"/>
      <c r="N859" s="16"/>
      <c r="O859" s="16"/>
      <c r="P859" s="16"/>
      <c r="Q859" s="16"/>
      <c r="R859" s="96"/>
      <c r="S859" s="96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6"/>
      <c r="B860" s="13"/>
      <c r="C860" s="16"/>
      <c r="D860" s="16"/>
      <c r="E860" s="16"/>
      <c r="F860" s="16"/>
      <c r="G860" s="16"/>
      <c r="H860" s="16"/>
      <c r="I860" s="125"/>
      <c r="J860" s="16"/>
      <c r="K860" s="13"/>
      <c r="L860" s="13"/>
      <c r="M860" s="13"/>
      <c r="N860" s="16"/>
      <c r="O860" s="16"/>
      <c r="P860" s="16"/>
      <c r="Q860" s="16"/>
      <c r="R860" s="96"/>
      <c r="S860" s="96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6"/>
      <c r="B861" s="13"/>
      <c r="C861" s="16"/>
      <c r="D861" s="16"/>
      <c r="E861" s="16"/>
      <c r="F861" s="16"/>
      <c r="G861" s="16"/>
      <c r="H861" s="16"/>
      <c r="I861" s="125"/>
      <c r="J861" s="16"/>
      <c r="K861" s="13"/>
      <c r="L861" s="13"/>
      <c r="M861" s="13"/>
      <c r="N861" s="16"/>
      <c r="O861" s="16"/>
      <c r="P861" s="16"/>
      <c r="Q861" s="16"/>
      <c r="R861" s="96"/>
      <c r="S861" s="96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6"/>
      <c r="B862" s="13"/>
      <c r="C862" s="16"/>
      <c r="D862" s="16"/>
      <c r="E862" s="16"/>
      <c r="F862" s="16"/>
      <c r="G862" s="16"/>
      <c r="H862" s="16"/>
      <c r="I862" s="125"/>
      <c r="J862" s="16"/>
      <c r="K862" s="13"/>
      <c r="L862" s="13"/>
      <c r="M862" s="13"/>
      <c r="N862" s="16"/>
      <c r="O862" s="16"/>
      <c r="P862" s="16"/>
      <c r="Q862" s="16"/>
      <c r="R862" s="96"/>
      <c r="S862" s="96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6"/>
      <c r="B863" s="13"/>
      <c r="C863" s="16"/>
      <c r="D863" s="16"/>
      <c r="E863" s="16"/>
      <c r="F863" s="16"/>
      <c r="G863" s="16"/>
      <c r="H863" s="16"/>
      <c r="I863" s="125"/>
      <c r="J863" s="16"/>
      <c r="K863" s="13"/>
      <c r="L863" s="13"/>
      <c r="M863" s="13"/>
      <c r="N863" s="16"/>
      <c r="O863" s="16"/>
      <c r="P863" s="16"/>
      <c r="Q863" s="16"/>
      <c r="R863" s="96"/>
      <c r="S863" s="96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6"/>
      <c r="B864" s="13"/>
      <c r="C864" s="16"/>
      <c r="D864" s="16"/>
      <c r="E864" s="16"/>
      <c r="F864" s="16"/>
      <c r="G864" s="16"/>
      <c r="H864" s="16"/>
      <c r="I864" s="125"/>
      <c r="J864" s="16"/>
      <c r="K864" s="13"/>
      <c r="L864" s="13"/>
      <c r="M864" s="13"/>
      <c r="N864" s="16"/>
      <c r="O864" s="16"/>
      <c r="P864" s="16"/>
      <c r="Q864" s="16"/>
      <c r="R864" s="96"/>
      <c r="S864" s="96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6"/>
      <c r="B865" s="13"/>
      <c r="C865" s="16"/>
      <c r="D865" s="16"/>
      <c r="E865" s="16"/>
      <c r="F865" s="16"/>
      <c r="G865" s="16"/>
      <c r="H865" s="16"/>
      <c r="I865" s="125"/>
      <c r="J865" s="16"/>
      <c r="K865" s="13"/>
      <c r="L865" s="13"/>
      <c r="M865" s="13"/>
      <c r="N865" s="16"/>
      <c r="O865" s="16"/>
      <c r="P865" s="16"/>
      <c r="Q865" s="16"/>
      <c r="R865" s="96"/>
      <c r="S865" s="96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6"/>
      <c r="B866" s="13"/>
      <c r="C866" s="16"/>
      <c r="D866" s="16"/>
      <c r="E866" s="16"/>
      <c r="F866" s="16"/>
      <c r="G866" s="16"/>
      <c r="H866" s="16"/>
      <c r="I866" s="125"/>
      <c r="J866" s="16"/>
      <c r="K866" s="13"/>
      <c r="L866" s="13"/>
      <c r="M866" s="13"/>
      <c r="N866" s="16"/>
      <c r="O866" s="16"/>
      <c r="P866" s="16"/>
      <c r="Q866" s="16"/>
      <c r="R866" s="96"/>
      <c r="S866" s="96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6"/>
      <c r="B867" s="13"/>
      <c r="C867" s="16"/>
      <c r="D867" s="16"/>
      <c r="E867" s="16"/>
      <c r="F867" s="16"/>
      <c r="G867" s="16"/>
      <c r="H867" s="16"/>
      <c r="I867" s="125"/>
      <c r="J867" s="16"/>
      <c r="K867" s="13"/>
      <c r="L867" s="13"/>
      <c r="M867" s="13"/>
      <c r="N867" s="16"/>
      <c r="O867" s="16"/>
      <c r="P867" s="16"/>
      <c r="Q867" s="16"/>
      <c r="R867" s="96"/>
      <c r="S867" s="96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6"/>
      <c r="B868" s="13"/>
      <c r="C868" s="16"/>
      <c r="D868" s="16"/>
      <c r="E868" s="16"/>
      <c r="F868" s="16"/>
      <c r="G868" s="16"/>
      <c r="H868" s="16"/>
      <c r="I868" s="125"/>
      <c r="J868" s="16"/>
      <c r="K868" s="13"/>
      <c r="L868" s="13"/>
      <c r="M868" s="13"/>
      <c r="N868" s="16"/>
      <c r="O868" s="16"/>
      <c r="P868" s="16"/>
      <c r="Q868" s="16"/>
      <c r="R868" s="96"/>
      <c r="S868" s="96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6"/>
      <c r="B869" s="13"/>
      <c r="C869" s="16"/>
      <c r="D869" s="16"/>
      <c r="E869" s="16"/>
      <c r="F869" s="16"/>
      <c r="G869" s="16"/>
      <c r="H869" s="16"/>
      <c r="I869" s="125"/>
      <c r="J869" s="16"/>
      <c r="K869" s="13"/>
      <c r="L869" s="13"/>
      <c r="M869" s="13"/>
      <c r="N869" s="16"/>
      <c r="O869" s="16"/>
      <c r="P869" s="16"/>
      <c r="Q869" s="16"/>
      <c r="R869" s="96"/>
      <c r="S869" s="96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6"/>
      <c r="B870" s="13"/>
      <c r="C870" s="16"/>
      <c r="D870" s="16"/>
      <c r="E870" s="16"/>
      <c r="F870" s="16"/>
      <c r="G870" s="16"/>
      <c r="H870" s="16"/>
      <c r="I870" s="125"/>
      <c r="J870" s="16"/>
      <c r="K870" s="13"/>
      <c r="L870" s="13"/>
      <c r="M870" s="13"/>
      <c r="N870" s="16"/>
      <c r="O870" s="16"/>
      <c r="P870" s="16"/>
      <c r="Q870" s="16"/>
      <c r="R870" s="96"/>
      <c r="S870" s="96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6"/>
      <c r="B871" s="13"/>
      <c r="C871" s="16"/>
      <c r="D871" s="16"/>
      <c r="E871" s="16"/>
      <c r="F871" s="16"/>
      <c r="G871" s="16"/>
      <c r="H871" s="16"/>
      <c r="I871" s="125"/>
      <c r="J871" s="16"/>
      <c r="K871" s="13"/>
      <c r="L871" s="13"/>
      <c r="M871" s="13"/>
      <c r="N871" s="16"/>
      <c r="O871" s="16"/>
      <c r="P871" s="16"/>
      <c r="Q871" s="16"/>
      <c r="R871" s="96"/>
      <c r="S871" s="96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6"/>
      <c r="B872" s="13"/>
      <c r="C872" s="16"/>
      <c r="D872" s="16"/>
      <c r="E872" s="16"/>
      <c r="F872" s="16"/>
      <c r="G872" s="16"/>
      <c r="H872" s="16"/>
      <c r="I872" s="125"/>
      <c r="J872" s="16"/>
      <c r="K872" s="13"/>
      <c r="L872" s="13"/>
      <c r="M872" s="13"/>
      <c r="N872" s="16"/>
      <c r="O872" s="16"/>
      <c r="P872" s="16"/>
      <c r="Q872" s="16"/>
      <c r="R872" s="96"/>
      <c r="S872" s="96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6"/>
      <c r="B873" s="13"/>
      <c r="C873" s="16"/>
      <c r="D873" s="16"/>
      <c r="E873" s="16"/>
      <c r="F873" s="16"/>
      <c r="G873" s="16"/>
      <c r="H873" s="16"/>
      <c r="I873" s="125"/>
      <c r="J873" s="16"/>
      <c r="K873" s="13"/>
      <c r="L873" s="13"/>
      <c r="M873" s="13"/>
      <c r="N873" s="16"/>
      <c r="O873" s="16"/>
      <c r="P873" s="16"/>
      <c r="Q873" s="16"/>
      <c r="R873" s="96"/>
      <c r="S873" s="96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6"/>
      <c r="B874" s="13"/>
      <c r="C874" s="16"/>
      <c r="D874" s="16"/>
      <c r="E874" s="16"/>
      <c r="F874" s="16"/>
      <c r="G874" s="16"/>
      <c r="H874" s="16"/>
      <c r="I874" s="125"/>
      <c r="J874" s="16"/>
      <c r="K874" s="13"/>
      <c r="L874" s="13"/>
      <c r="M874" s="13"/>
      <c r="N874" s="16"/>
      <c r="O874" s="16"/>
      <c r="P874" s="16"/>
      <c r="Q874" s="16"/>
      <c r="R874" s="96"/>
      <c r="S874" s="96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6"/>
      <c r="B875" s="13"/>
      <c r="C875" s="16"/>
      <c r="D875" s="16"/>
      <c r="E875" s="16"/>
      <c r="F875" s="16"/>
      <c r="G875" s="16"/>
      <c r="H875" s="16"/>
      <c r="I875" s="125"/>
      <c r="J875" s="16"/>
      <c r="K875" s="13"/>
      <c r="L875" s="13"/>
      <c r="M875" s="13"/>
      <c r="N875" s="16"/>
      <c r="O875" s="16"/>
      <c r="P875" s="16"/>
      <c r="Q875" s="16"/>
      <c r="R875" s="96"/>
      <c r="S875" s="96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6"/>
      <c r="B876" s="13"/>
      <c r="C876" s="16"/>
      <c r="D876" s="16"/>
      <c r="E876" s="16"/>
      <c r="F876" s="16"/>
      <c r="G876" s="16"/>
      <c r="H876" s="16"/>
      <c r="I876" s="125"/>
      <c r="J876" s="16"/>
      <c r="K876" s="13"/>
      <c r="L876" s="13"/>
      <c r="M876" s="13"/>
      <c r="N876" s="16"/>
      <c r="O876" s="16"/>
      <c r="P876" s="16"/>
      <c r="Q876" s="16"/>
      <c r="R876" s="96"/>
      <c r="S876" s="96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6"/>
      <c r="B877" s="13"/>
      <c r="C877" s="16"/>
      <c r="D877" s="16"/>
      <c r="E877" s="16"/>
      <c r="F877" s="16"/>
      <c r="G877" s="16"/>
      <c r="H877" s="16"/>
      <c r="I877" s="125"/>
      <c r="J877" s="16"/>
      <c r="K877" s="13"/>
      <c r="L877" s="13"/>
      <c r="M877" s="13"/>
      <c r="N877" s="16"/>
      <c r="O877" s="16"/>
      <c r="P877" s="16"/>
      <c r="Q877" s="16"/>
      <c r="R877" s="96"/>
      <c r="S877" s="96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6"/>
      <c r="B878" s="13"/>
      <c r="C878" s="16"/>
      <c r="D878" s="16"/>
      <c r="E878" s="16"/>
      <c r="F878" s="16"/>
      <c r="G878" s="16"/>
      <c r="H878" s="16"/>
      <c r="I878" s="125"/>
      <c r="J878" s="16"/>
      <c r="K878" s="13"/>
      <c r="L878" s="13"/>
      <c r="M878" s="13"/>
      <c r="N878" s="16"/>
      <c r="O878" s="16"/>
      <c r="P878" s="16"/>
      <c r="Q878" s="16"/>
      <c r="R878" s="96"/>
      <c r="S878" s="96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6"/>
      <c r="B879" s="13"/>
      <c r="C879" s="16"/>
      <c r="D879" s="16"/>
      <c r="E879" s="16"/>
      <c r="F879" s="16"/>
      <c r="G879" s="16"/>
      <c r="H879" s="16"/>
      <c r="I879" s="125"/>
      <c r="J879" s="16"/>
      <c r="K879" s="13"/>
      <c r="L879" s="13"/>
      <c r="M879" s="13"/>
      <c r="N879" s="16"/>
      <c r="O879" s="16"/>
      <c r="P879" s="16"/>
      <c r="Q879" s="16"/>
      <c r="R879" s="96"/>
      <c r="S879" s="96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6"/>
      <c r="B880" s="13"/>
      <c r="C880" s="16"/>
      <c r="D880" s="16"/>
      <c r="E880" s="16"/>
      <c r="F880" s="16"/>
      <c r="G880" s="16"/>
      <c r="H880" s="16"/>
      <c r="I880" s="125"/>
      <c r="J880" s="16"/>
      <c r="K880" s="13"/>
      <c r="L880" s="13"/>
      <c r="M880" s="13"/>
      <c r="N880" s="16"/>
      <c r="O880" s="16"/>
      <c r="P880" s="16"/>
      <c r="Q880" s="16"/>
      <c r="R880" s="96"/>
      <c r="S880" s="96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6"/>
      <c r="B881" s="13"/>
      <c r="C881" s="16"/>
      <c r="D881" s="16"/>
      <c r="E881" s="16"/>
      <c r="F881" s="16"/>
      <c r="G881" s="16"/>
      <c r="H881" s="16"/>
      <c r="I881" s="125"/>
      <c r="J881" s="16"/>
      <c r="K881" s="13"/>
      <c r="L881" s="13"/>
      <c r="M881" s="13"/>
      <c r="N881" s="16"/>
      <c r="O881" s="16"/>
      <c r="P881" s="16"/>
      <c r="Q881" s="16"/>
      <c r="R881" s="96"/>
      <c r="S881" s="96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6"/>
      <c r="B882" s="13"/>
      <c r="C882" s="16"/>
      <c r="D882" s="16"/>
      <c r="E882" s="16"/>
      <c r="F882" s="16"/>
      <c r="G882" s="16"/>
      <c r="H882" s="16"/>
      <c r="I882" s="125"/>
      <c r="J882" s="16"/>
      <c r="K882" s="13"/>
      <c r="L882" s="13"/>
      <c r="M882" s="13"/>
      <c r="N882" s="16"/>
      <c r="O882" s="16"/>
      <c r="P882" s="16"/>
      <c r="Q882" s="16"/>
      <c r="R882" s="96"/>
      <c r="S882" s="96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6"/>
      <c r="B883" s="13"/>
      <c r="C883" s="16"/>
      <c r="D883" s="16"/>
      <c r="E883" s="16"/>
      <c r="F883" s="16"/>
      <c r="G883" s="16"/>
      <c r="H883" s="16"/>
      <c r="I883" s="125"/>
      <c r="J883" s="16"/>
      <c r="K883" s="13"/>
      <c r="L883" s="13"/>
      <c r="M883" s="13"/>
      <c r="N883" s="16"/>
      <c r="O883" s="16"/>
      <c r="P883" s="16"/>
      <c r="Q883" s="16"/>
      <c r="R883" s="96"/>
      <c r="S883" s="96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6"/>
      <c r="B884" s="13"/>
      <c r="C884" s="16"/>
      <c r="D884" s="16"/>
      <c r="E884" s="16"/>
      <c r="F884" s="16"/>
      <c r="G884" s="16"/>
      <c r="H884" s="16"/>
      <c r="I884" s="125"/>
      <c r="J884" s="16"/>
      <c r="K884" s="13"/>
      <c r="L884" s="13"/>
      <c r="M884" s="13"/>
      <c r="N884" s="16"/>
      <c r="O884" s="16"/>
      <c r="P884" s="16"/>
      <c r="Q884" s="16"/>
      <c r="R884" s="96"/>
      <c r="S884" s="96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6"/>
      <c r="B885" s="13"/>
      <c r="C885" s="16"/>
      <c r="D885" s="16"/>
      <c r="E885" s="16"/>
      <c r="F885" s="16"/>
      <c r="G885" s="16"/>
      <c r="H885" s="16"/>
      <c r="I885" s="125"/>
      <c r="J885" s="16"/>
      <c r="K885" s="13"/>
      <c r="L885" s="13"/>
      <c r="M885" s="13"/>
      <c r="N885" s="16"/>
      <c r="O885" s="16"/>
      <c r="P885" s="16"/>
      <c r="Q885" s="16"/>
      <c r="R885" s="96"/>
      <c r="S885" s="96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6"/>
      <c r="B886" s="13"/>
      <c r="C886" s="16"/>
      <c r="D886" s="16"/>
      <c r="E886" s="16"/>
      <c r="F886" s="16"/>
      <c r="G886" s="16"/>
      <c r="H886" s="16"/>
      <c r="I886" s="125"/>
      <c r="J886" s="16"/>
      <c r="K886" s="13"/>
      <c r="L886" s="13"/>
      <c r="M886" s="13"/>
      <c r="N886" s="16"/>
      <c r="O886" s="16"/>
      <c r="P886" s="16"/>
      <c r="Q886" s="16"/>
      <c r="R886" s="96"/>
      <c r="S886" s="96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6"/>
      <c r="B887" s="13"/>
      <c r="C887" s="16"/>
      <c r="D887" s="16"/>
      <c r="E887" s="16"/>
      <c r="F887" s="16"/>
      <c r="G887" s="16"/>
      <c r="H887" s="16"/>
      <c r="I887" s="125"/>
      <c r="J887" s="16"/>
      <c r="K887" s="13"/>
      <c r="L887" s="13"/>
      <c r="M887" s="13"/>
      <c r="N887" s="16"/>
      <c r="O887" s="16"/>
      <c r="P887" s="16"/>
      <c r="Q887" s="16"/>
      <c r="R887" s="96"/>
      <c r="S887" s="96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6"/>
      <c r="B888" s="13"/>
      <c r="C888" s="16"/>
      <c r="D888" s="16"/>
      <c r="E888" s="16"/>
      <c r="F888" s="16"/>
      <c r="G888" s="16"/>
      <c r="H888" s="16"/>
      <c r="I888" s="125"/>
      <c r="J888" s="16"/>
      <c r="K888" s="13"/>
      <c r="L888" s="13"/>
      <c r="M888" s="13"/>
      <c r="N888" s="16"/>
      <c r="O888" s="16"/>
      <c r="P888" s="16"/>
      <c r="Q888" s="16"/>
      <c r="R888" s="96"/>
      <c r="S888" s="96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6"/>
      <c r="B889" s="13"/>
      <c r="C889" s="16"/>
      <c r="D889" s="16"/>
      <c r="E889" s="16"/>
      <c r="F889" s="16"/>
      <c r="G889" s="16"/>
      <c r="H889" s="16"/>
      <c r="I889" s="125"/>
      <c r="J889" s="16"/>
      <c r="K889" s="13"/>
      <c r="L889" s="13"/>
      <c r="M889" s="13"/>
      <c r="N889" s="16"/>
      <c r="O889" s="16"/>
      <c r="P889" s="16"/>
      <c r="Q889" s="16"/>
      <c r="R889" s="96"/>
      <c r="S889" s="96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6"/>
      <c r="B890" s="13"/>
      <c r="C890" s="16"/>
      <c r="D890" s="16"/>
      <c r="E890" s="16"/>
      <c r="F890" s="16"/>
      <c r="G890" s="16"/>
      <c r="H890" s="16"/>
      <c r="I890" s="125"/>
      <c r="J890" s="16"/>
      <c r="K890" s="13"/>
      <c r="L890" s="13"/>
      <c r="M890" s="13"/>
      <c r="N890" s="16"/>
      <c r="O890" s="16"/>
      <c r="P890" s="16"/>
      <c r="Q890" s="16"/>
      <c r="R890" s="96"/>
      <c r="S890" s="96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6"/>
      <c r="B891" s="13"/>
      <c r="C891" s="16"/>
      <c r="D891" s="16"/>
      <c r="E891" s="16"/>
      <c r="F891" s="16"/>
      <c r="G891" s="16"/>
      <c r="H891" s="16"/>
      <c r="I891" s="125"/>
      <c r="J891" s="16"/>
      <c r="K891" s="13"/>
      <c r="L891" s="13"/>
      <c r="M891" s="13"/>
      <c r="N891" s="16"/>
      <c r="O891" s="16"/>
      <c r="P891" s="16"/>
      <c r="Q891" s="16"/>
      <c r="R891" s="96"/>
      <c r="S891" s="96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6"/>
      <c r="B892" s="13"/>
      <c r="C892" s="16"/>
      <c r="D892" s="16"/>
      <c r="E892" s="16"/>
      <c r="F892" s="16"/>
      <c r="G892" s="16"/>
      <c r="H892" s="16"/>
      <c r="I892" s="125"/>
      <c r="J892" s="16"/>
      <c r="K892" s="13"/>
      <c r="L892" s="13"/>
      <c r="M892" s="13"/>
      <c r="N892" s="16"/>
      <c r="O892" s="16"/>
      <c r="P892" s="16"/>
      <c r="Q892" s="16"/>
      <c r="R892" s="96"/>
      <c r="S892" s="96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6"/>
      <c r="B893" s="13"/>
      <c r="C893" s="16"/>
      <c r="D893" s="16"/>
      <c r="E893" s="16"/>
      <c r="F893" s="16"/>
      <c r="G893" s="16"/>
      <c r="H893" s="16"/>
      <c r="I893" s="125"/>
      <c r="J893" s="16"/>
      <c r="K893" s="13"/>
      <c r="L893" s="13"/>
      <c r="M893" s="13"/>
      <c r="N893" s="16"/>
      <c r="O893" s="16"/>
      <c r="P893" s="16"/>
      <c r="Q893" s="16"/>
      <c r="R893" s="96"/>
      <c r="S893" s="96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6"/>
      <c r="B894" s="13"/>
      <c r="C894" s="16"/>
      <c r="D894" s="16"/>
      <c r="E894" s="16"/>
      <c r="F894" s="16"/>
      <c r="G894" s="16"/>
      <c r="H894" s="16"/>
      <c r="I894" s="125"/>
      <c r="J894" s="16"/>
      <c r="K894" s="13"/>
      <c r="L894" s="13"/>
      <c r="M894" s="13"/>
      <c r="N894" s="16"/>
      <c r="O894" s="16"/>
      <c r="P894" s="16"/>
      <c r="Q894" s="16"/>
      <c r="R894" s="96"/>
      <c r="S894" s="96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6"/>
      <c r="B895" s="13"/>
      <c r="C895" s="16"/>
      <c r="D895" s="16"/>
      <c r="E895" s="16"/>
      <c r="F895" s="16"/>
      <c r="G895" s="16"/>
      <c r="H895" s="16"/>
      <c r="I895" s="125"/>
      <c r="J895" s="16"/>
      <c r="K895" s="13"/>
      <c r="L895" s="13"/>
      <c r="M895" s="13"/>
      <c r="N895" s="16"/>
      <c r="O895" s="16"/>
      <c r="P895" s="16"/>
      <c r="Q895" s="16"/>
      <c r="R895" s="96"/>
      <c r="S895" s="96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6"/>
      <c r="B896" s="13"/>
      <c r="C896" s="16"/>
      <c r="D896" s="16"/>
      <c r="E896" s="16"/>
      <c r="F896" s="16"/>
      <c r="G896" s="16"/>
      <c r="H896" s="16"/>
      <c r="I896" s="125"/>
      <c r="J896" s="16"/>
      <c r="K896" s="13"/>
      <c r="L896" s="13"/>
      <c r="M896" s="13"/>
      <c r="N896" s="16"/>
      <c r="O896" s="16"/>
      <c r="P896" s="16"/>
      <c r="Q896" s="16"/>
      <c r="R896" s="96"/>
      <c r="S896" s="96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6"/>
      <c r="B897" s="13"/>
      <c r="C897" s="16"/>
      <c r="D897" s="16"/>
      <c r="E897" s="16"/>
      <c r="F897" s="16"/>
      <c r="G897" s="16"/>
      <c r="H897" s="16"/>
      <c r="I897" s="125"/>
      <c r="J897" s="16"/>
      <c r="K897" s="13"/>
      <c r="L897" s="13"/>
      <c r="M897" s="13"/>
      <c r="N897" s="16"/>
      <c r="O897" s="16"/>
      <c r="P897" s="16"/>
      <c r="Q897" s="16"/>
      <c r="R897" s="96"/>
      <c r="S897" s="96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6"/>
      <c r="B898" s="13"/>
      <c r="C898" s="16"/>
      <c r="D898" s="16"/>
      <c r="E898" s="16"/>
      <c r="F898" s="16"/>
      <c r="G898" s="16"/>
      <c r="H898" s="16"/>
      <c r="I898" s="125"/>
      <c r="J898" s="16"/>
      <c r="K898" s="13"/>
      <c r="L898" s="13"/>
      <c r="M898" s="13"/>
      <c r="N898" s="16"/>
      <c r="O898" s="16"/>
      <c r="P898" s="16"/>
      <c r="Q898" s="16"/>
      <c r="R898" s="96"/>
      <c r="S898" s="96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6"/>
      <c r="B899" s="13"/>
      <c r="C899" s="16"/>
      <c r="D899" s="16"/>
      <c r="E899" s="16"/>
      <c r="F899" s="16"/>
      <c r="G899" s="16"/>
      <c r="H899" s="16"/>
      <c r="I899" s="125"/>
      <c r="J899" s="16"/>
      <c r="K899" s="13"/>
      <c r="L899" s="13"/>
      <c r="M899" s="13"/>
      <c r="N899" s="16"/>
      <c r="O899" s="16"/>
      <c r="P899" s="16"/>
      <c r="Q899" s="16"/>
      <c r="R899" s="96"/>
      <c r="S899" s="96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6"/>
      <c r="B900" s="13"/>
      <c r="C900" s="16"/>
      <c r="D900" s="16"/>
      <c r="E900" s="16"/>
      <c r="F900" s="16"/>
      <c r="G900" s="16"/>
      <c r="H900" s="16"/>
      <c r="I900" s="125"/>
      <c r="J900" s="16"/>
      <c r="K900" s="13"/>
      <c r="L900" s="13"/>
      <c r="M900" s="13"/>
      <c r="N900" s="16"/>
      <c r="O900" s="16"/>
      <c r="P900" s="16"/>
      <c r="Q900" s="16"/>
      <c r="R900" s="96"/>
      <c r="S900" s="96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6"/>
      <c r="B901" s="13"/>
      <c r="C901" s="16"/>
      <c r="D901" s="16"/>
      <c r="E901" s="16"/>
      <c r="F901" s="16"/>
      <c r="G901" s="16"/>
      <c r="H901" s="16"/>
      <c r="I901" s="125"/>
      <c r="J901" s="16"/>
      <c r="K901" s="13"/>
      <c r="L901" s="13"/>
      <c r="M901" s="13"/>
      <c r="N901" s="16"/>
      <c r="O901" s="16"/>
      <c r="P901" s="16"/>
      <c r="Q901" s="16"/>
      <c r="R901" s="96"/>
      <c r="S901" s="96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6"/>
      <c r="B902" s="13"/>
      <c r="C902" s="16"/>
      <c r="D902" s="16"/>
      <c r="E902" s="16"/>
      <c r="F902" s="16"/>
      <c r="G902" s="16"/>
      <c r="H902" s="16"/>
      <c r="I902" s="125"/>
      <c r="J902" s="16"/>
      <c r="K902" s="13"/>
      <c r="L902" s="13"/>
      <c r="M902" s="13"/>
      <c r="N902" s="16"/>
      <c r="O902" s="16"/>
      <c r="P902" s="16"/>
      <c r="Q902" s="16"/>
      <c r="R902" s="96"/>
      <c r="S902" s="96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6"/>
      <c r="B903" s="13"/>
      <c r="C903" s="16"/>
      <c r="D903" s="16"/>
      <c r="E903" s="16"/>
      <c r="F903" s="16"/>
      <c r="G903" s="16"/>
      <c r="H903" s="16"/>
      <c r="I903" s="125"/>
      <c r="J903" s="16"/>
      <c r="K903" s="13"/>
      <c r="L903" s="13"/>
      <c r="M903" s="13"/>
      <c r="N903" s="16"/>
      <c r="O903" s="16"/>
      <c r="P903" s="16"/>
      <c r="Q903" s="16"/>
      <c r="R903" s="96"/>
      <c r="S903" s="96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6"/>
      <c r="B904" s="13"/>
      <c r="C904" s="16"/>
      <c r="D904" s="16"/>
      <c r="E904" s="16"/>
      <c r="F904" s="16"/>
      <c r="G904" s="16"/>
      <c r="H904" s="16"/>
      <c r="I904" s="125"/>
      <c r="J904" s="16"/>
      <c r="K904" s="13"/>
      <c r="L904" s="13"/>
      <c r="M904" s="13"/>
      <c r="N904" s="16"/>
      <c r="O904" s="16"/>
      <c r="P904" s="16"/>
      <c r="Q904" s="16"/>
      <c r="R904" s="96"/>
      <c r="S904" s="96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6"/>
      <c r="B905" s="13"/>
      <c r="C905" s="16"/>
      <c r="D905" s="16"/>
      <c r="E905" s="16"/>
      <c r="F905" s="16"/>
      <c r="G905" s="16"/>
      <c r="H905" s="16"/>
      <c r="I905" s="125"/>
      <c r="J905" s="16"/>
      <c r="K905" s="13"/>
      <c r="L905" s="13"/>
      <c r="M905" s="13"/>
      <c r="N905" s="16"/>
      <c r="O905" s="16"/>
      <c r="P905" s="16"/>
      <c r="Q905" s="16"/>
      <c r="R905" s="96"/>
      <c r="S905" s="96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6"/>
      <c r="B906" s="13"/>
      <c r="C906" s="16"/>
      <c r="D906" s="16"/>
      <c r="E906" s="16"/>
      <c r="F906" s="16"/>
      <c r="G906" s="16"/>
      <c r="H906" s="16"/>
      <c r="I906" s="125"/>
      <c r="J906" s="16"/>
      <c r="K906" s="13"/>
      <c r="L906" s="13"/>
      <c r="M906" s="13"/>
      <c r="N906" s="16"/>
      <c r="O906" s="16"/>
      <c r="P906" s="16"/>
      <c r="Q906" s="16"/>
      <c r="R906" s="96"/>
      <c r="S906" s="96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6"/>
      <c r="B907" s="13"/>
      <c r="C907" s="16"/>
      <c r="D907" s="16"/>
      <c r="E907" s="16"/>
      <c r="F907" s="16"/>
      <c r="G907" s="16"/>
      <c r="H907" s="16"/>
      <c r="I907" s="125"/>
      <c r="J907" s="16"/>
      <c r="K907" s="13"/>
      <c r="L907" s="13"/>
      <c r="M907" s="13"/>
      <c r="N907" s="16"/>
      <c r="O907" s="16"/>
      <c r="P907" s="16"/>
      <c r="Q907" s="16"/>
      <c r="R907" s="96"/>
      <c r="S907" s="96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6"/>
      <c r="B908" s="13"/>
      <c r="C908" s="16"/>
      <c r="D908" s="16"/>
      <c r="E908" s="16"/>
      <c r="F908" s="16"/>
      <c r="G908" s="16"/>
      <c r="H908" s="16"/>
      <c r="I908" s="125"/>
      <c r="J908" s="16"/>
      <c r="K908" s="13"/>
      <c r="L908" s="13"/>
      <c r="M908" s="13"/>
      <c r="N908" s="16"/>
      <c r="O908" s="16"/>
      <c r="P908" s="16"/>
      <c r="Q908" s="16"/>
      <c r="R908" s="96"/>
      <c r="S908" s="96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6"/>
      <c r="B909" s="13"/>
      <c r="C909" s="16"/>
      <c r="D909" s="16"/>
      <c r="E909" s="16"/>
      <c r="F909" s="16"/>
      <c r="G909" s="16"/>
      <c r="H909" s="16"/>
      <c r="I909" s="125"/>
      <c r="J909" s="16"/>
      <c r="K909" s="13"/>
      <c r="L909" s="13"/>
      <c r="M909" s="13"/>
      <c r="N909" s="16"/>
      <c r="O909" s="16"/>
      <c r="P909" s="16"/>
      <c r="Q909" s="16"/>
      <c r="R909" s="96"/>
      <c r="S909" s="96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6"/>
      <c r="B910" s="13"/>
      <c r="C910" s="16"/>
      <c r="D910" s="16"/>
      <c r="E910" s="16"/>
      <c r="F910" s="16"/>
      <c r="G910" s="16"/>
      <c r="H910" s="16"/>
      <c r="I910" s="125"/>
      <c r="J910" s="16"/>
      <c r="K910" s="13"/>
      <c r="L910" s="13"/>
      <c r="M910" s="13"/>
      <c r="N910" s="16"/>
      <c r="O910" s="16"/>
      <c r="P910" s="16"/>
      <c r="Q910" s="16"/>
      <c r="R910" s="96"/>
      <c r="S910" s="96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6"/>
      <c r="B911" s="13"/>
      <c r="C911" s="16"/>
      <c r="D911" s="16"/>
      <c r="E911" s="16"/>
      <c r="F911" s="16"/>
      <c r="G911" s="16"/>
      <c r="H911" s="16"/>
      <c r="I911" s="125"/>
      <c r="J911" s="16"/>
      <c r="K911" s="13"/>
      <c r="L911" s="13"/>
      <c r="M911" s="13"/>
      <c r="N911" s="16"/>
      <c r="O911" s="16"/>
      <c r="P911" s="16"/>
      <c r="Q911" s="16"/>
      <c r="R911" s="96"/>
      <c r="S911" s="96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6"/>
      <c r="B912" s="13"/>
      <c r="C912" s="16"/>
      <c r="D912" s="16"/>
      <c r="E912" s="16"/>
      <c r="F912" s="16"/>
      <c r="G912" s="16"/>
      <c r="H912" s="16"/>
      <c r="I912" s="125"/>
      <c r="J912" s="16"/>
      <c r="K912" s="13"/>
      <c r="L912" s="13"/>
      <c r="M912" s="13"/>
      <c r="N912" s="16"/>
      <c r="O912" s="16"/>
      <c r="P912" s="16"/>
      <c r="Q912" s="16"/>
      <c r="R912" s="96"/>
      <c r="S912" s="96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6"/>
      <c r="B913" s="13"/>
      <c r="C913" s="16"/>
      <c r="D913" s="16"/>
      <c r="E913" s="16"/>
      <c r="F913" s="16"/>
      <c r="G913" s="16"/>
      <c r="H913" s="16"/>
      <c r="I913" s="125"/>
      <c r="J913" s="16"/>
      <c r="K913" s="13"/>
      <c r="L913" s="13"/>
      <c r="M913" s="13"/>
      <c r="N913" s="16"/>
      <c r="O913" s="16"/>
      <c r="P913" s="16"/>
      <c r="Q913" s="16"/>
      <c r="R913" s="96"/>
      <c r="S913" s="96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6"/>
      <c r="B914" s="13"/>
      <c r="C914" s="16"/>
      <c r="D914" s="16"/>
      <c r="E914" s="16"/>
      <c r="F914" s="16"/>
      <c r="G914" s="16"/>
      <c r="H914" s="16"/>
      <c r="I914" s="125"/>
      <c r="J914" s="16"/>
      <c r="K914" s="13"/>
      <c r="L914" s="13"/>
      <c r="M914" s="13"/>
      <c r="N914" s="16"/>
      <c r="O914" s="16"/>
      <c r="P914" s="16"/>
      <c r="Q914" s="16"/>
      <c r="R914" s="96"/>
      <c r="S914" s="96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6"/>
      <c r="B915" s="13"/>
      <c r="C915" s="16"/>
      <c r="D915" s="16"/>
      <c r="E915" s="16"/>
      <c r="F915" s="16"/>
      <c r="G915" s="16"/>
      <c r="H915" s="16"/>
      <c r="I915" s="125"/>
      <c r="J915" s="16"/>
      <c r="K915" s="13"/>
      <c r="L915" s="13"/>
      <c r="M915" s="13"/>
      <c r="N915" s="16"/>
      <c r="O915" s="16"/>
      <c r="P915" s="16"/>
      <c r="Q915" s="16"/>
      <c r="R915" s="96"/>
      <c r="S915" s="96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6"/>
      <c r="B916" s="13"/>
      <c r="C916" s="16"/>
      <c r="D916" s="16"/>
      <c r="E916" s="16"/>
      <c r="F916" s="16"/>
      <c r="G916" s="16"/>
      <c r="H916" s="16"/>
      <c r="I916" s="125"/>
      <c r="J916" s="16"/>
      <c r="K916" s="13"/>
      <c r="L916" s="13"/>
      <c r="M916" s="13"/>
      <c r="N916" s="16"/>
      <c r="O916" s="16"/>
      <c r="P916" s="16"/>
      <c r="Q916" s="16"/>
      <c r="R916" s="96"/>
      <c r="S916" s="96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6"/>
      <c r="B917" s="13"/>
      <c r="C917" s="16"/>
      <c r="D917" s="16"/>
      <c r="E917" s="16"/>
      <c r="F917" s="16"/>
      <c r="G917" s="16"/>
      <c r="H917" s="16"/>
      <c r="I917" s="125"/>
      <c r="J917" s="16"/>
      <c r="K917" s="13"/>
      <c r="L917" s="13"/>
      <c r="M917" s="13"/>
      <c r="N917" s="16"/>
      <c r="O917" s="16"/>
      <c r="P917" s="16"/>
      <c r="Q917" s="16"/>
      <c r="R917" s="96"/>
      <c r="S917" s="96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6"/>
      <c r="B918" s="13"/>
      <c r="C918" s="16"/>
      <c r="D918" s="16"/>
      <c r="E918" s="16"/>
      <c r="F918" s="16"/>
      <c r="G918" s="16"/>
      <c r="H918" s="16"/>
      <c r="I918" s="125"/>
      <c r="J918" s="16"/>
      <c r="K918" s="13"/>
      <c r="L918" s="13"/>
      <c r="M918" s="13"/>
      <c r="N918" s="16"/>
      <c r="O918" s="16"/>
      <c r="P918" s="16"/>
      <c r="Q918" s="16"/>
      <c r="R918" s="96"/>
      <c r="S918" s="96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6"/>
      <c r="B919" s="13"/>
      <c r="C919" s="16"/>
      <c r="D919" s="16"/>
      <c r="E919" s="16"/>
      <c r="F919" s="16"/>
      <c r="G919" s="16"/>
      <c r="H919" s="16"/>
      <c r="I919" s="125"/>
      <c r="J919" s="16"/>
      <c r="K919" s="13"/>
      <c r="L919" s="13"/>
      <c r="M919" s="13"/>
      <c r="N919" s="16"/>
      <c r="O919" s="16"/>
      <c r="P919" s="16"/>
      <c r="Q919" s="16"/>
      <c r="R919" s="96"/>
      <c r="S919" s="96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6"/>
      <c r="B920" s="13"/>
      <c r="C920" s="16"/>
      <c r="D920" s="16"/>
      <c r="E920" s="16"/>
      <c r="F920" s="16"/>
      <c r="G920" s="16"/>
      <c r="H920" s="16"/>
      <c r="I920" s="125"/>
      <c r="J920" s="16"/>
      <c r="K920" s="13"/>
      <c r="L920" s="13"/>
      <c r="M920" s="13"/>
      <c r="N920" s="16"/>
      <c r="O920" s="16"/>
      <c r="P920" s="16"/>
      <c r="Q920" s="16"/>
      <c r="R920" s="96"/>
      <c r="S920" s="96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6"/>
      <c r="B921" s="13"/>
      <c r="C921" s="16"/>
      <c r="D921" s="16"/>
      <c r="E921" s="16"/>
      <c r="F921" s="16"/>
      <c r="G921" s="16"/>
      <c r="H921" s="16"/>
      <c r="I921" s="125"/>
      <c r="J921" s="16"/>
      <c r="K921" s="13"/>
      <c r="L921" s="13"/>
      <c r="M921" s="13"/>
      <c r="N921" s="16"/>
      <c r="O921" s="16"/>
      <c r="P921" s="16"/>
      <c r="Q921" s="16"/>
      <c r="R921" s="96"/>
      <c r="S921" s="96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6"/>
      <c r="B922" s="13"/>
      <c r="C922" s="16"/>
      <c r="D922" s="16"/>
      <c r="E922" s="16"/>
      <c r="F922" s="16"/>
      <c r="G922" s="16"/>
      <c r="H922" s="16"/>
      <c r="I922" s="125"/>
      <c r="J922" s="16"/>
      <c r="K922" s="13"/>
      <c r="L922" s="13"/>
      <c r="M922" s="13"/>
      <c r="N922" s="16"/>
      <c r="O922" s="16"/>
      <c r="P922" s="16"/>
      <c r="Q922" s="16"/>
      <c r="R922" s="96"/>
      <c r="S922" s="96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6"/>
      <c r="B923" s="13"/>
      <c r="C923" s="16"/>
      <c r="D923" s="16"/>
      <c r="E923" s="16"/>
      <c r="F923" s="16"/>
      <c r="G923" s="16"/>
      <c r="H923" s="16"/>
      <c r="I923" s="125"/>
      <c r="J923" s="16"/>
      <c r="K923" s="13"/>
      <c r="L923" s="13"/>
      <c r="M923" s="13"/>
      <c r="N923" s="16"/>
      <c r="O923" s="16"/>
      <c r="P923" s="16"/>
      <c r="Q923" s="16"/>
      <c r="R923" s="96"/>
      <c r="S923" s="96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6"/>
      <c r="B924" s="13"/>
      <c r="C924" s="16"/>
      <c r="D924" s="16"/>
      <c r="E924" s="16"/>
      <c r="F924" s="16"/>
      <c r="G924" s="16"/>
      <c r="H924" s="16"/>
      <c r="I924" s="125"/>
      <c r="J924" s="16"/>
      <c r="K924" s="13"/>
      <c r="L924" s="13"/>
      <c r="M924" s="13"/>
      <c r="N924" s="16"/>
      <c r="O924" s="16"/>
      <c r="P924" s="16"/>
      <c r="Q924" s="16"/>
      <c r="R924" s="96"/>
      <c r="S924" s="96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6"/>
      <c r="B925" s="13"/>
      <c r="C925" s="16"/>
      <c r="D925" s="16"/>
      <c r="E925" s="16"/>
      <c r="F925" s="16"/>
      <c r="G925" s="16"/>
      <c r="H925" s="16"/>
      <c r="I925" s="125"/>
      <c r="J925" s="16"/>
      <c r="K925" s="13"/>
      <c r="L925" s="13"/>
      <c r="M925" s="13"/>
      <c r="N925" s="16"/>
      <c r="O925" s="16"/>
      <c r="P925" s="16"/>
      <c r="Q925" s="16"/>
      <c r="R925" s="96"/>
      <c r="S925" s="96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6"/>
      <c r="B926" s="13"/>
      <c r="C926" s="16"/>
      <c r="D926" s="16"/>
      <c r="E926" s="16"/>
      <c r="F926" s="16"/>
      <c r="G926" s="16"/>
      <c r="H926" s="16"/>
      <c r="I926" s="125"/>
      <c r="J926" s="16"/>
      <c r="K926" s="13"/>
      <c r="L926" s="13"/>
      <c r="M926" s="13"/>
      <c r="N926" s="16"/>
      <c r="O926" s="16"/>
      <c r="P926" s="16"/>
      <c r="Q926" s="16"/>
      <c r="R926" s="96"/>
      <c r="S926" s="96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6"/>
      <c r="B927" s="13"/>
      <c r="C927" s="16"/>
      <c r="D927" s="16"/>
      <c r="E927" s="16"/>
      <c r="F927" s="16"/>
      <c r="G927" s="16"/>
      <c r="H927" s="16"/>
      <c r="I927" s="125"/>
      <c r="J927" s="16"/>
      <c r="K927" s="13"/>
      <c r="L927" s="13"/>
      <c r="M927" s="13"/>
      <c r="N927" s="16"/>
      <c r="O927" s="16"/>
      <c r="P927" s="16"/>
      <c r="Q927" s="16"/>
      <c r="R927" s="96"/>
      <c r="S927" s="96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6"/>
      <c r="B928" s="13"/>
      <c r="C928" s="16"/>
      <c r="D928" s="16"/>
      <c r="E928" s="16"/>
      <c r="F928" s="16"/>
      <c r="G928" s="16"/>
      <c r="H928" s="16"/>
      <c r="I928" s="125"/>
      <c r="J928" s="16"/>
      <c r="K928" s="13"/>
      <c r="L928" s="13"/>
      <c r="M928" s="13"/>
      <c r="N928" s="16"/>
      <c r="O928" s="16"/>
      <c r="P928" s="16"/>
      <c r="Q928" s="16"/>
      <c r="R928" s="96"/>
      <c r="S928" s="96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6"/>
      <c r="B929" s="13"/>
      <c r="C929" s="16"/>
      <c r="D929" s="16"/>
      <c r="E929" s="16"/>
      <c r="F929" s="16"/>
      <c r="G929" s="16"/>
      <c r="H929" s="16"/>
      <c r="I929" s="125"/>
      <c r="J929" s="16"/>
      <c r="K929" s="13"/>
      <c r="L929" s="13"/>
      <c r="M929" s="13"/>
      <c r="N929" s="16"/>
      <c r="O929" s="16"/>
      <c r="P929" s="16"/>
      <c r="Q929" s="16"/>
      <c r="R929" s="96"/>
      <c r="S929" s="96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6"/>
      <c r="B930" s="13"/>
      <c r="C930" s="16"/>
      <c r="D930" s="16"/>
      <c r="E930" s="16"/>
      <c r="F930" s="16"/>
      <c r="G930" s="16"/>
      <c r="H930" s="16"/>
      <c r="I930" s="125"/>
      <c r="J930" s="16"/>
      <c r="K930" s="13"/>
      <c r="L930" s="13"/>
      <c r="M930" s="13"/>
      <c r="N930" s="16"/>
      <c r="O930" s="16"/>
      <c r="P930" s="16"/>
      <c r="Q930" s="16"/>
      <c r="R930" s="96"/>
      <c r="S930" s="96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6"/>
      <c r="B931" s="13"/>
      <c r="C931" s="16"/>
      <c r="D931" s="16"/>
      <c r="E931" s="16"/>
      <c r="F931" s="16"/>
      <c r="G931" s="16"/>
      <c r="H931" s="16"/>
      <c r="I931" s="125"/>
      <c r="J931" s="16"/>
      <c r="K931" s="13"/>
      <c r="L931" s="13"/>
      <c r="M931" s="13"/>
      <c r="N931" s="16"/>
      <c r="O931" s="16"/>
      <c r="P931" s="16"/>
      <c r="Q931" s="16"/>
      <c r="R931" s="96"/>
      <c r="S931" s="96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6"/>
      <c r="B932" s="13"/>
      <c r="C932" s="16"/>
      <c r="D932" s="16"/>
      <c r="E932" s="16"/>
      <c r="F932" s="16"/>
      <c r="G932" s="16"/>
      <c r="H932" s="16"/>
      <c r="I932" s="125"/>
      <c r="J932" s="16"/>
      <c r="K932" s="13"/>
      <c r="L932" s="13"/>
      <c r="M932" s="13"/>
      <c r="N932" s="16"/>
      <c r="O932" s="16"/>
      <c r="P932" s="16"/>
      <c r="Q932" s="16"/>
      <c r="R932" s="96"/>
      <c r="S932" s="96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6"/>
      <c r="B933" s="13"/>
      <c r="C933" s="16"/>
      <c r="D933" s="16"/>
      <c r="E933" s="16"/>
      <c r="F933" s="16"/>
      <c r="G933" s="16"/>
      <c r="H933" s="16"/>
      <c r="I933" s="125"/>
      <c r="J933" s="16"/>
      <c r="K933" s="13"/>
      <c r="L933" s="13"/>
      <c r="M933" s="13"/>
      <c r="N933" s="16"/>
      <c r="O933" s="16"/>
      <c r="P933" s="16"/>
      <c r="Q933" s="16"/>
      <c r="R933" s="96"/>
      <c r="S933" s="96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6"/>
      <c r="B934" s="13"/>
      <c r="C934" s="16"/>
      <c r="D934" s="16"/>
      <c r="E934" s="16"/>
      <c r="F934" s="16"/>
      <c r="G934" s="16"/>
      <c r="H934" s="16"/>
      <c r="I934" s="125"/>
      <c r="J934" s="16"/>
      <c r="K934" s="13"/>
      <c r="L934" s="13"/>
      <c r="M934" s="13"/>
      <c r="N934" s="16"/>
      <c r="O934" s="16"/>
      <c r="P934" s="16"/>
      <c r="Q934" s="16"/>
      <c r="R934" s="96"/>
      <c r="S934" s="96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6"/>
      <c r="B935" s="13"/>
      <c r="C935" s="16"/>
      <c r="D935" s="16"/>
      <c r="E935" s="16"/>
      <c r="F935" s="16"/>
      <c r="G935" s="16"/>
      <c r="H935" s="16"/>
      <c r="I935" s="125"/>
      <c r="J935" s="16"/>
      <c r="K935" s="13"/>
      <c r="L935" s="13"/>
      <c r="M935" s="13"/>
      <c r="N935" s="16"/>
      <c r="O935" s="16"/>
      <c r="P935" s="16"/>
      <c r="Q935" s="16"/>
      <c r="R935" s="96"/>
      <c r="S935" s="96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6"/>
      <c r="B936" s="13"/>
      <c r="C936" s="16"/>
      <c r="D936" s="16"/>
      <c r="E936" s="16"/>
      <c r="F936" s="16"/>
      <c r="G936" s="16"/>
      <c r="H936" s="16"/>
      <c r="I936" s="125"/>
      <c r="J936" s="16"/>
      <c r="K936" s="13"/>
      <c r="L936" s="13"/>
      <c r="M936" s="13"/>
      <c r="N936" s="16"/>
      <c r="O936" s="16"/>
      <c r="P936" s="16"/>
      <c r="Q936" s="16"/>
      <c r="R936" s="96"/>
      <c r="S936" s="96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6"/>
      <c r="B937" s="13"/>
      <c r="C937" s="16"/>
      <c r="D937" s="16"/>
      <c r="E937" s="16"/>
      <c r="F937" s="16"/>
      <c r="G937" s="16"/>
      <c r="H937" s="16"/>
      <c r="I937" s="125"/>
      <c r="J937" s="16"/>
      <c r="K937" s="13"/>
      <c r="L937" s="13"/>
      <c r="M937" s="13"/>
      <c r="N937" s="16"/>
      <c r="O937" s="16"/>
      <c r="P937" s="16"/>
      <c r="Q937" s="16"/>
      <c r="R937" s="96"/>
      <c r="S937" s="96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6"/>
      <c r="B938" s="13"/>
      <c r="C938" s="16"/>
      <c r="D938" s="16"/>
      <c r="E938" s="16"/>
      <c r="F938" s="16"/>
      <c r="G938" s="16"/>
      <c r="H938" s="16"/>
      <c r="I938" s="125"/>
      <c r="J938" s="16"/>
      <c r="K938" s="13"/>
      <c r="L938" s="13"/>
      <c r="M938" s="13"/>
      <c r="N938" s="16"/>
      <c r="O938" s="16"/>
      <c r="P938" s="16"/>
      <c r="Q938" s="16"/>
      <c r="R938" s="96"/>
      <c r="S938" s="96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6"/>
      <c r="B939" s="13"/>
      <c r="C939" s="16"/>
      <c r="D939" s="16"/>
      <c r="E939" s="16"/>
      <c r="F939" s="16"/>
      <c r="G939" s="16"/>
      <c r="H939" s="16"/>
      <c r="I939" s="125"/>
      <c r="J939" s="16"/>
      <c r="K939" s="13"/>
      <c r="L939" s="13"/>
      <c r="M939" s="13"/>
      <c r="N939" s="16"/>
      <c r="O939" s="16"/>
      <c r="P939" s="16"/>
      <c r="Q939" s="16"/>
      <c r="R939" s="96"/>
      <c r="S939" s="96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6"/>
      <c r="B940" s="13"/>
      <c r="C940" s="16"/>
      <c r="D940" s="16"/>
      <c r="E940" s="16"/>
      <c r="F940" s="16"/>
      <c r="G940" s="16"/>
      <c r="H940" s="16"/>
      <c r="I940" s="125"/>
      <c r="J940" s="16"/>
      <c r="K940" s="13"/>
      <c r="L940" s="13"/>
      <c r="M940" s="13"/>
      <c r="N940" s="16"/>
      <c r="O940" s="16"/>
      <c r="P940" s="16"/>
      <c r="Q940" s="16"/>
      <c r="R940" s="96"/>
      <c r="S940" s="96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6"/>
      <c r="B941" s="13"/>
      <c r="C941" s="16"/>
      <c r="D941" s="16"/>
      <c r="E941" s="16"/>
      <c r="F941" s="16"/>
      <c r="G941" s="16"/>
      <c r="H941" s="16"/>
      <c r="I941" s="125"/>
      <c r="J941" s="16"/>
      <c r="K941" s="13"/>
      <c r="L941" s="13"/>
      <c r="M941" s="13"/>
      <c r="N941" s="16"/>
      <c r="O941" s="16"/>
      <c r="P941" s="16"/>
      <c r="Q941" s="16"/>
      <c r="R941" s="96"/>
      <c r="S941" s="96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6"/>
      <c r="B942" s="13"/>
      <c r="C942" s="16"/>
      <c r="D942" s="16"/>
      <c r="E942" s="16"/>
      <c r="F942" s="16"/>
      <c r="G942" s="16"/>
      <c r="H942" s="16"/>
      <c r="I942" s="125"/>
      <c r="J942" s="16"/>
      <c r="K942" s="13"/>
      <c r="L942" s="13"/>
      <c r="M942" s="13"/>
      <c r="N942" s="16"/>
      <c r="O942" s="16"/>
      <c r="P942" s="16"/>
      <c r="Q942" s="16"/>
      <c r="R942" s="96"/>
      <c r="S942" s="96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6"/>
      <c r="B943" s="13"/>
      <c r="C943" s="16"/>
      <c r="D943" s="16"/>
      <c r="E943" s="16"/>
      <c r="F943" s="16"/>
      <c r="G943" s="16"/>
      <c r="H943" s="16"/>
      <c r="I943" s="125"/>
      <c r="J943" s="16"/>
      <c r="K943" s="13"/>
      <c r="L943" s="13"/>
      <c r="M943" s="13"/>
      <c r="N943" s="16"/>
      <c r="O943" s="16"/>
      <c r="P943" s="16"/>
      <c r="Q943" s="16"/>
      <c r="R943" s="96"/>
      <c r="S943" s="96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6"/>
      <c r="B944" s="13"/>
      <c r="C944" s="16"/>
      <c r="D944" s="16"/>
      <c r="E944" s="16"/>
      <c r="F944" s="16"/>
      <c r="G944" s="16"/>
      <c r="H944" s="16"/>
      <c r="I944" s="125"/>
      <c r="J944" s="16"/>
      <c r="K944" s="13"/>
      <c r="L944" s="13"/>
      <c r="M944" s="13"/>
      <c r="N944" s="16"/>
      <c r="O944" s="16"/>
      <c r="P944" s="16"/>
      <c r="Q944" s="16"/>
      <c r="R944" s="96"/>
      <c r="S944" s="96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6"/>
      <c r="B945" s="13"/>
      <c r="C945" s="16"/>
      <c r="D945" s="16"/>
      <c r="E945" s="16"/>
      <c r="F945" s="16"/>
      <c r="G945" s="16"/>
      <c r="H945" s="16"/>
      <c r="I945" s="125"/>
      <c r="J945" s="16"/>
      <c r="K945" s="13"/>
      <c r="L945" s="13"/>
      <c r="M945" s="13"/>
      <c r="N945" s="16"/>
      <c r="O945" s="16"/>
      <c r="P945" s="16"/>
      <c r="Q945" s="16"/>
      <c r="R945" s="96"/>
      <c r="S945" s="96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6"/>
      <c r="B946" s="13"/>
      <c r="C946" s="16"/>
      <c r="D946" s="16"/>
      <c r="E946" s="16"/>
      <c r="F946" s="16"/>
      <c r="G946" s="16"/>
      <c r="H946" s="16"/>
      <c r="I946" s="125"/>
      <c r="J946" s="16"/>
      <c r="K946" s="13"/>
      <c r="L946" s="13"/>
      <c r="M946" s="13"/>
      <c r="N946" s="16"/>
      <c r="O946" s="16"/>
      <c r="P946" s="16"/>
      <c r="Q946" s="16"/>
      <c r="R946" s="96"/>
      <c r="S946" s="96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6"/>
      <c r="B947" s="13"/>
      <c r="C947" s="16"/>
      <c r="D947" s="16"/>
      <c r="E947" s="16"/>
      <c r="F947" s="16"/>
      <c r="G947" s="16"/>
      <c r="H947" s="16"/>
      <c r="I947" s="125"/>
      <c r="J947" s="16"/>
      <c r="K947" s="13"/>
      <c r="L947" s="13"/>
      <c r="M947" s="13"/>
      <c r="N947" s="16"/>
      <c r="O947" s="16"/>
      <c r="P947" s="16"/>
      <c r="Q947" s="16"/>
      <c r="R947" s="96"/>
      <c r="S947" s="96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6"/>
      <c r="B948" s="13"/>
      <c r="C948" s="16"/>
      <c r="D948" s="16"/>
      <c r="E948" s="16"/>
      <c r="F948" s="16"/>
      <c r="G948" s="16"/>
      <c r="H948" s="16"/>
      <c r="I948" s="125"/>
      <c r="J948" s="16"/>
      <c r="K948" s="13"/>
      <c r="L948" s="13"/>
      <c r="M948" s="13"/>
      <c r="N948" s="16"/>
      <c r="O948" s="16"/>
      <c r="P948" s="16"/>
      <c r="Q948" s="16"/>
      <c r="R948" s="96"/>
      <c r="S948" s="96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6"/>
      <c r="B949" s="13"/>
      <c r="C949" s="16"/>
      <c r="D949" s="16"/>
      <c r="E949" s="16"/>
      <c r="F949" s="16"/>
      <c r="G949" s="16"/>
      <c r="H949" s="16"/>
      <c r="I949" s="125"/>
      <c r="J949" s="16"/>
      <c r="K949" s="13"/>
      <c r="L949" s="13"/>
      <c r="M949" s="13"/>
      <c r="N949" s="16"/>
      <c r="O949" s="16"/>
      <c r="P949" s="16"/>
      <c r="Q949" s="16"/>
      <c r="R949" s="96"/>
      <c r="S949" s="96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6"/>
      <c r="B950" s="13"/>
      <c r="C950" s="16"/>
      <c r="D950" s="16"/>
      <c r="E950" s="16"/>
      <c r="F950" s="16"/>
      <c r="G950" s="16"/>
      <c r="H950" s="16"/>
      <c r="I950" s="125"/>
      <c r="J950" s="16"/>
      <c r="K950" s="13"/>
      <c r="L950" s="13"/>
      <c r="M950" s="13"/>
      <c r="N950" s="16"/>
      <c r="O950" s="16"/>
      <c r="P950" s="16"/>
      <c r="Q950" s="16"/>
      <c r="R950" s="96"/>
      <c r="S950" s="96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6"/>
      <c r="B951" s="13"/>
      <c r="C951" s="16"/>
      <c r="D951" s="16"/>
      <c r="E951" s="16"/>
      <c r="F951" s="16"/>
      <c r="G951" s="16"/>
      <c r="H951" s="16"/>
      <c r="I951" s="125"/>
      <c r="J951" s="16"/>
      <c r="K951" s="13"/>
      <c r="L951" s="13"/>
      <c r="M951" s="13"/>
      <c r="N951" s="16"/>
      <c r="O951" s="16"/>
      <c r="P951" s="16"/>
      <c r="Q951" s="16"/>
      <c r="R951" s="96"/>
      <c r="S951" s="96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6"/>
      <c r="B952" s="13"/>
      <c r="C952" s="16"/>
      <c r="D952" s="16"/>
      <c r="E952" s="16"/>
      <c r="F952" s="16"/>
      <c r="G952" s="16"/>
      <c r="H952" s="16"/>
      <c r="I952" s="125"/>
      <c r="J952" s="16"/>
      <c r="K952" s="13"/>
      <c r="L952" s="13"/>
      <c r="M952" s="13"/>
      <c r="N952" s="16"/>
      <c r="O952" s="16"/>
      <c r="P952" s="16"/>
      <c r="Q952" s="16"/>
      <c r="R952" s="96"/>
      <c r="S952" s="96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6"/>
      <c r="B953" s="13"/>
      <c r="C953" s="16"/>
      <c r="D953" s="16"/>
      <c r="E953" s="16"/>
      <c r="F953" s="16"/>
      <c r="G953" s="16"/>
      <c r="H953" s="16"/>
      <c r="I953" s="125"/>
      <c r="J953" s="16"/>
      <c r="K953" s="13"/>
      <c r="L953" s="13"/>
      <c r="M953" s="13"/>
      <c r="N953" s="16"/>
      <c r="O953" s="16"/>
      <c r="P953" s="16"/>
      <c r="Q953" s="16"/>
      <c r="R953" s="96"/>
      <c r="S953" s="96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6"/>
      <c r="B954" s="13"/>
      <c r="C954" s="16"/>
      <c r="D954" s="16"/>
      <c r="E954" s="16"/>
      <c r="F954" s="16"/>
      <c r="G954" s="16"/>
      <c r="H954" s="16"/>
      <c r="I954" s="125"/>
      <c r="J954" s="16"/>
      <c r="K954" s="13"/>
      <c r="L954" s="13"/>
      <c r="M954" s="13"/>
      <c r="N954" s="16"/>
      <c r="O954" s="16"/>
      <c r="P954" s="16"/>
      <c r="Q954" s="16"/>
      <c r="R954" s="96"/>
      <c r="S954" s="96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6"/>
      <c r="B955" s="13"/>
      <c r="C955" s="16"/>
      <c r="D955" s="16"/>
      <c r="E955" s="16"/>
      <c r="F955" s="16"/>
      <c r="G955" s="16"/>
      <c r="H955" s="16"/>
      <c r="I955" s="125"/>
      <c r="J955" s="16"/>
      <c r="K955" s="13"/>
      <c r="L955" s="13"/>
      <c r="M955" s="13"/>
      <c r="N955" s="16"/>
      <c r="O955" s="16"/>
      <c r="P955" s="16"/>
      <c r="Q955" s="16"/>
      <c r="R955" s="96"/>
      <c r="S955" s="96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6"/>
      <c r="B956" s="13"/>
      <c r="C956" s="16"/>
      <c r="D956" s="16"/>
      <c r="E956" s="16"/>
      <c r="F956" s="16"/>
      <c r="G956" s="16"/>
      <c r="H956" s="16"/>
      <c r="I956" s="125"/>
      <c r="J956" s="16"/>
      <c r="K956" s="13"/>
      <c r="L956" s="13"/>
      <c r="M956" s="13"/>
      <c r="N956" s="16"/>
      <c r="O956" s="16"/>
      <c r="P956" s="16"/>
      <c r="Q956" s="16"/>
      <c r="R956" s="96"/>
      <c r="S956" s="96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6"/>
      <c r="B957" s="13"/>
      <c r="C957" s="16"/>
      <c r="D957" s="16"/>
      <c r="E957" s="16"/>
      <c r="F957" s="16"/>
      <c r="G957" s="16"/>
      <c r="H957" s="16"/>
      <c r="I957" s="125"/>
      <c r="J957" s="16"/>
      <c r="K957" s="13"/>
      <c r="L957" s="13"/>
      <c r="M957" s="13"/>
      <c r="N957" s="16"/>
      <c r="O957" s="16"/>
      <c r="P957" s="16"/>
      <c r="Q957" s="16"/>
      <c r="R957" s="96"/>
      <c r="S957" s="96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6"/>
      <c r="B958" s="13"/>
      <c r="C958" s="16"/>
      <c r="D958" s="16"/>
      <c r="E958" s="16"/>
      <c r="F958" s="16"/>
      <c r="G958" s="16"/>
      <c r="H958" s="16"/>
      <c r="I958" s="125"/>
      <c r="J958" s="16"/>
      <c r="K958" s="13"/>
      <c r="L958" s="13"/>
      <c r="M958" s="13"/>
      <c r="N958" s="16"/>
      <c r="O958" s="16"/>
      <c r="P958" s="16"/>
      <c r="Q958" s="16"/>
      <c r="R958" s="96"/>
      <c r="S958" s="96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6"/>
      <c r="B959" s="13"/>
      <c r="C959" s="16"/>
      <c r="D959" s="16"/>
      <c r="E959" s="16"/>
      <c r="F959" s="16"/>
      <c r="G959" s="16"/>
      <c r="H959" s="16"/>
      <c r="I959" s="125"/>
      <c r="J959" s="16"/>
      <c r="K959" s="13"/>
      <c r="L959" s="13"/>
      <c r="M959" s="13"/>
      <c r="N959" s="16"/>
      <c r="O959" s="16"/>
      <c r="P959" s="16"/>
      <c r="Q959" s="16"/>
      <c r="R959" s="96"/>
      <c r="S959" s="96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6"/>
      <c r="B960" s="13"/>
      <c r="C960" s="16"/>
      <c r="D960" s="16"/>
      <c r="E960" s="16"/>
      <c r="F960" s="16"/>
      <c r="G960" s="16"/>
      <c r="H960" s="16"/>
      <c r="I960" s="125"/>
      <c r="J960" s="16"/>
      <c r="K960" s="13"/>
      <c r="L960" s="13"/>
      <c r="M960" s="13"/>
      <c r="N960" s="16"/>
      <c r="O960" s="16"/>
      <c r="P960" s="16"/>
      <c r="Q960" s="16"/>
      <c r="R960" s="96"/>
      <c r="S960" s="96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6"/>
      <c r="B961" s="13"/>
      <c r="C961" s="16"/>
      <c r="D961" s="16"/>
      <c r="E961" s="16"/>
      <c r="F961" s="16"/>
      <c r="G961" s="16"/>
      <c r="H961" s="16"/>
      <c r="I961" s="125"/>
      <c r="J961" s="16"/>
      <c r="K961" s="13"/>
      <c r="L961" s="13"/>
      <c r="M961" s="13"/>
      <c r="N961" s="16"/>
      <c r="O961" s="16"/>
      <c r="P961" s="16"/>
      <c r="Q961" s="16"/>
      <c r="R961" s="96"/>
      <c r="S961" s="96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6"/>
      <c r="B962" s="13"/>
      <c r="C962" s="16"/>
      <c r="D962" s="16"/>
      <c r="E962" s="16"/>
      <c r="F962" s="16"/>
      <c r="G962" s="16"/>
      <c r="H962" s="16"/>
      <c r="I962" s="125"/>
      <c r="J962" s="16"/>
      <c r="K962" s="13"/>
      <c r="L962" s="13"/>
      <c r="M962" s="13"/>
      <c r="N962" s="16"/>
      <c r="O962" s="16"/>
      <c r="P962" s="16"/>
      <c r="Q962" s="16"/>
      <c r="R962" s="96"/>
      <c r="S962" s="96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6"/>
      <c r="B963" s="13"/>
      <c r="C963" s="16"/>
      <c r="D963" s="16"/>
      <c r="E963" s="16"/>
      <c r="F963" s="16"/>
      <c r="G963" s="16"/>
      <c r="H963" s="16"/>
      <c r="I963" s="125"/>
      <c r="J963" s="16"/>
      <c r="K963" s="13"/>
      <c r="L963" s="13"/>
      <c r="M963" s="13"/>
      <c r="N963" s="16"/>
      <c r="O963" s="16"/>
      <c r="P963" s="16"/>
      <c r="Q963" s="16"/>
      <c r="R963" s="96"/>
      <c r="S963" s="96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6"/>
      <c r="B964" s="13"/>
      <c r="C964" s="16"/>
      <c r="D964" s="16"/>
      <c r="E964" s="16"/>
      <c r="F964" s="16"/>
      <c r="G964" s="16"/>
      <c r="H964" s="16"/>
      <c r="I964" s="125"/>
      <c r="J964" s="16"/>
      <c r="K964" s="13"/>
      <c r="L964" s="13"/>
      <c r="M964" s="13"/>
      <c r="N964" s="16"/>
      <c r="O964" s="16"/>
      <c r="P964" s="16"/>
      <c r="Q964" s="16"/>
      <c r="R964" s="96"/>
      <c r="S964" s="96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6"/>
      <c r="B965" s="13"/>
      <c r="C965" s="16"/>
      <c r="D965" s="16"/>
      <c r="E965" s="16"/>
      <c r="F965" s="16"/>
      <c r="G965" s="16"/>
      <c r="H965" s="16"/>
      <c r="I965" s="125"/>
      <c r="J965" s="16"/>
      <c r="K965" s="13"/>
      <c r="L965" s="13"/>
      <c r="M965" s="13"/>
      <c r="N965" s="16"/>
      <c r="O965" s="16"/>
      <c r="P965" s="16"/>
      <c r="Q965" s="16"/>
      <c r="R965" s="96"/>
      <c r="S965" s="96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6"/>
      <c r="B966" s="13"/>
      <c r="C966" s="16"/>
      <c r="D966" s="16"/>
      <c r="E966" s="16"/>
      <c r="F966" s="16"/>
      <c r="G966" s="16"/>
      <c r="H966" s="16"/>
      <c r="I966" s="125"/>
      <c r="J966" s="16"/>
      <c r="K966" s="13"/>
      <c r="L966" s="13"/>
      <c r="M966" s="13"/>
      <c r="N966" s="16"/>
      <c r="O966" s="16"/>
      <c r="P966" s="16"/>
      <c r="Q966" s="16"/>
      <c r="R966" s="96"/>
      <c r="S966" s="96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6"/>
      <c r="B967" s="13"/>
      <c r="C967" s="16"/>
      <c r="D967" s="16"/>
      <c r="E967" s="16"/>
      <c r="F967" s="16"/>
      <c r="G967" s="16"/>
      <c r="H967" s="16"/>
      <c r="I967" s="125"/>
      <c r="J967" s="16"/>
      <c r="K967" s="13"/>
      <c r="L967" s="13"/>
      <c r="M967" s="13"/>
      <c r="N967" s="16"/>
      <c r="O967" s="16"/>
      <c r="P967" s="16"/>
      <c r="Q967" s="16"/>
      <c r="R967" s="96"/>
      <c r="S967" s="96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6"/>
      <c r="B968" s="13"/>
      <c r="C968" s="16"/>
      <c r="D968" s="16"/>
      <c r="E968" s="16"/>
      <c r="F968" s="16"/>
      <c r="G968" s="16"/>
      <c r="H968" s="16"/>
      <c r="I968" s="125"/>
      <c r="J968" s="16"/>
      <c r="K968" s="13"/>
      <c r="L968" s="13"/>
      <c r="M968" s="13"/>
      <c r="N968" s="16"/>
      <c r="O968" s="16"/>
      <c r="P968" s="16"/>
      <c r="Q968" s="16"/>
      <c r="R968" s="96"/>
      <c r="S968" s="96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6"/>
      <c r="B969" s="13"/>
      <c r="C969" s="16"/>
      <c r="D969" s="16"/>
      <c r="E969" s="16"/>
      <c r="F969" s="16"/>
      <c r="G969" s="16"/>
      <c r="H969" s="16"/>
      <c r="I969" s="125"/>
      <c r="J969" s="16"/>
      <c r="K969" s="13"/>
      <c r="L969" s="13"/>
      <c r="M969" s="13"/>
      <c r="N969" s="16"/>
      <c r="O969" s="16"/>
      <c r="P969" s="16"/>
      <c r="Q969" s="16"/>
      <c r="R969" s="96"/>
      <c r="S969" s="96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6"/>
      <c r="B970" s="13"/>
      <c r="C970" s="16"/>
      <c r="D970" s="16"/>
      <c r="E970" s="16"/>
      <c r="F970" s="16"/>
      <c r="G970" s="16"/>
      <c r="H970" s="16"/>
      <c r="I970" s="125"/>
      <c r="J970" s="16"/>
      <c r="K970" s="13"/>
      <c r="L970" s="13"/>
      <c r="M970" s="13"/>
      <c r="N970" s="16"/>
      <c r="O970" s="16"/>
      <c r="P970" s="16"/>
      <c r="Q970" s="16"/>
      <c r="R970" s="96"/>
      <c r="S970" s="96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6"/>
      <c r="B971" s="13"/>
      <c r="C971" s="16"/>
      <c r="D971" s="16"/>
      <c r="E971" s="16"/>
      <c r="F971" s="16"/>
      <c r="G971" s="16"/>
      <c r="H971" s="16"/>
      <c r="I971" s="125"/>
      <c r="J971" s="16"/>
      <c r="K971" s="13"/>
      <c r="L971" s="13"/>
      <c r="M971" s="13"/>
      <c r="N971" s="16"/>
      <c r="O971" s="16"/>
      <c r="P971" s="16"/>
      <c r="Q971" s="16"/>
      <c r="R971" s="96"/>
      <c r="S971" s="96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6"/>
      <c r="B972" s="13"/>
      <c r="C972" s="16"/>
      <c r="D972" s="16"/>
      <c r="E972" s="16"/>
      <c r="F972" s="16"/>
      <c r="G972" s="16"/>
      <c r="H972" s="16"/>
      <c r="I972" s="125"/>
      <c r="J972" s="16"/>
      <c r="K972" s="13"/>
      <c r="L972" s="13"/>
      <c r="M972" s="13"/>
      <c r="N972" s="16"/>
      <c r="O972" s="16"/>
      <c r="P972" s="16"/>
      <c r="Q972" s="16"/>
      <c r="R972" s="96"/>
      <c r="S972" s="96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6"/>
      <c r="B973" s="13"/>
      <c r="C973" s="16"/>
      <c r="D973" s="16"/>
      <c r="E973" s="16"/>
      <c r="F973" s="16"/>
      <c r="G973" s="16"/>
      <c r="H973" s="16"/>
      <c r="I973" s="125"/>
      <c r="J973" s="16"/>
      <c r="K973" s="13"/>
      <c r="L973" s="13"/>
      <c r="M973" s="13"/>
      <c r="N973" s="16"/>
      <c r="O973" s="16"/>
      <c r="P973" s="16"/>
      <c r="Q973" s="16"/>
      <c r="R973" s="96"/>
      <c r="S973" s="96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6"/>
      <c r="B974" s="13"/>
      <c r="C974" s="16"/>
      <c r="D974" s="16"/>
      <c r="E974" s="16"/>
      <c r="F974" s="16"/>
      <c r="G974" s="16"/>
      <c r="H974" s="16"/>
      <c r="I974" s="125"/>
      <c r="J974" s="16"/>
      <c r="K974" s="13"/>
      <c r="L974" s="13"/>
      <c r="M974" s="13"/>
      <c r="N974" s="16"/>
      <c r="O974" s="16"/>
      <c r="P974" s="16"/>
      <c r="Q974" s="16"/>
      <c r="R974" s="96"/>
      <c r="S974" s="96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6"/>
      <c r="B975" s="13"/>
      <c r="C975" s="16"/>
      <c r="D975" s="16"/>
      <c r="E975" s="16"/>
      <c r="F975" s="16"/>
      <c r="G975" s="16"/>
      <c r="H975" s="16"/>
      <c r="I975" s="125"/>
      <c r="J975" s="16"/>
      <c r="K975" s="13"/>
      <c r="L975" s="13"/>
      <c r="M975" s="13"/>
      <c r="N975" s="16"/>
      <c r="O975" s="16"/>
      <c r="P975" s="16"/>
      <c r="Q975" s="16"/>
      <c r="R975" s="96"/>
      <c r="S975" s="96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6"/>
      <c r="B976" s="13"/>
      <c r="C976" s="16"/>
      <c r="D976" s="16"/>
      <c r="E976" s="16"/>
      <c r="F976" s="16"/>
      <c r="G976" s="16"/>
      <c r="H976" s="16"/>
      <c r="I976" s="125"/>
      <c r="J976" s="16"/>
      <c r="K976" s="13"/>
      <c r="L976" s="13"/>
      <c r="M976" s="13"/>
      <c r="N976" s="16"/>
      <c r="O976" s="16"/>
      <c r="P976" s="16"/>
      <c r="Q976" s="16"/>
      <c r="R976" s="96"/>
      <c r="S976" s="96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6"/>
      <c r="B977" s="13"/>
      <c r="C977" s="16"/>
      <c r="D977" s="16"/>
      <c r="E977" s="16"/>
      <c r="F977" s="16"/>
      <c r="G977" s="16"/>
      <c r="H977" s="16"/>
      <c r="I977" s="125"/>
      <c r="J977" s="16"/>
      <c r="K977" s="13"/>
      <c r="L977" s="13"/>
      <c r="M977" s="13"/>
      <c r="N977" s="16"/>
      <c r="O977" s="16"/>
      <c r="P977" s="16"/>
      <c r="Q977" s="16"/>
      <c r="R977" s="96"/>
      <c r="S977" s="96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6"/>
      <c r="B978" s="13"/>
      <c r="C978" s="16"/>
      <c r="D978" s="16"/>
      <c r="E978" s="16"/>
      <c r="F978" s="16"/>
      <c r="G978" s="16"/>
      <c r="H978" s="16"/>
      <c r="I978" s="125"/>
      <c r="J978" s="16"/>
      <c r="K978" s="13"/>
      <c r="L978" s="13"/>
      <c r="M978" s="13"/>
      <c r="N978" s="16"/>
      <c r="O978" s="16"/>
      <c r="P978" s="16"/>
      <c r="Q978" s="16"/>
      <c r="R978" s="96"/>
      <c r="S978" s="96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6"/>
      <c r="B979" s="13"/>
      <c r="C979" s="16"/>
      <c r="D979" s="16"/>
      <c r="E979" s="16"/>
      <c r="F979" s="16"/>
      <c r="G979" s="16"/>
      <c r="H979" s="16"/>
      <c r="I979" s="125"/>
      <c r="J979" s="16"/>
      <c r="K979" s="13"/>
      <c r="L979" s="13"/>
      <c r="M979" s="13"/>
      <c r="N979" s="16"/>
      <c r="O979" s="16"/>
      <c r="P979" s="16"/>
      <c r="Q979" s="16"/>
      <c r="R979" s="96"/>
      <c r="S979" s="96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6"/>
      <c r="B980" s="13"/>
      <c r="C980" s="16"/>
      <c r="D980" s="16"/>
      <c r="E980" s="16"/>
      <c r="F980" s="16"/>
      <c r="G980" s="16"/>
      <c r="H980" s="16"/>
      <c r="I980" s="125"/>
      <c r="J980" s="16"/>
      <c r="K980" s="13"/>
      <c r="L980" s="13"/>
      <c r="M980" s="13"/>
      <c r="N980" s="16"/>
      <c r="O980" s="16"/>
      <c r="P980" s="16"/>
      <c r="Q980" s="16"/>
      <c r="R980" s="96"/>
      <c r="S980" s="96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6"/>
      <c r="B981" s="13"/>
      <c r="C981" s="16"/>
      <c r="D981" s="16"/>
      <c r="E981" s="16"/>
      <c r="F981" s="16"/>
      <c r="G981" s="16"/>
      <c r="H981" s="16"/>
      <c r="I981" s="125"/>
      <c r="J981" s="16"/>
      <c r="K981" s="13"/>
      <c r="L981" s="13"/>
      <c r="M981" s="13"/>
      <c r="N981" s="16"/>
      <c r="O981" s="16"/>
      <c r="P981" s="16"/>
      <c r="Q981" s="16"/>
      <c r="R981" s="96"/>
      <c r="S981" s="96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6"/>
      <c r="B982" s="13"/>
      <c r="C982" s="16"/>
      <c r="D982" s="16"/>
      <c r="E982" s="16"/>
      <c r="F982" s="16"/>
      <c r="G982" s="16"/>
      <c r="H982" s="16"/>
      <c r="I982" s="125"/>
      <c r="J982" s="16"/>
      <c r="K982" s="13"/>
      <c r="L982" s="13"/>
      <c r="M982" s="13"/>
      <c r="N982" s="16"/>
      <c r="O982" s="16"/>
      <c r="P982" s="16"/>
      <c r="Q982" s="16"/>
      <c r="R982" s="96"/>
      <c r="S982" s="96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6"/>
      <c r="B983" s="13"/>
      <c r="C983" s="16"/>
      <c r="D983" s="16"/>
      <c r="E983" s="16"/>
      <c r="F983" s="16"/>
      <c r="G983" s="16"/>
      <c r="H983" s="16"/>
      <c r="I983" s="125"/>
      <c r="J983" s="16"/>
      <c r="K983" s="13"/>
      <c r="L983" s="13"/>
      <c r="M983" s="13"/>
      <c r="N983" s="16"/>
      <c r="O983" s="16"/>
      <c r="P983" s="16"/>
      <c r="Q983" s="16"/>
      <c r="R983" s="96"/>
      <c r="S983" s="96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6"/>
      <c r="B984" s="13"/>
      <c r="C984" s="16"/>
      <c r="D984" s="16"/>
      <c r="E984" s="16"/>
      <c r="F984" s="16"/>
      <c r="G984" s="16"/>
      <c r="H984" s="16"/>
      <c r="I984" s="125"/>
      <c r="J984" s="16"/>
      <c r="K984" s="13"/>
      <c r="L984" s="13"/>
      <c r="M984" s="13"/>
      <c r="N984" s="16"/>
      <c r="O984" s="16"/>
      <c r="P984" s="16"/>
      <c r="Q984" s="16"/>
      <c r="R984" s="96"/>
      <c r="S984" s="96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6"/>
      <c r="B985" s="13"/>
      <c r="C985" s="16"/>
      <c r="D985" s="16"/>
      <c r="E985" s="16"/>
      <c r="F985" s="16"/>
      <c r="G985" s="16"/>
      <c r="H985" s="16"/>
      <c r="I985" s="125"/>
      <c r="J985" s="16"/>
      <c r="K985" s="13"/>
      <c r="L985" s="13"/>
      <c r="M985" s="13"/>
      <c r="N985" s="16"/>
      <c r="O985" s="16"/>
      <c r="P985" s="16"/>
      <c r="Q985" s="16"/>
      <c r="R985" s="96"/>
      <c r="S985" s="96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6"/>
      <c r="B986" s="13"/>
      <c r="C986" s="16"/>
      <c r="D986" s="16"/>
      <c r="E986" s="16"/>
      <c r="F986" s="16"/>
      <c r="G986" s="16"/>
      <c r="H986" s="16"/>
      <c r="I986" s="125"/>
      <c r="J986" s="16"/>
      <c r="K986" s="13"/>
      <c r="L986" s="13"/>
      <c r="M986" s="13"/>
      <c r="N986" s="16"/>
      <c r="O986" s="16"/>
      <c r="P986" s="16"/>
      <c r="Q986" s="16"/>
      <c r="R986" s="96"/>
      <c r="S986" s="96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6"/>
      <c r="B987" s="13"/>
      <c r="C987" s="16"/>
      <c r="D987" s="16"/>
      <c r="E987" s="16"/>
      <c r="F987" s="16"/>
      <c r="G987" s="16"/>
      <c r="H987" s="16"/>
      <c r="I987" s="125"/>
      <c r="J987" s="16"/>
      <c r="K987" s="13"/>
      <c r="L987" s="13"/>
      <c r="M987" s="13"/>
      <c r="N987" s="16"/>
      <c r="O987" s="16"/>
      <c r="P987" s="16"/>
      <c r="Q987" s="16"/>
      <c r="R987" s="96"/>
      <c r="S987" s="96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6"/>
      <c r="B988" s="13"/>
      <c r="C988" s="16"/>
      <c r="D988" s="16"/>
      <c r="E988" s="16"/>
      <c r="F988" s="16"/>
      <c r="G988" s="16"/>
      <c r="H988" s="16"/>
      <c r="I988" s="125"/>
      <c r="J988" s="16"/>
      <c r="K988" s="13"/>
      <c r="L988" s="13"/>
      <c r="M988" s="13"/>
      <c r="N988" s="16"/>
      <c r="O988" s="16"/>
      <c r="P988" s="16"/>
      <c r="Q988" s="16"/>
      <c r="R988" s="96"/>
      <c r="S988" s="96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6"/>
      <c r="B989" s="13"/>
      <c r="C989" s="16"/>
      <c r="D989" s="16"/>
      <c r="E989" s="16"/>
      <c r="F989" s="16"/>
      <c r="G989" s="16"/>
      <c r="H989" s="16"/>
      <c r="I989" s="125"/>
      <c r="J989" s="16"/>
      <c r="K989" s="13"/>
      <c r="L989" s="13"/>
      <c r="M989" s="13"/>
      <c r="N989" s="16"/>
      <c r="O989" s="16"/>
      <c r="P989" s="16"/>
      <c r="Q989" s="16"/>
      <c r="R989" s="96"/>
      <c r="S989" s="96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6"/>
      <c r="B990" s="13"/>
      <c r="C990" s="16"/>
      <c r="D990" s="16"/>
      <c r="E990" s="16"/>
      <c r="F990" s="16"/>
      <c r="G990" s="16"/>
      <c r="H990" s="16"/>
      <c r="I990" s="125"/>
      <c r="J990" s="16"/>
      <c r="K990" s="13"/>
      <c r="L990" s="13"/>
      <c r="M990" s="13"/>
      <c r="N990" s="16"/>
      <c r="O990" s="16"/>
      <c r="P990" s="16"/>
      <c r="Q990" s="16"/>
      <c r="R990" s="96"/>
      <c r="S990" s="96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6"/>
      <c r="B991" s="13"/>
      <c r="C991" s="16"/>
      <c r="D991" s="16"/>
      <c r="E991" s="16"/>
      <c r="F991" s="16"/>
      <c r="G991" s="16"/>
      <c r="H991" s="16"/>
      <c r="I991" s="125"/>
      <c r="J991" s="16"/>
      <c r="K991" s="13"/>
      <c r="L991" s="13"/>
      <c r="M991" s="13"/>
      <c r="N991" s="16"/>
      <c r="O991" s="16"/>
      <c r="P991" s="16"/>
      <c r="Q991" s="16"/>
      <c r="R991" s="96"/>
      <c r="S991" s="96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6"/>
      <c r="B992" s="13"/>
      <c r="C992" s="16"/>
      <c r="D992" s="16"/>
      <c r="E992" s="16"/>
      <c r="F992" s="16"/>
      <c r="G992" s="16"/>
      <c r="H992" s="16"/>
      <c r="I992" s="125"/>
      <c r="J992" s="16"/>
      <c r="K992" s="13"/>
      <c r="L992" s="13"/>
      <c r="M992" s="13"/>
      <c r="N992" s="16"/>
      <c r="O992" s="16"/>
      <c r="P992" s="16"/>
      <c r="Q992" s="16"/>
      <c r="R992" s="96"/>
      <c r="S992" s="96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6"/>
      <c r="B993" s="13"/>
      <c r="C993" s="16"/>
      <c r="D993" s="16"/>
      <c r="E993" s="16"/>
      <c r="F993" s="16"/>
      <c r="G993" s="16"/>
      <c r="H993" s="16"/>
      <c r="I993" s="125"/>
      <c r="J993" s="16"/>
      <c r="K993" s="13"/>
      <c r="L993" s="13"/>
      <c r="M993" s="13"/>
      <c r="N993" s="16"/>
      <c r="O993" s="16"/>
      <c r="P993" s="16"/>
      <c r="Q993" s="16"/>
      <c r="R993" s="96"/>
      <c r="S993" s="96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6"/>
      <c r="B994" s="13"/>
      <c r="C994" s="16"/>
      <c r="D994" s="16"/>
      <c r="E994" s="16"/>
      <c r="F994" s="16"/>
      <c r="G994" s="16"/>
      <c r="H994" s="16"/>
      <c r="I994" s="125"/>
      <c r="J994" s="16"/>
      <c r="K994" s="13"/>
      <c r="L994" s="13"/>
      <c r="M994" s="13"/>
      <c r="N994" s="16"/>
      <c r="O994" s="16"/>
      <c r="P994" s="16"/>
      <c r="Q994" s="16"/>
      <c r="R994" s="96"/>
      <c r="S994" s="96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6"/>
      <c r="B995" s="13"/>
      <c r="C995" s="16"/>
      <c r="D995" s="16"/>
      <c r="E995" s="16"/>
      <c r="F995" s="16"/>
      <c r="G995" s="16"/>
      <c r="H995" s="16"/>
      <c r="I995" s="125"/>
      <c r="J995" s="16"/>
      <c r="K995" s="13"/>
      <c r="L995" s="13"/>
      <c r="M995" s="13"/>
      <c r="N995" s="16"/>
      <c r="O995" s="16"/>
      <c r="P995" s="16"/>
      <c r="Q995" s="16"/>
      <c r="R995" s="96"/>
      <c r="S995" s="96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6"/>
      <c r="B996" s="13"/>
      <c r="C996" s="16"/>
      <c r="D996" s="16"/>
      <c r="E996" s="16"/>
      <c r="F996" s="16"/>
      <c r="G996" s="16"/>
      <c r="H996" s="16"/>
      <c r="I996" s="125"/>
      <c r="J996" s="16"/>
      <c r="K996" s="13"/>
      <c r="L996" s="13"/>
      <c r="M996" s="13"/>
      <c r="N996" s="16"/>
      <c r="O996" s="16"/>
      <c r="P996" s="16"/>
      <c r="Q996" s="16"/>
      <c r="R996" s="96"/>
      <c r="S996" s="96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6"/>
      <c r="B997" s="13"/>
      <c r="C997" s="16"/>
      <c r="D997" s="16"/>
      <c r="E997" s="16"/>
      <c r="F997" s="16"/>
      <c r="G997" s="16"/>
      <c r="H997" s="16"/>
      <c r="I997" s="125"/>
      <c r="J997" s="16"/>
      <c r="K997" s="13"/>
      <c r="L997" s="13"/>
      <c r="M997" s="13"/>
      <c r="N997" s="16"/>
      <c r="O997" s="16"/>
      <c r="P997" s="16"/>
      <c r="Q997" s="16"/>
      <c r="R997" s="96"/>
      <c r="S997" s="96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6"/>
      <c r="B998" s="13"/>
      <c r="C998" s="16"/>
      <c r="D998" s="16"/>
      <c r="E998" s="16"/>
      <c r="F998" s="16"/>
      <c r="G998" s="16"/>
      <c r="H998" s="16"/>
      <c r="I998" s="125"/>
      <c r="J998" s="16"/>
      <c r="K998" s="13"/>
      <c r="L998" s="13"/>
      <c r="M998" s="13"/>
      <c r="N998" s="16"/>
      <c r="O998" s="16"/>
      <c r="P998" s="16"/>
      <c r="Q998" s="16"/>
      <c r="R998" s="96"/>
      <c r="S998" s="96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6"/>
      <c r="B999" s="13"/>
      <c r="C999" s="16"/>
      <c r="D999" s="16"/>
      <c r="E999" s="16"/>
      <c r="F999" s="16"/>
      <c r="G999" s="16"/>
      <c r="H999" s="16"/>
      <c r="I999" s="125"/>
      <c r="J999" s="16"/>
      <c r="K999" s="13"/>
      <c r="L999" s="13"/>
      <c r="M999" s="13"/>
      <c r="N999" s="16"/>
      <c r="O999" s="16"/>
      <c r="P999" s="16"/>
      <c r="Q999" s="16"/>
      <c r="R999" s="96"/>
      <c r="S999" s="96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6"/>
      <c r="B1000" s="13"/>
      <c r="C1000" s="16"/>
      <c r="D1000" s="16"/>
      <c r="E1000" s="16"/>
      <c r="F1000" s="16"/>
      <c r="G1000" s="16"/>
      <c r="H1000" s="16"/>
      <c r="I1000" s="125"/>
      <c r="J1000" s="16"/>
      <c r="K1000" s="13"/>
      <c r="L1000" s="13"/>
      <c r="M1000" s="13"/>
      <c r="N1000" s="16"/>
      <c r="O1000" s="16"/>
      <c r="P1000" s="16"/>
      <c r="Q1000" s="16"/>
      <c r="R1000" s="96"/>
      <c r="S1000" s="96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16"/>
      <c r="B1001" s="13"/>
      <c r="C1001" s="16"/>
      <c r="D1001" s="16"/>
      <c r="E1001" s="16"/>
      <c r="F1001" s="16"/>
      <c r="G1001" s="16"/>
      <c r="H1001" s="16"/>
      <c r="I1001" s="125"/>
      <c r="J1001" s="16"/>
      <c r="K1001" s="13"/>
      <c r="L1001" s="13"/>
      <c r="M1001" s="13"/>
      <c r="N1001" s="16"/>
      <c r="O1001" s="16"/>
      <c r="P1001" s="16"/>
      <c r="Q1001" s="16"/>
      <c r="R1001" s="96"/>
      <c r="S1001" s="96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>
      <c r="A1002" s="16"/>
      <c r="B1002" s="13"/>
      <c r="C1002" s="16"/>
      <c r="D1002" s="16"/>
      <c r="E1002" s="16"/>
      <c r="F1002" s="16"/>
      <c r="G1002" s="16"/>
      <c r="H1002" s="16"/>
      <c r="I1002" s="125"/>
      <c r="J1002" s="16"/>
      <c r="K1002" s="13"/>
      <c r="L1002" s="13"/>
      <c r="M1002" s="13"/>
      <c r="N1002" s="16"/>
      <c r="O1002" s="16"/>
      <c r="P1002" s="16"/>
      <c r="Q1002" s="16"/>
      <c r="R1002" s="96"/>
      <c r="S1002" s="96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>
      <c r="A1003" s="16"/>
      <c r="B1003" s="13"/>
      <c r="C1003" s="16"/>
      <c r="D1003" s="16"/>
      <c r="E1003" s="16"/>
      <c r="F1003" s="16"/>
      <c r="G1003" s="16"/>
      <c r="H1003" s="16"/>
      <c r="I1003" s="125"/>
      <c r="J1003" s="16"/>
      <c r="K1003" s="13"/>
      <c r="L1003" s="13"/>
      <c r="M1003" s="13"/>
      <c r="N1003" s="16"/>
      <c r="O1003" s="16"/>
      <c r="P1003" s="16"/>
      <c r="Q1003" s="16"/>
      <c r="R1003" s="96"/>
      <c r="S1003" s="96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>
      <c r="A1004" s="16"/>
      <c r="B1004" s="13"/>
      <c r="C1004" s="16"/>
      <c r="D1004" s="16"/>
      <c r="E1004" s="16"/>
      <c r="F1004" s="16"/>
      <c r="G1004" s="16"/>
      <c r="H1004" s="16"/>
      <c r="I1004" s="125"/>
      <c r="J1004" s="16"/>
      <c r="K1004" s="13"/>
      <c r="L1004" s="13"/>
      <c r="M1004" s="13"/>
      <c r="N1004" s="16"/>
      <c r="O1004" s="16"/>
      <c r="P1004" s="16"/>
      <c r="Q1004" s="16"/>
      <c r="R1004" s="96"/>
      <c r="S1004" s="96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>
      <c r="A1005" s="16"/>
      <c r="B1005" s="13"/>
      <c r="C1005" s="16"/>
      <c r="D1005" s="16"/>
      <c r="E1005" s="16"/>
      <c r="F1005" s="16"/>
      <c r="G1005" s="16"/>
      <c r="H1005" s="16"/>
      <c r="I1005" s="125"/>
      <c r="J1005" s="16"/>
      <c r="K1005" s="13"/>
      <c r="L1005" s="13"/>
      <c r="M1005" s="13"/>
      <c r="N1005" s="16"/>
      <c r="O1005" s="16"/>
      <c r="P1005" s="16"/>
      <c r="Q1005" s="16"/>
      <c r="R1005" s="96"/>
      <c r="S1005" s="96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>
      <c r="A1006" s="16"/>
      <c r="B1006" s="13"/>
      <c r="C1006" s="16"/>
      <c r="D1006" s="16"/>
      <c r="E1006" s="16"/>
      <c r="F1006" s="16"/>
      <c r="G1006" s="16"/>
      <c r="H1006" s="16"/>
      <c r="I1006" s="125"/>
      <c r="J1006" s="16"/>
      <c r="K1006" s="13"/>
      <c r="L1006" s="13"/>
      <c r="M1006" s="13"/>
      <c r="N1006" s="16"/>
      <c r="O1006" s="16"/>
      <c r="P1006" s="16"/>
      <c r="Q1006" s="16"/>
      <c r="R1006" s="96"/>
      <c r="S1006" s="96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>
      <c r="A1007" s="16"/>
      <c r="B1007" s="13"/>
      <c r="C1007" s="16"/>
      <c r="D1007" s="16"/>
      <c r="E1007" s="16"/>
      <c r="F1007" s="16"/>
      <c r="G1007" s="16"/>
      <c r="H1007" s="16"/>
      <c r="I1007" s="125"/>
      <c r="J1007" s="16"/>
      <c r="K1007" s="13"/>
      <c r="L1007" s="13"/>
      <c r="M1007" s="13"/>
      <c r="N1007" s="16"/>
      <c r="O1007" s="16"/>
      <c r="P1007" s="16"/>
      <c r="Q1007" s="16"/>
      <c r="R1007" s="96"/>
      <c r="S1007" s="96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>
      <c r="A1008" s="16"/>
      <c r="B1008" s="13"/>
      <c r="C1008" s="16"/>
      <c r="D1008" s="16"/>
      <c r="E1008" s="16"/>
      <c r="F1008" s="16"/>
      <c r="G1008" s="16"/>
      <c r="H1008" s="16"/>
      <c r="I1008" s="125"/>
      <c r="J1008" s="16"/>
      <c r="K1008" s="13"/>
      <c r="L1008" s="13"/>
      <c r="M1008" s="13"/>
      <c r="N1008" s="16"/>
      <c r="O1008" s="16"/>
      <c r="P1008" s="16"/>
      <c r="Q1008" s="16"/>
      <c r="R1008" s="96"/>
      <c r="S1008" s="96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>
      <c r="A1009" s="16"/>
      <c r="B1009" s="13"/>
      <c r="C1009" s="16"/>
      <c r="D1009" s="16"/>
      <c r="E1009" s="16"/>
      <c r="F1009" s="16"/>
      <c r="G1009" s="16"/>
      <c r="H1009" s="16"/>
      <c r="I1009" s="125"/>
      <c r="J1009" s="16"/>
      <c r="K1009" s="13"/>
      <c r="L1009" s="13"/>
      <c r="M1009" s="13"/>
      <c r="N1009" s="16"/>
      <c r="O1009" s="16"/>
      <c r="P1009" s="16"/>
      <c r="Q1009" s="16"/>
      <c r="R1009" s="96"/>
      <c r="S1009" s="96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>
      <c r="A1010" s="16"/>
      <c r="B1010" s="13"/>
      <c r="C1010" s="16"/>
      <c r="D1010" s="16"/>
      <c r="E1010" s="16"/>
      <c r="F1010" s="16"/>
      <c r="G1010" s="16"/>
      <c r="H1010" s="16"/>
      <c r="I1010" s="125"/>
      <c r="J1010" s="16"/>
      <c r="K1010" s="13"/>
      <c r="L1010" s="13"/>
      <c r="M1010" s="13"/>
      <c r="N1010" s="16"/>
      <c r="O1010" s="16"/>
      <c r="P1010" s="16"/>
      <c r="Q1010" s="16"/>
      <c r="R1010" s="96"/>
      <c r="S1010" s="96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>
      <c r="A1011" s="16"/>
      <c r="B1011" s="13"/>
      <c r="C1011" s="16"/>
      <c r="D1011" s="16"/>
      <c r="E1011" s="16"/>
      <c r="F1011" s="16"/>
      <c r="G1011" s="16"/>
      <c r="H1011" s="16"/>
      <c r="I1011" s="125"/>
      <c r="J1011" s="16"/>
      <c r="K1011" s="13"/>
      <c r="L1011" s="13"/>
      <c r="M1011" s="13"/>
      <c r="N1011" s="16"/>
      <c r="O1011" s="16"/>
      <c r="P1011" s="16"/>
      <c r="Q1011" s="16"/>
      <c r="R1011" s="96"/>
      <c r="S1011" s="96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>
      <c r="A1012" s="16"/>
      <c r="B1012" s="13"/>
      <c r="C1012" s="16"/>
      <c r="D1012" s="16"/>
      <c r="E1012" s="16"/>
      <c r="F1012" s="16"/>
      <c r="G1012" s="16"/>
      <c r="H1012" s="16"/>
      <c r="I1012" s="125"/>
      <c r="J1012" s="16"/>
      <c r="K1012" s="13"/>
      <c r="L1012" s="13"/>
      <c r="M1012" s="13"/>
      <c r="N1012" s="16"/>
      <c r="O1012" s="16"/>
      <c r="P1012" s="16"/>
      <c r="Q1012" s="16"/>
      <c r="R1012" s="96"/>
      <c r="S1012" s="96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>
      <c r="A1013" s="16"/>
      <c r="B1013" s="13"/>
      <c r="C1013" s="16"/>
      <c r="D1013" s="16"/>
      <c r="E1013" s="16"/>
      <c r="F1013" s="16"/>
      <c r="G1013" s="16"/>
      <c r="H1013" s="16"/>
      <c r="I1013" s="125"/>
      <c r="J1013" s="16"/>
      <c r="K1013" s="13"/>
      <c r="L1013" s="13"/>
      <c r="M1013" s="13"/>
      <c r="N1013" s="16"/>
      <c r="O1013" s="16"/>
      <c r="P1013" s="16"/>
      <c r="Q1013" s="16"/>
      <c r="R1013" s="96"/>
      <c r="S1013" s="96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>
      <c r="A1014" s="16"/>
      <c r="B1014" s="13"/>
      <c r="C1014" s="16"/>
      <c r="D1014" s="16"/>
      <c r="E1014" s="16"/>
      <c r="F1014" s="16"/>
      <c r="G1014" s="16"/>
      <c r="H1014" s="16"/>
      <c r="I1014" s="125"/>
      <c r="J1014" s="16"/>
      <c r="K1014" s="13"/>
      <c r="L1014" s="13"/>
      <c r="M1014" s="13"/>
      <c r="N1014" s="16"/>
      <c r="O1014" s="16"/>
      <c r="P1014" s="16"/>
      <c r="Q1014" s="16"/>
      <c r="R1014" s="96"/>
      <c r="S1014" s="96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>
      <c r="A1015" s="16"/>
      <c r="B1015" s="13"/>
      <c r="C1015" s="16"/>
      <c r="D1015" s="16"/>
      <c r="E1015" s="16"/>
      <c r="F1015" s="16"/>
      <c r="G1015" s="16"/>
      <c r="H1015" s="16"/>
      <c r="I1015" s="125"/>
      <c r="J1015" s="16"/>
      <c r="K1015" s="13"/>
      <c r="L1015" s="13"/>
      <c r="M1015" s="13"/>
      <c r="N1015" s="16"/>
      <c r="O1015" s="16"/>
      <c r="P1015" s="16"/>
      <c r="Q1015" s="16"/>
      <c r="R1015" s="96"/>
      <c r="S1015" s="96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>
      <c r="A1016" s="16"/>
      <c r="B1016" s="13"/>
      <c r="C1016" s="16"/>
      <c r="D1016" s="16"/>
      <c r="E1016" s="16"/>
      <c r="F1016" s="16"/>
      <c r="G1016" s="16"/>
      <c r="H1016" s="16"/>
      <c r="I1016" s="125"/>
      <c r="J1016" s="16"/>
      <c r="K1016" s="13"/>
      <c r="L1016" s="13"/>
      <c r="M1016" s="13"/>
      <c r="N1016" s="16"/>
      <c r="O1016" s="16"/>
      <c r="P1016" s="16"/>
      <c r="Q1016" s="16"/>
      <c r="R1016" s="96"/>
      <c r="S1016" s="96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>
      <c r="A1017" s="16"/>
      <c r="B1017" s="13"/>
      <c r="C1017" s="16"/>
      <c r="D1017" s="16"/>
      <c r="E1017" s="16"/>
      <c r="F1017" s="16"/>
      <c r="G1017" s="16"/>
      <c r="H1017" s="16"/>
      <c r="I1017" s="125"/>
      <c r="J1017" s="16"/>
      <c r="K1017" s="13"/>
      <c r="L1017" s="13"/>
      <c r="M1017" s="13"/>
      <c r="N1017" s="16"/>
      <c r="O1017" s="16"/>
      <c r="P1017" s="16"/>
      <c r="Q1017" s="16"/>
      <c r="R1017" s="96"/>
      <c r="S1017" s="96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>
      <c r="A1018" s="16"/>
      <c r="B1018" s="13"/>
      <c r="C1018" s="16"/>
      <c r="D1018" s="16"/>
      <c r="E1018" s="16"/>
      <c r="F1018" s="16"/>
      <c r="G1018" s="16"/>
      <c r="H1018" s="16"/>
      <c r="I1018" s="125"/>
      <c r="J1018" s="16"/>
      <c r="K1018" s="13"/>
      <c r="L1018" s="13"/>
      <c r="M1018" s="13"/>
      <c r="N1018" s="16"/>
      <c r="O1018" s="16"/>
      <c r="P1018" s="16"/>
      <c r="Q1018" s="16"/>
      <c r="R1018" s="96"/>
      <c r="S1018" s="96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>
      <c r="A1019" s="16"/>
      <c r="B1019" s="13"/>
      <c r="C1019" s="16"/>
      <c r="D1019" s="16"/>
      <c r="E1019" s="16"/>
      <c r="F1019" s="16"/>
      <c r="G1019" s="16"/>
      <c r="H1019" s="16"/>
      <c r="I1019" s="125"/>
      <c r="J1019" s="16"/>
      <c r="K1019" s="13"/>
      <c r="L1019" s="13"/>
      <c r="M1019" s="13"/>
      <c r="N1019" s="16"/>
      <c r="O1019" s="16"/>
      <c r="P1019" s="16"/>
      <c r="Q1019" s="16"/>
      <c r="R1019" s="96"/>
      <c r="S1019" s="96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>
      <c r="A1020" s="16"/>
      <c r="B1020" s="13"/>
      <c r="C1020" s="16"/>
      <c r="D1020" s="16"/>
      <c r="E1020" s="16"/>
      <c r="F1020" s="16"/>
      <c r="G1020" s="16"/>
      <c r="H1020" s="16"/>
      <c r="I1020" s="125"/>
      <c r="J1020" s="16"/>
      <c r="K1020" s="13"/>
      <c r="L1020" s="13"/>
      <c r="M1020" s="13"/>
      <c r="N1020" s="16"/>
      <c r="O1020" s="16"/>
      <c r="P1020" s="16"/>
      <c r="Q1020" s="16"/>
      <c r="R1020" s="96"/>
      <c r="S1020" s="96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>
      <c r="A1021" s="16"/>
      <c r="B1021" s="13"/>
      <c r="C1021" s="16"/>
      <c r="D1021" s="16"/>
      <c r="E1021" s="16"/>
      <c r="F1021" s="16"/>
      <c r="G1021" s="16"/>
      <c r="H1021" s="16"/>
      <c r="I1021" s="125"/>
      <c r="J1021" s="16"/>
      <c r="K1021" s="13"/>
      <c r="L1021" s="13"/>
      <c r="M1021" s="13"/>
      <c r="N1021" s="16"/>
      <c r="O1021" s="16"/>
      <c r="P1021" s="16"/>
      <c r="Q1021" s="16"/>
      <c r="R1021" s="96"/>
      <c r="S1021" s="96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>
      <c r="A1022" s="16"/>
      <c r="B1022" s="13"/>
      <c r="C1022" s="16"/>
      <c r="D1022" s="16"/>
      <c r="E1022" s="16"/>
      <c r="F1022" s="16"/>
      <c r="G1022" s="16"/>
      <c r="H1022" s="16"/>
      <c r="I1022" s="125"/>
      <c r="J1022" s="16"/>
      <c r="K1022" s="13"/>
      <c r="L1022" s="13"/>
      <c r="M1022" s="13"/>
      <c r="N1022" s="16"/>
      <c r="O1022" s="16"/>
      <c r="P1022" s="16"/>
      <c r="Q1022" s="16"/>
      <c r="R1022" s="96"/>
      <c r="S1022" s="96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>
      <c r="A1023" s="16"/>
      <c r="B1023" s="13"/>
      <c r="C1023" s="16"/>
      <c r="D1023" s="16"/>
      <c r="E1023" s="16"/>
      <c r="F1023" s="16"/>
      <c r="G1023" s="16"/>
      <c r="H1023" s="16"/>
      <c r="I1023" s="125"/>
      <c r="J1023" s="16"/>
      <c r="K1023" s="13"/>
      <c r="L1023" s="13"/>
      <c r="M1023" s="13"/>
      <c r="N1023" s="16"/>
      <c r="O1023" s="16"/>
      <c r="P1023" s="16"/>
      <c r="Q1023" s="16"/>
      <c r="R1023" s="96"/>
      <c r="S1023" s="96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>
      <c r="A1024" s="16"/>
      <c r="B1024" s="13"/>
      <c r="C1024" s="16"/>
      <c r="D1024" s="16"/>
      <c r="E1024" s="16"/>
      <c r="F1024" s="16"/>
      <c r="G1024" s="16"/>
      <c r="H1024" s="16"/>
      <c r="I1024" s="125"/>
      <c r="J1024" s="16"/>
      <c r="K1024" s="13"/>
      <c r="L1024" s="13"/>
      <c r="M1024" s="13"/>
      <c r="N1024" s="16"/>
      <c r="O1024" s="16"/>
      <c r="P1024" s="16"/>
      <c r="Q1024" s="16"/>
      <c r="R1024" s="96"/>
      <c r="S1024" s="96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>
      <c r="A1025" s="16"/>
      <c r="B1025" s="13"/>
      <c r="C1025" s="16"/>
      <c r="D1025" s="16"/>
      <c r="E1025" s="16"/>
      <c r="F1025" s="16"/>
      <c r="G1025" s="16"/>
      <c r="H1025" s="16"/>
      <c r="I1025" s="125"/>
      <c r="J1025" s="16"/>
      <c r="K1025" s="13"/>
      <c r="L1025" s="13"/>
      <c r="M1025" s="13"/>
      <c r="N1025" s="16"/>
      <c r="O1025" s="16"/>
      <c r="P1025" s="16"/>
      <c r="Q1025" s="16"/>
      <c r="R1025" s="96"/>
      <c r="S1025" s="96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>
      <c r="A1026" s="16"/>
      <c r="B1026" s="13"/>
      <c r="C1026" s="16"/>
      <c r="D1026" s="16"/>
      <c r="E1026" s="16"/>
      <c r="F1026" s="16"/>
      <c r="G1026" s="16"/>
      <c r="H1026" s="16"/>
      <c r="I1026" s="125"/>
      <c r="J1026" s="16"/>
      <c r="K1026" s="13"/>
      <c r="L1026" s="13"/>
      <c r="M1026" s="13"/>
      <c r="N1026" s="16"/>
      <c r="O1026" s="16"/>
      <c r="P1026" s="16"/>
      <c r="Q1026" s="16"/>
      <c r="R1026" s="96"/>
      <c r="S1026" s="96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</row>
    <row r="1027">
      <c r="A1027" s="16"/>
      <c r="B1027" s="13"/>
      <c r="C1027" s="16"/>
      <c r="D1027" s="16"/>
      <c r="E1027" s="16"/>
      <c r="F1027" s="16"/>
      <c r="G1027" s="16"/>
      <c r="H1027" s="16"/>
      <c r="I1027" s="125"/>
      <c r="J1027" s="16"/>
      <c r="K1027" s="13"/>
      <c r="L1027" s="13"/>
      <c r="M1027" s="13"/>
      <c r="N1027" s="16"/>
      <c r="O1027" s="16"/>
      <c r="P1027" s="16"/>
      <c r="Q1027" s="16"/>
      <c r="R1027" s="96"/>
      <c r="S1027" s="96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</row>
    <row r="1028">
      <c r="A1028" s="16"/>
      <c r="B1028" s="13"/>
      <c r="C1028" s="16"/>
      <c r="D1028" s="16"/>
      <c r="E1028" s="16"/>
      <c r="F1028" s="16"/>
      <c r="G1028" s="16"/>
      <c r="H1028" s="16"/>
      <c r="I1028" s="125"/>
      <c r="J1028" s="16"/>
      <c r="K1028" s="13"/>
      <c r="L1028" s="13"/>
      <c r="M1028" s="13"/>
      <c r="N1028" s="16"/>
      <c r="O1028" s="16"/>
      <c r="P1028" s="16"/>
      <c r="Q1028" s="16"/>
      <c r="R1028" s="96"/>
      <c r="S1028" s="96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</row>
    <row r="1029">
      <c r="A1029" s="16"/>
      <c r="B1029" s="13"/>
      <c r="C1029" s="16"/>
      <c r="D1029" s="16"/>
      <c r="E1029" s="16"/>
      <c r="F1029" s="16"/>
      <c r="G1029" s="16"/>
      <c r="H1029" s="16"/>
      <c r="I1029" s="125"/>
      <c r="J1029" s="16"/>
      <c r="K1029" s="13"/>
      <c r="L1029" s="13"/>
      <c r="M1029" s="13"/>
      <c r="N1029" s="16"/>
      <c r="O1029" s="16"/>
      <c r="P1029" s="16"/>
      <c r="Q1029" s="16"/>
      <c r="R1029" s="96"/>
      <c r="S1029" s="96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</row>
    <row r="1030">
      <c r="A1030" s="16"/>
      <c r="B1030" s="13"/>
      <c r="C1030" s="16"/>
      <c r="D1030" s="16"/>
      <c r="E1030" s="16"/>
      <c r="F1030" s="16"/>
      <c r="G1030" s="16"/>
      <c r="H1030" s="16"/>
      <c r="I1030" s="125"/>
      <c r="J1030" s="16"/>
      <c r="K1030" s="13"/>
      <c r="L1030" s="13"/>
      <c r="M1030" s="13"/>
      <c r="N1030" s="16"/>
      <c r="O1030" s="16"/>
      <c r="P1030" s="16"/>
      <c r="Q1030" s="16"/>
      <c r="R1030" s="96"/>
      <c r="S1030" s="96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</row>
    <row r="1031">
      <c r="A1031" s="16"/>
      <c r="B1031" s="13"/>
      <c r="C1031" s="16"/>
      <c r="D1031" s="16"/>
      <c r="E1031" s="16"/>
      <c r="F1031" s="16"/>
      <c r="G1031" s="16"/>
      <c r="H1031" s="16"/>
      <c r="I1031" s="125"/>
      <c r="J1031" s="16"/>
      <c r="K1031" s="13"/>
      <c r="L1031" s="13"/>
      <c r="M1031" s="13"/>
      <c r="N1031" s="16"/>
      <c r="O1031" s="16"/>
      <c r="P1031" s="16"/>
      <c r="Q1031" s="16"/>
      <c r="R1031" s="96"/>
      <c r="S1031" s="96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</row>
    <row r="1032">
      <c r="A1032" s="16"/>
      <c r="B1032" s="13"/>
      <c r="C1032" s="16"/>
      <c r="D1032" s="16"/>
      <c r="E1032" s="16"/>
      <c r="F1032" s="16"/>
      <c r="G1032" s="16"/>
      <c r="H1032" s="16"/>
      <c r="I1032" s="125"/>
      <c r="J1032" s="16"/>
      <c r="K1032" s="13"/>
      <c r="L1032" s="13"/>
      <c r="M1032" s="13"/>
      <c r="N1032" s="16"/>
      <c r="O1032" s="16"/>
      <c r="P1032" s="16"/>
      <c r="Q1032" s="16"/>
      <c r="R1032" s="96"/>
      <c r="S1032" s="96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</row>
    <row r="1033">
      <c r="A1033" s="16"/>
      <c r="B1033" s="13"/>
      <c r="C1033" s="16"/>
      <c r="D1033" s="16"/>
      <c r="E1033" s="16"/>
      <c r="F1033" s="16"/>
      <c r="G1033" s="16"/>
      <c r="H1033" s="16"/>
      <c r="I1033" s="125"/>
      <c r="J1033" s="16"/>
      <c r="K1033" s="13"/>
      <c r="L1033" s="13"/>
      <c r="M1033" s="13"/>
      <c r="N1033" s="16"/>
      <c r="O1033" s="16"/>
      <c r="P1033" s="16"/>
      <c r="Q1033" s="16"/>
      <c r="R1033" s="96"/>
      <c r="S1033" s="96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</row>
    <row r="1034">
      <c r="A1034" s="16"/>
      <c r="B1034" s="13"/>
      <c r="C1034" s="16"/>
      <c r="D1034" s="16"/>
      <c r="E1034" s="16"/>
      <c r="F1034" s="16"/>
      <c r="G1034" s="16"/>
      <c r="H1034" s="16"/>
      <c r="I1034" s="125"/>
      <c r="J1034" s="16"/>
      <c r="K1034" s="13"/>
      <c r="L1034" s="13"/>
      <c r="M1034" s="13"/>
      <c r="N1034" s="16"/>
      <c r="O1034" s="16"/>
      <c r="P1034" s="16"/>
      <c r="Q1034" s="16"/>
      <c r="R1034" s="96"/>
      <c r="S1034" s="96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</row>
    <row r="1035">
      <c r="A1035" s="16"/>
      <c r="B1035" s="13"/>
      <c r="C1035" s="16"/>
      <c r="D1035" s="16"/>
      <c r="E1035" s="16"/>
      <c r="F1035" s="16"/>
      <c r="G1035" s="16"/>
      <c r="H1035" s="16"/>
      <c r="I1035" s="125"/>
      <c r="J1035" s="16"/>
      <c r="K1035" s="13"/>
      <c r="L1035" s="13"/>
      <c r="M1035" s="13"/>
      <c r="N1035" s="16"/>
      <c r="O1035" s="16"/>
      <c r="P1035" s="16"/>
      <c r="Q1035" s="16"/>
      <c r="R1035" s="96"/>
      <c r="S1035" s="96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</row>
    <row r="1036">
      <c r="A1036" s="16"/>
      <c r="B1036" s="13"/>
      <c r="C1036" s="16"/>
      <c r="D1036" s="16"/>
      <c r="E1036" s="16"/>
      <c r="F1036" s="16"/>
      <c r="G1036" s="16"/>
      <c r="H1036" s="16"/>
      <c r="I1036" s="125"/>
      <c r="J1036" s="16"/>
      <c r="K1036" s="13"/>
      <c r="L1036" s="13"/>
      <c r="M1036" s="13"/>
      <c r="N1036" s="16"/>
      <c r="O1036" s="16"/>
      <c r="P1036" s="16"/>
      <c r="Q1036" s="16"/>
      <c r="R1036" s="96"/>
      <c r="S1036" s="96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</row>
    <row r="1037">
      <c r="A1037" s="16"/>
      <c r="B1037" s="13"/>
      <c r="C1037" s="16"/>
      <c r="D1037" s="16"/>
      <c r="E1037" s="16"/>
      <c r="F1037" s="16"/>
      <c r="G1037" s="16"/>
      <c r="H1037" s="16"/>
      <c r="I1037" s="125"/>
      <c r="J1037" s="16"/>
      <c r="K1037" s="13"/>
      <c r="L1037" s="13"/>
      <c r="M1037" s="13"/>
      <c r="N1037" s="16"/>
      <c r="O1037" s="16"/>
      <c r="P1037" s="16"/>
      <c r="Q1037" s="16"/>
      <c r="R1037" s="96"/>
      <c r="S1037" s="96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</row>
    <row r="1038">
      <c r="A1038" s="16"/>
      <c r="B1038" s="13"/>
      <c r="C1038" s="16"/>
      <c r="D1038" s="16"/>
      <c r="E1038" s="16"/>
      <c r="F1038" s="16"/>
      <c r="G1038" s="16"/>
      <c r="H1038" s="16"/>
      <c r="I1038" s="125"/>
      <c r="J1038" s="16"/>
      <c r="K1038" s="13"/>
      <c r="L1038" s="13"/>
      <c r="M1038" s="13"/>
      <c r="N1038" s="16"/>
      <c r="O1038" s="16"/>
      <c r="P1038" s="16"/>
      <c r="Q1038" s="16"/>
      <c r="R1038" s="96"/>
      <c r="S1038" s="96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</row>
    <row r="1039">
      <c r="A1039" s="16"/>
      <c r="B1039" s="13"/>
      <c r="C1039" s="16"/>
      <c r="D1039" s="16"/>
      <c r="E1039" s="16"/>
      <c r="F1039" s="16"/>
      <c r="G1039" s="16"/>
      <c r="H1039" s="16"/>
      <c r="I1039" s="125"/>
      <c r="J1039" s="16"/>
      <c r="K1039" s="13"/>
      <c r="L1039" s="13"/>
      <c r="M1039" s="13"/>
      <c r="N1039" s="16"/>
      <c r="O1039" s="16"/>
      <c r="P1039" s="16"/>
      <c r="Q1039" s="16"/>
      <c r="R1039" s="96"/>
      <c r="S1039" s="96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</row>
    <row r="1040">
      <c r="A1040" s="16"/>
      <c r="B1040" s="13"/>
      <c r="C1040" s="16"/>
      <c r="D1040" s="16"/>
      <c r="E1040" s="16"/>
      <c r="F1040" s="16"/>
      <c r="G1040" s="16"/>
      <c r="H1040" s="16"/>
      <c r="I1040" s="125"/>
      <c r="J1040" s="16"/>
      <c r="K1040" s="13"/>
      <c r="L1040" s="13"/>
      <c r="M1040" s="13"/>
      <c r="N1040" s="16"/>
      <c r="O1040" s="16"/>
      <c r="P1040" s="16"/>
      <c r="Q1040" s="16"/>
      <c r="R1040" s="96"/>
      <c r="S1040" s="96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</row>
    <row r="1041">
      <c r="A1041" s="16"/>
      <c r="B1041" s="13"/>
      <c r="C1041" s="16"/>
      <c r="D1041" s="16"/>
      <c r="E1041" s="16"/>
      <c r="F1041" s="16"/>
      <c r="G1041" s="16"/>
      <c r="H1041" s="16"/>
      <c r="I1041" s="125"/>
      <c r="J1041" s="16"/>
      <c r="K1041" s="13"/>
      <c r="L1041" s="13"/>
      <c r="M1041" s="13"/>
      <c r="N1041" s="16"/>
      <c r="O1041" s="16"/>
      <c r="P1041" s="16"/>
      <c r="Q1041" s="16"/>
      <c r="R1041" s="96"/>
      <c r="S1041" s="96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</row>
    <row r="1042">
      <c r="A1042" s="16"/>
      <c r="B1042" s="13"/>
      <c r="C1042" s="16"/>
      <c r="D1042" s="16"/>
      <c r="E1042" s="16"/>
      <c r="F1042" s="16"/>
      <c r="G1042" s="16"/>
      <c r="H1042" s="16"/>
      <c r="I1042" s="125"/>
      <c r="J1042" s="16"/>
      <c r="K1042" s="13"/>
      <c r="L1042" s="13"/>
      <c r="M1042" s="13"/>
      <c r="N1042" s="16"/>
      <c r="O1042" s="16"/>
      <c r="P1042" s="16"/>
      <c r="Q1042" s="16"/>
      <c r="R1042" s="96"/>
      <c r="S1042" s="96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</row>
    <row r="1043">
      <c r="A1043" s="16"/>
      <c r="B1043" s="13"/>
      <c r="C1043" s="16"/>
      <c r="D1043" s="16"/>
      <c r="E1043" s="16"/>
      <c r="F1043" s="16"/>
      <c r="G1043" s="16"/>
      <c r="H1043" s="16"/>
      <c r="I1043" s="125"/>
      <c r="J1043" s="16"/>
      <c r="K1043" s="13"/>
      <c r="L1043" s="13"/>
      <c r="M1043" s="13"/>
      <c r="N1043" s="16"/>
      <c r="O1043" s="16"/>
      <c r="P1043" s="16"/>
      <c r="Q1043" s="16"/>
      <c r="R1043" s="96"/>
      <c r="S1043" s="96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</row>
    <row r="1044">
      <c r="A1044" s="16"/>
      <c r="B1044" s="13"/>
      <c r="C1044" s="16"/>
      <c r="D1044" s="16"/>
      <c r="E1044" s="16"/>
      <c r="F1044" s="16"/>
      <c r="G1044" s="16"/>
      <c r="H1044" s="16"/>
      <c r="I1044" s="125"/>
      <c r="J1044" s="16"/>
      <c r="K1044" s="13"/>
      <c r="L1044" s="13"/>
      <c r="M1044" s="13"/>
      <c r="N1044" s="16"/>
      <c r="O1044" s="16"/>
      <c r="P1044" s="16"/>
      <c r="Q1044" s="16"/>
      <c r="R1044" s="96"/>
      <c r="S1044" s="96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</row>
    <row r="1045">
      <c r="A1045" s="16"/>
      <c r="B1045" s="13"/>
      <c r="C1045" s="16"/>
      <c r="D1045" s="16"/>
      <c r="E1045" s="16"/>
      <c r="F1045" s="16"/>
      <c r="G1045" s="16"/>
      <c r="H1045" s="16"/>
      <c r="I1045" s="125"/>
      <c r="J1045" s="16"/>
      <c r="K1045" s="13"/>
      <c r="L1045" s="13"/>
      <c r="M1045" s="13"/>
      <c r="N1045" s="16"/>
      <c r="O1045" s="16"/>
      <c r="P1045" s="16"/>
      <c r="Q1045" s="16"/>
      <c r="R1045" s="96"/>
      <c r="S1045" s="96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</row>
    <row r="1046">
      <c r="A1046" s="16"/>
      <c r="B1046" s="13"/>
      <c r="C1046" s="16"/>
      <c r="D1046" s="16"/>
      <c r="E1046" s="16"/>
      <c r="F1046" s="16"/>
      <c r="G1046" s="16"/>
      <c r="H1046" s="16"/>
      <c r="I1046" s="125"/>
      <c r="J1046" s="16"/>
      <c r="K1046" s="13"/>
      <c r="L1046" s="13"/>
      <c r="M1046" s="13"/>
      <c r="N1046" s="16"/>
      <c r="O1046" s="16"/>
      <c r="P1046" s="16"/>
      <c r="Q1046" s="16"/>
      <c r="R1046" s="96"/>
      <c r="S1046" s="96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</row>
    <row r="1047">
      <c r="A1047" s="16"/>
      <c r="B1047" s="13"/>
      <c r="C1047" s="16"/>
      <c r="D1047" s="16"/>
      <c r="E1047" s="16"/>
      <c r="F1047" s="16"/>
      <c r="G1047" s="16"/>
      <c r="H1047" s="16"/>
      <c r="I1047" s="125"/>
      <c r="J1047" s="16"/>
      <c r="K1047" s="13"/>
      <c r="L1047" s="13"/>
      <c r="M1047" s="13"/>
      <c r="N1047" s="16"/>
      <c r="O1047" s="16"/>
      <c r="P1047" s="16"/>
      <c r="Q1047" s="16"/>
      <c r="R1047" s="96"/>
      <c r="S1047" s="96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</row>
    <row r="1048">
      <c r="A1048" s="16"/>
      <c r="B1048" s="13"/>
      <c r="C1048" s="16"/>
      <c r="D1048" s="16"/>
      <c r="E1048" s="16"/>
      <c r="F1048" s="16"/>
      <c r="G1048" s="16"/>
      <c r="H1048" s="16"/>
      <c r="I1048" s="125"/>
      <c r="J1048" s="16"/>
      <c r="K1048" s="13"/>
      <c r="L1048" s="13"/>
      <c r="M1048" s="13"/>
      <c r="N1048" s="16"/>
      <c r="O1048" s="16"/>
      <c r="P1048" s="16"/>
      <c r="Q1048" s="16"/>
      <c r="R1048" s="96"/>
      <c r="S1048" s="96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</row>
    <row r="1049">
      <c r="A1049" s="16"/>
      <c r="B1049" s="13"/>
      <c r="C1049" s="16"/>
      <c r="D1049" s="16"/>
      <c r="E1049" s="16"/>
      <c r="F1049" s="16"/>
      <c r="G1049" s="16"/>
      <c r="H1049" s="16"/>
      <c r="I1049" s="125"/>
      <c r="J1049" s="16"/>
      <c r="K1049" s="13"/>
      <c r="L1049" s="13"/>
      <c r="M1049" s="13"/>
      <c r="N1049" s="16"/>
      <c r="O1049" s="16"/>
      <c r="P1049" s="16"/>
      <c r="Q1049" s="16"/>
      <c r="R1049" s="96"/>
      <c r="S1049" s="96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</row>
    <row r="1050">
      <c r="A1050" s="16"/>
      <c r="B1050" s="13"/>
      <c r="C1050" s="16"/>
      <c r="D1050" s="16"/>
      <c r="E1050" s="16"/>
      <c r="F1050" s="16"/>
      <c r="G1050" s="16"/>
      <c r="H1050" s="16"/>
      <c r="I1050" s="125"/>
      <c r="J1050" s="16"/>
      <c r="K1050" s="13"/>
      <c r="L1050" s="13"/>
      <c r="M1050" s="13"/>
      <c r="N1050" s="16"/>
      <c r="O1050" s="16"/>
      <c r="P1050" s="16"/>
      <c r="Q1050" s="16"/>
      <c r="R1050" s="96"/>
      <c r="S1050" s="96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</row>
    <row r="1051">
      <c r="A1051" s="16"/>
      <c r="B1051" s="13"/>
      <c r="C1051" s="16"/>
      <c r="D1051" s="16"/>
      <c r="E1051" s="16"/>
      <c r="F1051" s="16"/>
      <c r="G1051" s="16"/>
      <c r="H1051" s="16"/>
      <c r="I1051" s="125"/>
      <c r="J1051" s="16"/>
      <c r="K1051" s="13"/>
      <c r="L1051" s="13"/>
      <c r="M1051" s="13"/>
      <c r="N1051" s="16"/>
      <c r="O1051" s="16"/>
      <c r="P1051" s="16"/>
      <c r="Q1051" s="16"/>
      <c r="R1051" s="96"/>
      <c r="S1051" s="96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</row>
    <row r="1052">
      <c r="A1052" s="16"/>
      <c r="B1052" s="13"/>
      <c r="C1052" s="16"/>
      <c r="D1052" s="16"/>
      <c r="E1052" s="16"/>
      <c r="F1052" s="16"/>
      <c r="G1052" s="16"/>
      <c r="H1052" s="16"/>
      <c r="I1052" s="125"/>
      <c r="J1052" s="16"/>
      <c r="K1052" s="13"/>
      <c r="L1052" s="13"/>
      <c r="M1052" s="13"/>
      <c r="N1052" s="16"/>
      <c r="O1052" s="16"/>
      <c r="P1052" s="16"/>
      <c r="Q1052" s="16"/>
      <c r="R1052" s="96"/>
      <c r="S1052" s="96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</row>
    <row r="1053">
      <c r="A1053" s="16"/>
      <c r="B1053" s="13"/>
      <c r="C1053" s="16"/>
      <c r="D1053" s="16"/>
      <c r="E1053" s="16"/>
      <c r="F1053" s="16"/>
      <c r="G1053" s="16"/>
      <c r="H1053" s="16"/>
      <c r="I1053" s="125"/>
      <c r="J1053" s="16"/>
      <c r="K1053" s="13"/>
      <c r="L1053" s="13"/>
      <c r="M1053" s="13"/>
      <c r="N1053" s="16"/>
      <c r="O1053" s="16"/>
      <c r="P1053" s="16"/>
      <c r="Q1053" s="16"/>
      <c r="R1053" s="96"/>
      <c r="S1053" s="96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</row>
    <row r="1054">
      <c r="A1054" s="16"/>
      <c r="B1054" s="13"/>
      <c r="C1054" s="16"/>
      <c r="D1054" s="16"/>
      <c r="E1054" s="16"/>
      <c r="F1054" s="16"/>
      <c r="G1054" s="16"/>
      <c r="H1054" s="16"/>
      <c r="I1054" s="125"/>
      <c r="J1054" s="16"/>
      <c r="K1054" s="13"/>
      <c r="L1054" s="13"/>
      <c r="M1054" s="13"/>
      <c r="N1054" s="16"/>
      <c r="O1054" s="16"/>
      <c r="P1054" s="16"/>
      <c r="Q1054" s="16"/>
      <c r="R1054" s="96"/>
      <c r="S1054" s="96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</row>
    <row r="1055">
      <c r="A1055" s="16"/>
      <c r="B1055" s="13"/>
      <c r="C1055" s="16"/>
      <c r="D1055" s="16"/>
      <c r="E1055" s="16"/>
      <c r="F1055" s="16"/>
      <c r="G1055" s="16"/>
      <c r="H1055" s="16"/>
      <c r="I1055" s="125"/>
      <c r="J1055" s="16"/>
      <c r="K1055" s="13"/>
      <c r="L1055" s="13"/>
      <c r="M1055" s="13"/>
      <c r="N1055" s="16"/>
      <c r="O1055" s="16"/>
      <c r="P1055" s="16"/>
      <c r="Q1055" s="16"/>
      <c r="R1055" s="96"/>
      <c r="S1055" s="96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</row>
    <row r="1056">
      <c r="A1056" s="16"/>
      <c r="B1056" s="13"/>
      <c r="C1056" s="16"/>
      <c r="D1056" s="16"/>
      <c r="E1056" s="16"/>
      <c r="F1056" s="16"/>
      <c r="G1056" s="16"/>
      <c r="H1056" s="16"/>
      <c r="I1056" s="125"/>
      <c r="J1056" s="16"/>
      <c r="K1056" s="13"/>
      <c r="L1056" s="13"/>
      <c r="M1056" s="13"/>
      <c r="N1056" s="16"/>
      <c r="O1056" s="16"/>
      <c r="P1056" s="16"/>
      <c r="Q1056" s="16"/>
      <c r="R1056" s="96"/>
      <c r="S1056" s="96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</row>
    <row r="1057">
      <c r="A1057" s="16"/>
      <c r="B1057" s="13"/>
      <c r="C1057" s="16"/>
      <c r="D1057" s="16"/>
      <c r="E1057" s="16"/>
      <c r="F1057" s="16"/>
      <c r="G1057" s="16"/>
      <c r="H1057" s="16"/>
      <c r="I1057" s="125"/>
      <c r="J1057" s="16"/>
      <c r="K1057" s="13"/>
      <c r="L1057" s="13"/>
      <c r="M1057" s="13"/>
      <c r="N1057" s="16"/>
      <c r="O1057" s="16"/>
      <c r="P1057" s="16"/>
      <c r="Q1057" s="16"/>
      <c r="R1057" s="96"/>
      <c r="S1057" s="96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</row>
    <row r="1058">
      <c r="A1058" s="16"/>
      <c r="B1058" s="13"/>
      <c r="C1058" s="16"/>
      <c r="D1058" s="16"/>
      <c r="E1058" s="16"/>
      <c r="F1058" s="16"/>
      <c r="G1058" s="16"/>
      <c r="H1058" s="16"/>
      <c r="I1058" s="125"/>
      <c r="J1058" s="16"/>
      <c r="K1058" s="13"/>
      <c r="L1058" s="13"/>
      <c r="M1058" s="13"/>
      <c r="N1058" s="16"/>
      <c r="O1058" s="16"/>
      <c r="P1058" s="16"/>
      <c r="Q1058" s="16"/>
      <c r="R1058" s="96"/>
      <c r="S1058" s="96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</row>
    <row r="1059">
      <c r="A1059" s="16"/>
      <c r="B1059" s="13"/>
      <c r="C1059" s="16"/>
      <c r="D1059" s="16"/>
      <c r="E1059" s="16"/>
      <c r="F1059" s="16"/>
      <c r="G1059" s="16"/>
      <c r="H1059" s="16"/>
      <c r="I1059" s="125"/>
      <c r="J1059" s="16"/>
      <c r="K1059" s="13"/>
      <c r="L1059" s="13"/>
      <c r="M1059" s="13"/>
      <c r="N1059" s="16"/>
      <c r="O1059" s="16"/>
      <c r="P1059" s="16"/>
      <c r="Q1059" s="16"/>
      <c r="R1059" s="96"/>
      <c r="S1059" s="96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</row>
    <row r="1060">
      <c r="A1060" s="16"/>
      <c r="B1060" s="13"/>
      <c r="C1060" s="16"/>
      <c r="D1060" s="16"/>
      <c r="E1060" s="16"/>
      <c r="F1060" s="16"/>
      <c r="G1060" s="16"/>
      <c r="H1060" s="16"/>
      <c r="I1060" s="125"/>
      <c r="J1060" s="16"/>
      <c r="K1060" s="13"/>
      <c r="L1060" s="13"/>
      <c r="M1060" s="13"/>
      <c r="N1060" s="16"/>
      <c r="O1060" s="16"/>
      <c r="P1060" s="16"/>
      <c r="Q1060" s="16"/>
      <c r="R1060" s="96"/>
      <c r="S1060" s="96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</row>
    <row r="1061">
      <c r="A1061" s="16"/>
      <c r="B1061" s="13"/>
      <c r="C1061" s="16"/>
      <c r="D1061" s="16"/>
      <c r="E1061" s="16"/>
      <c r="F1061" s="16"/>
      <c r="G1061" s="16"/>
      <c r="H1061" s="16"/>
      <c r="I1061" s="125"/>
      <c r="J1061" s="16"/>
      <c r="K1061" s="13"/>
      <c r="L1061" s="13"/>
      <c r="M1061" s="13"/>
      <c r="N1061" s="16"/>
      <c r="O1061" s="16"/>
      <c r="P1061" s="16"/>
      <c r="Q1061" s="16"/>
      <c r="R1061" s="96"/>
      <c r="S1061" s="96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</row>
    <row r="1062">
      <c r="A1062" s="16"/>
      <c r="B1062" s="13"/>
      <c r="C1062" s="16"/>
      <c r="D1062" s="16"/>
      <c r="E1062" s="16"/>
      <c r="F1062" s="16"/>
      <c r="G1062" s="16"/>
      <c r="H1062" s="16"/>
      <c r="I1062" s="125"/>
      <c r="J1062" s="16"/>
      <c r="K1062" s="13"/>
      <c r="L1062" s="13"/>
      <c r="M1062" s="13"/>
      <c r="N1062" s="16"/>
      <c r="O1062" s="16"/>
      <c r="P1062" s="16"/>
      <c r="Q1062" s="16"/>
      <c r="R1062" s="96"/>
      <c r="S1062" s="96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</row>
    <row r="1063">
      <c r="A1063" s="16"/>
      <c r="B1063" s="13"/>
      <c r="C1063" s="16"/>
      <c r="D1063" s="16"/>
      <c r="E1063" s="16"/>
      <c r="F1063" s="16"/>
      <c r="G1063" s="16"/>
      <c r="H1063" s="16"/>
      <c r="I1063" s="125"/>
      <c r="J1063" s="16"/>
      <c r="K1063" s="13"/>
      <c r="L1063" s="13"/>
      <c r="M1063" s="13"/>
      <c r="N1063" s="16"/>
      <c r="O1063" s="16"/>
      <c r="P1063" s="16"/>
      <c r="Q1063" s="16"/>
      <c r="R1063" s="96"/>
      <c r="S1063" s="96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</row>
    <row r="1064">
      <c r="A1064" s="16"/>
      <c r="B1064" s="13"/>
      <c r="C1064" s="16"/>
      <c r="D1064" s="16"/>
      <c r="E1064" s="16"/>
      <c r="F1064" s="16"/>
      <c r="G1064" s="16"/>
      <c r="H1064" s="16"/>
      <c r="I1064" s="125"/>
      <c r="J1064" s="16"/>
      <c r="K1064" s="13"/>
      <c r="L1064" s="13"/>
      <c r="M1064" s="13"/>
      <c r="N1064" s="16"/>
      <c r="O1064" s="16"/>
      <c r="P1064" s="16"/>
      <c r="Q1064" s="16"/>
      <c r="R1064" s="96"/>
      <c r="S1064" s="96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</row>
    <row r="1065">
      <c r="A1065" s="16"/>
      <c r="B1065" s="13"/>
      <c r="C1065" s="16"/>
      <c r="D1065" s="16"/>
      <c r="E1065" s="16"/>
      <c r="F1065" s="16"/>
      <c r="G1065" s="16"/>
      <c r="H1065" s="16"/>
      <c r="I1065" s="125"/>
      <c r="J1065" s="16"/>
      <c r="K1065" s="13"/>
      <c r="L1065" s="13"/>
      <c r="M1065" s="13"/>
      <c r="N1065" s="16"/>
      <c r="O1065" s="16"/>
      <c r="P1065" s="16"/>
      <c r="Q1065" s="16"/>
      <c r="R1065" s="96"/>
      <c r="S1065" s="96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</row>
    <row r="1066">
      <c r="A1066" s="16"/>
      <c r="B1066" s="13"/>
      <c r="C1066" s="16"/>
      <c r="D1066" s="16"/>
      <c r="E1066" s="16"/>
      <c r="F1066" s="16"/>
      <c r="G1066" s="16"/>
      <c r="H1066" s="16"/>
      <c r="I1066" s="125"/>
      <c r="J1066" s="16"/>
      <c r="K1066" s="13"/>
      <c r="L1066" s="13"/>
      <c r="M1066" s="13"/>
      <c r="N1066" s="16"/>
      <c r="O1066" s="16"/>
      <c r="P1066" s="16"/>
      <c r="Q1066" s="16"/>
      <c r="R1066" s="96"/>
      <c r="S1066" s="96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</row>
    <row r="1067">
      <c r="A1067" s="16"/>
      <c r="B1067" s="13"/>
      <c r="C1067" s="16"/>
      <c r="D1067" s="16"/>
      <c r="E1067" s="16"/>
      <c r="F1067" s="16"/>
      <c r="G1067" s="16"/>
      <c r="H1067" s="16"/>
      <c r="I1067" s="125"/>
      <c r="J1067" s="16"/>
      <c r="K1067" s="13"/>
      <c r="L1067" s="13"/>
      <c r="M1067" s="13"/>
      <c r="N1067" s="16"/>
      <c r="O1067" s="16"/>
      <c r="P1067" s="16"/>
      <c r="Q1067" s="16"/>
      <c r="R1067" s="96"/>
      <c r="S1067" s="96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</row>
    <row r="1068">
      <c r="A1068" s="16"/>
      <c r="B1068" s="13"/>
      <c r="C1068" s="16"/>
      <c r="D1068" s="16"/>
      <c r="E1068" s="16"/>
      <c r="F1068" s="16"/>
      <c r="G1068" s="16"/>
      <c r="H1068" s="16"/>
      <c r="I1068" s="125"/>
      <c r="J1068" s="16"/>
      <c r="K1068" s="13"/>
      <c r="L1068" s="13"/>
      <c r="M1068" s="13"/>
      <c r="N1068" s="16"/>
      <c r="O1068" s="16"/>
      <c r="P1068" s="16"/>
      <c r="Q1068" s="16"/>
      <c r="R1068" s="96"/>
      <c r="S1068" s="96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</row>
    <row r="1069">
      <c r="A1069" s="16"/>
      <c r="B1069" s="13"/>
      <c r="C1069" s="16"/>
      <c r="D1069" s="16"/>
      <c r="E1069" s="16"/>
      <c r="F1069" s="16"/>
      <c r="G1069" s="16"/>
      <c r="H1069" s="16"/>
      <c r="I1069" s="125"/>
      <c r="J1069" s="16"/>
      <c r="K1069" s="13"/>
      <c r="L1069" s="13"/>
      <c r="M1069" s="13"/>
      <c r="N1069" s="16"/>
      <c r="O1069" s="16"/>
      <c r="P1069" s="16"/>
      <c r="Q1069" s="16"/>
      <c r="R1069" s="96"/>
      <c r="S1069" s="96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</row>
    <row r="1070">
      <c r="A1070" s="16"/>
      <c r="B1070" s="13"/>
      <c r="C1070" s="16"/>
      <c r="D1070" s="16"/>
      <c r="E1070" s="16"/>
      <c r="F1070" s="16"/>
      <c r="G1070" s="16"/>
      <c r="H1070" s="16"/>
      <c r="I1070" s="125"/>
      <c r="J1070" s="16"/>
      <c r="K1070" s="13"/>
      <c r="L1070" s="13"/>
      <c r="M1070" s="13"/>
      <c r="N1070" s="16"/>
      <c r="O1070" s="16"/>
      <c r="P1070" s="16"/>
      <c r="Q1070" s="16"/>
      <c r="R1070" s="96"/>
      <c r="S1070" s="96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</row>
    <row r="1071">
      <c r="A1071" s="16"/>
      <c r="B1071" s="13"/>
      <c r="C1071" s="16"/>
      <c r="D1071" s="16"/>
      <c r="E1071" s="16"/>
      <c r="F1071" s="16"/>
      <c r="G1071" s="16"/>
      <c r="H1071" s="16"/>
      <c r="I1071" s="125"/>
      <c r="J1071" s="16"/>
      <c r="K1071" s="13"/>
      <c r="L1071" s="13"/>
      <c r="M1071" s="13"/>
      <c r="N1071" s="16"/>
      <c r="O1071" s="16"/>
      <c r="P1071" s="16"/>
      <c r="Q1071" s="16"/>
      <c r="R1071" s="96"/>
      <c r="S1071" s="96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</row>
    <row r="1072">
      <c r="A1072" s="16"/>
      <c r="B1072" s="13"/>
      <c r="C1072" s="16"/>
      <c r="D1072" s="16"/>
      <c r="E1072" s="16"/>
      <c r="F1072" s="16"/>
      <c r="G1072" s="16"/>
      <c r="H1072" s="16"/>
      <c r="I1072" s="125"/>
      <c r="J1072" s="16"/>
      <c r="K1072" s="13"/>
      <c r="L1072" s="13"/>
      <c r="M1072" s="13"/>
      <c r="N1072" s="16"/>
      <c r="O1072" s="16"/>
      <c r="P1072" s="16"/>
      <c r="Q1072" s="16"/>
      <c r="R1072" s="96"/>
      <c r="S1072" s="96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</row>
    <row r="1073">
      <c r="A1073" s="16"/>
      <c r="B1073" s="13"/>
      <c r="C1073" s="16"/>
      <c r="D1073" s="16"/>
      <c r="E1073" s="16"/>
      <c r="F1073" s="16"/>
      <c r="G1073" s="16"/>
      <c r="H1073" s="16"/>
      <c r="I1073" s="125"/>
      <c r="J1073" s="16"/>
      <c r="K1073" s="13"/>
      <c r="L1073" s="13"/>
      <c r="M1073" s="13"/>
      <c r="N1073" s="16"/>
      <c r="O1073" s="16"/>
      <c r="P1073" s="16"/>
      <c r="Q1073" s="16"/>
      <c r="R1073" s="96"/>
      <c r="S1073" s="96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</row>
    <row r="1074">
      <c r="A1074" s="16"/>
      <c r="B1074" s="13"/>
      <c r="C1074" s="16"/>
      <c r="D1074" s="16"/>
      <c r="E1074" s="16"/>
      <c r="F1074" s="16"/>
      <c r="G1074" s="16"/>
      <c r="H1074" s="16"/>
      <c r="I1074" s="125"/>
      <c r="J1074" s="16"/>
      <c r="K1074" s="13"/>
      <c r="L1074" s="13"/>
      <c r="M1074" s="13"/>
      <c r="N1074" s="16"/>
      <c r="O1074" s="16"/>
      <c r="P1074" s="16"/>
      <c r="Q1074" s="16"/>
      <c r="R1074" s="96"/>
      <c r="S1074" s="96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</row>
    <row r="1075">
      <c r="A1075" s="16"/>
      <c r="B1075" s="13"/>
      <c r="C1075" s="16"/>
      <c r="D1075" s="16"/>
      <c r="E1075" s="16"/>
      <c r="F1075" s="16"/>
      <c r="G1075" s="16"/>
      <c r="H1075" s="16"/>
      <c r="I1075" s="125"/>
      <c r="J1075" s="16"/>
      <c r="K1075" s="13"/>
      <c r="L1075" s="13"/>
      <c r="M1075" s="13"/>
      <c r="N1075" s="16"/>
      <c r="O1075" s="16"/>
      <c r="P1075" s="16"/>
      <c r="Q1075" s="16"/>
      <c r="R1075" s="96"/>
      <c r="S1075" s="96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</row>
    <row r="1076">
      <c r="A1076" s="16"/>
      <c r="B1076" s="13"/>
      <c r="C1076" s="16"/>
      <c r="D1076" s="16"/>
      <c r="E1076" s="16"/>
      <c r="F1076" s="16"/>
      <c r="G1076" s="16"/>
      <c r="H1076" s="16"/>
      <c r="I1076" s="125"/>
      <c r="J1076" s="16"/>
      <c r="K1076" s="13"/>
      <c r="L1076" s="13"/>
      <c r="M1076" s="13"/>
      <c r="N1076" s="16"/>
      <c r="O1076" s="16"/>
      <c r="P1076" s="16"/>
      <c r="Q1076" s="16"/>
      <c r="R1076" s="96"/>
      <c r="S1076" s="96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</row>
    <row r="1077">
      <c r="A1077" s="16"/>
      <c r="B1077" s="13"/>
      <c r="C1077" s="16"/>
      <c r="D1077" s="16"/>
      <c r="E1077" s="16"/>
      <c r="F1077" s="16"/>
      <c r="G1077" s="16"/>
      <c r="H1077" s="16"/>
      <c r="I1077" s="125"/>
      <c r="J1077" s="16"/>
      <c r="K1077" s="13"/>
      <c r="L1077" s="13"/>
      <c r="M1077" s="13"/>
      <c r="N1077" s="16"/>
      <c r="O1077" s="16"/>
      <c r="P1077" s="16"/>
      <c r="Q1077" s="16"/>
      <c r="R1077" s="96"/>
      <c r="S1077" s="96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</row>
    <row r="1078">
      <c r="A1078" s="16"/>
      <c r="B1078" s="13"/>
      <c r="C1078" s="16"/>
      <c r="D1078" s="16"/>
      <c r="E1078" s="16"/>
      <c r="F1078" s="16"/>
      <c r="G1078" s="16"/>
      <c r="H1078" s="16"/>
      <c r="I1078" s="125"/>
      <c r="J1078" s="16"/>
      <c r="K1078" s="13"/>
      <c r="L1078" s="13"/>
      <c r="M1078" s="13"/>
      <c r="N1078" s="16"/>
      <c r="O1078" s="16"/>
      <c r="P1078" s="16"/>
      <c r="Q1078" s="16"/>
      <c r="R1078" s="96"/>
      <c r="S1078" s="96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</row>
    <row r="1079">
      <c r="A1079" s="16"/>
      <c r="B1079" s="13"/>
      <c r="C1079" s="16"/>
      <c r="D1079" s="16"/>
      <c r="E1079" s="16"/>
      <c r="F1079" s="16"/>
      <c r="G1079" s="16"/>
      <c r="H1079" s="16"/>
      <c r="I1079" s="125"/>
      <c r="J1079" s="16"/>
      <c r="K1079" s="13"/>
      <c r="L1079" s="13"/>
      <c r="M1079" s="13"/>
      <c r="N1079" s="16"/>
      <c r="O1079" s="16"/>
      <c r="P1079" s="16"/>
      <c r="Q1079" s="16"/>
      <c r="R1079" s="96"/>
      <c r="S1079" s="96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</row>
    <row r="1080">
      <c r="A1080" s="16"/>
      <c r="B1080" s="13"/>
      <c r="C1080" s="16"/>
      <c r="D1080" s="16"/>
      <c r="E1080" s="16"/>
      <c r="F1080" s="16"/>
      <c r="G1080" s="16"/>
      <c r="H1080" s="16"/>
      <c r="I1080" s="125"/>
      <c r="J1080" s="16"/>
      <c r="K1080" s="13"/>
      <c r="L1080" s="13"/>
      <c r="M1080" s="13"/>
      <c r="N1080" s="16"/>
      <c r="O1080" s="16"/>
      <c r="P1080" s="16"/>
      <c r="Q1080" s="16"/>
      <c r="R1080" s="96"/>
      <c r="S1080" s="96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</row>
    <row r="1081">
      <c r="A1081" s="16"/>
      <c r="B1081" s="13"/>
      <c r="C1081" s="16"/>
      <c r="D1081" s="16"/>
      <c r="E1081" s="16"/>
      <c r="F1081" s="16"/>
      <c r="G1081" s="16"/>
      <c r="H1081" s="16"/>
      <c r="I1081" s="125"/>
      <c r="J1081" s="16"/>
      <c r="K1081" s="13"/>
      <c r="L1081" s="13"/>
      <c r="M1081" s="13"/>
      <c r="N1081" s="16"/>
      <c r="O1081" s="16"/>
      <c r="P1081" s="16"/>
      <c r="Q1081" s="16"/>
      <c r="R1081" s="96"/>
      <c r="S1081" s="96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</row>
    <row r="1082">
      <c r="A1082" s="16"/>
      <c r="B1082" s="13"/>
      <c r="C1082" s="16"/>
      <c r="D1082" s="16"/>
      <c r="E1082" s="16"/>
      <c r="F1082" s="16"/>
      <c r="G1082" s="16"/>
      <c r="H1082" s="16"/>
      <c r="I1082" s="125"/>
      <c r="J1082" s="16"/>
      <c r="K1082" s="13"/>
      <c r="L1082" s="13"/>
      <c r="M1082" s="13"/>
      <c r="N1082" s="16"/>
      <c r="O1082" s="16"/>
      <c r="P1082" s="16"/>
      <c r="Q1082" s="16"/>
      <c r="R1082" s="96"/>
      <c r="S1082" s="96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</row>
    <row r="1083">
      <c r="A1083" s="16"/>
      <c r="B1083" s="13"/>
      <c r="C1083" s="16"/>
      <c r="D1083" s="16"/>
      <c r="E1083" s="16"/>
      <c r="F1083" s="16"/>
      <c r="G1083" s="16"/>
      <c r="H1083" s="16"/>
      <c r="I1083" s="125"/>
      <c r="J1083" s="16"/>
      <c r="K1083" s="13"/>
      <c r="L1083" s="13"/>
      <c r="M1083" s="13"/>
      <c r="N1083" s="16"/>
      <c r="O1083" s="16"/>
      <c r="P1083" s="16"/>
      <c r="Q1083" s="16"/>
      <c r="R1083" s="96"/>
      <c r="S1083" s="96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</row>
    <row r="1084">
      <c r="A1084" s="16"/>
      <c r="B1084" s="13"/>
      <c r="C1084" s="16"/>
      <c r="D1084" s="16"/>
      <c r="E1084" s="16"/>
      <c r="F1084" s="16"/>
      <c r="G1084" s="16"/>
      <c r="H1084" s="16"/>
      <c r="I1084" s="125"/>
      <c r="J1084" s="16"/>
      <c r="K1084" s="13"/>
      <c r="L1084" s="13"/>
      <c r="M1084" s="13"/>
      <c r="N1084" s="16"/>
      <c r="O1084" s="16"/>
      <c r="P1084" s="16"/>
      <c r="Q1084" s="16"/>
      <c r="R1084" s="96"/>
      <c r="S1084" s="96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</row>
    <row r="1085">
      <c r="A1085" s="16"/>
      <c r="B1085" s="13"/>
      <c r="C1085" s="16"/>
      <c r="D1085" s="16"/>
      <c r="E1085" s="16"/>
      <c r="F1085" s="16"/>
      <c r="G1085" s="16"/>
      <c r="H1085" s="16"/>
      <c r="I1085" s="125"/>
      <c r="J1085" s="16"/>
      <c r="K1085" s="13"/>
      <c r="L1085" s="13"/>
      <c r="M1085" s="13"/>
      <c r="N1085" s="16"/>
      <c r="O1085" s="16"/>
      <c r="P1085" s="16"/>
      <c r="Q1085" s="16"/>
      <c r="R1085" s="96"/>
      <c r="S1085" s="96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</row>
    <row r="1086">
      <c r="A1086" s="16"/>
      <c r="B1086" s="13"/>
      <c r="C1086" s="16"/>
      <c r="D1086" s="16"/>
      <c r="E1086" s="16"/>
      <c r="F1086" s="16"/>
      <c r="G1086" s="16"/>
      <c r="H1086" s="16"/>
      <c r="I1086" s="125"/>
      <c r="J1086" s="16"/>
      <c r="K1086" s="13"/>
      <c r="L1086" s="13"/>
      <c r="M1086" s="13"/>
      <c r="N1086" s="16"/>
      <c r="O1086" s="16"/>
      <c r="P1086" s="16"/>
      <c r="Q1086" s="16"/>
      <c r="R1086" s="96"/>
      <c r="S1086" s="96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</row>
    <row r="1087">
      <c r="A1087" s="16"/>
      <c r="B1087" s="13"/>
      <c r="C1087" s="16"/>
      <c r="D1087" s="16"/>
      <c r="E1087" s="16"/>
      <c r="F1087" s="16"/>
      <c r="G1087" s="16"/>
      <c r="H1087" s="16"/>
      <c r="I1087" s="125"/>
      <c r="J1087" s="16"/>
      <c r="K1087" s="13"/>
      <c r="L1087" s="13"/>
      <c r="M1087" s="13"/>
      <c r="N1087" s="16"/>
      <c r="O1087" s="16"/>
      <c r="P1087" s="16"/>
      <c r="Q1087" s="16"/>
      <c r="R1087" s="96"/>
      <c r="S1087" s="96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</row>
    <row r="1088">
      <c r="A1088" s="16"/>
      <c r="B1088" s="13"/>
      <c r="C1088" s="16"/>
      <c r="D1088" s="16"/>
      <c r="E1088" s="16"/>
      <c r="F1088" s="16"/>
      <c r="G1088" s="16"/>
      <c r="H1088" s="16"/>
      <c r="I1088" s="125"/>
      <c r="J1088" s="16"/>
      <c r="K1088" s="13"/>
      <c r="L1088" s="13"/>
      <c r="M1088" s="13"/>
      <c r="N1088" s="16"/>
      <c r="O1088" s="16"/>
      <c r="P1088" s="16"/>
      <c r="Q1088" s="16"/>
      <c r="R1088" s="96"/>
      <c r="S1088" s="96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</row>
    <row r="1089">
      <c r="A1089" s="16"/>
      <c r="B1089" s="13"/>
      <c r="C1089" s="16"/>
      <c r="D1089" s="16"/>
      <c r="E1089" s="16"/>
      <c r="F1089" s="16"/>
      <c r="G1089" s="16"/>
      <c r="H1089" s="16"/>
      <c r="I1089" s="125"/>
      <c r="J1089" s="16"/>
      <c r="K1089" s="13"/>
      <c r="L1089" s="13"/>
      <c r="M1089" s="13"/>
      <c r="N1089" s="16"/>
      <c r="O1089" s="16"/>
      <c r="P1089" s="16"/>
      <c r="Q1089" s="16"/>
      <c r="R1089" s="96"/>
      <c r="S1089" s="96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</row>
    <row r="1090">
      <c r="A1090" s="16"/>
      <c r="B1090" s="13"/>
      <c r="C1090" s="16"/>
      <c r="D1090" s="16"/>
      <c r="E1090" s="16"/>
      <c r="F1090" s="16"/>
      <c r="G1090" s="16"/>
      <c r="H1090" s="16"/>
      <c r="I1090" s="125"/>
      <c r="J1090" s="16"/>
      <c r="K1090" s="13"/>
      <c r="L1090" s="13"/>
      <c r="M1090" s="13"/>
      <c r="N1090" s="16"/>
      <c r="O1090" s="16"/>
      <c r="P1090" s="16"/>
      <c r="Q1090" s="16"/>
      <c r="R1090" s="96"/>
      <c r="S1090" s="96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</row>
    <row r="1091">
      <c r="A1091" s="16"/>
      <c r="B1091" s="13"/>
      <c r="C1091" s="16"/>
      <c r="D1091" s="16"/>
      <c r="E1091" s="16"/>
      <c r="F1091" s="16"/>
      <c r="G1091" s="16"/>
      <c r="H1091" s="16"/>
      <c r="I1091" s="125"/>
      <c r="J1091" s="16"/>
      <c r="K1091" s="13"/>
      <c r="L1091" s="13"/>
      <c r="M1091" s="13"/>
      <c r="N1091" s="16"/>
      <c r="O1091" s="16"/>
      <c r="P1091" s="16"/>
      <c r="Q1091" s="16"/>
      <c r="R1091" s="96"/>
      <c r="S1091" s="96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</row>
    <row r="1092">
      <c r="A1092" s="16"/>
      <c r="B1092" s="13"/>
      <c r="C1092" s="16"/>
      <c r="D1092" s="16"/>
      <c r="E1092" s="16"/>
      <c r="F1092" s="16"/>
      <c r="G1092" s="16"/>
      <c r="H1092" s="16"/>
      <c r="I1092" s="125"/>
      <c r="J1092" s="16"/>
      <c r="K1092" s="13"/>
      <c r="L1092" s="13"/>
      <c r="M1092" s="13"/>
      <c r="N1092" s="16"/>
      <c r="O1092" s="16"/>
      <c r="P1092" s="16"/>
      <c r="Q1092" s="16"/>
      <c r="R1092" s="96"/>
      <c r="S1092" s="96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</row>
    <row r="1093">
      <c r="A1093" s="16"/>
      <c r="B1093" s="13"/>
      <c r="C1093" s="16"/>
      <c r="D1093" s="16"/>
      <c r="E1093" s="16"/>
      <c r="F1093" s="16"/>
      <c r="G1093" s="16"/>
      <c r="H1093" s="16"/>
      <c r="I1093" s="125"/>
      <c r="J1093" s="16"/>
      <c r="K1093" s="13"/>
      <c r="L1093" s="13"/>
      <c r="M1093" s="13"/>
      <c r="N1093" s="16"/>
      <c r="O1093" s="16"/>
      <c r="P1093" s="16"/>
      <c r="Q1093" s="16"/>
      <c r="R1093" s="96"/>
      <c r="S1093" s="96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</row>
    <row r="1094">
      <c r="A1094" s="16"/>
      <c r="B1094" s="13"/>
      <c r="C1094" s="16"/>
      <c r="D1094" s="16"/>
      <c r="E1094" s="16"/>
      <c r="F1094" s="16"/>
      <c r="G1094" s="16"/>
      <c r="H1094" s="16"/>
      <c r="I1094" s="125"/>
      <c r="J1094" s="16"/>
      <c r="K1094" s="13"/>
      <c r="L1094" s="13"/>
      <c r="M1094" s="13"/>
      <c r="N1094" s="16"/>
      <c r="O1094" s="16"/>
      <c r="P1094" s="16"/>
      <c r="Q1094" s="16"/>
      <c r="R1094" s="96"/>
      <c r="S1094" s="96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</row>
    <row r="1095">
      <c r="A1095" s="16"/>
      <c r="B1095" s="13"/>
      <c r="C1095" s="16"/>
      <c r="D1095" s="16"/>
      <c r="E1095" s="16"/>
      <c r="F1095" s="16"/>
      <c r="G1095" s="16"/>
      <c r="H1095" s="16"/>
      <c r="I1095" s="125"/>
      <c r="J1095" s="16"/>
      <c r="K1095" s="13"/>
      <c r="L1095" s="13"/>
      <c r="M1095" s="13"/>
      <c r="N1095" s="16"/>
      <c r="O1095" s="16"/>
      <c r="P1095" s="16"/>
      <c r="Q1095" s="16"/>
      <c r="R1095" s="96"/>
      <c r="S1095" s="96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</row>
    <row r="1096">
      <c r="A1096" s="16"/>
      <c r="B1096" s="13"/>
      <c r="C1096" s="16"/>
      <c r="D1096" s="16"/>
      <c r="E1096" s="16"/>
      <c r="F1096" s="16"/>
      <c r="G1096" s="16"/>
      <c r="H1096" s="16"/>
      <c r="I1096" s="125"/>
      <c r="J1096" s="16"/>
      <c r="K1096" s="13"/>
      <c r="L1096" s="13"/>
      <c r="M1096" s="13"/>
      <c r="N1096" s="16"/>
      <c r="O1096" s="16"/>
      <c r="P1096" s="16"/>
      <c r="Q1096" s="16"/>
      <c r="R1096" s="96"/>
      <c r="S1096" s="96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</row>
    <row r="1097">
      <c r="A1097" s="16"/>
      <c r="B1097" s="13"/>
      <c r="C1097" s="16"/>
      <c r="D1097" s="16"/>
      <c r="E1097" s="16"/>
      <c r="F1097" s="16"/>
      <c r="G1097" s="16"/>
      <c r="H1097" s="16"/>
      <c r="I1097" s="125"/>
      <c r="J1097" s="16"/>
      <c r="K1097" s="13"/>
      <c r="L1097" s="13"/>
      <c r="M1097" s="13"/>
      <c r="N1097" s="16"/>
      <c r="O1097" s="16"/>
      <c r="P1097" s="16"/>
      <c r="Q1097" s="16"/>
      <c r="R1097" s="96"/>
      <c r="S1097" s="96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</row>
    <row r="1098">
      <c r="A1098" s="16"/>
      <c r="B1098" s="13"/>
      <c r="C1098" s="16"/>
      <c r="D1098" s="16"/>
      <c r="E1098" s="16"/>
      <c r="F1098" s="16"/>
      <c r="G1098" s="16"/>
      <c r="H1098" s="16"/>
      <c r="I1098" s="125"/>
      <c r="J1098" s="16"/>
      <c r="K1098" s="13"/>
      <c r="L1098" s="13"/>
      <c r="M1098" s="13"/>
      <c r="N1098" s="16"/>
      <c r="O1098" s="16"/>
      <c r="P1098" s="16"/>
      <c r="Q1098" s="16"/>
      <c r="R1098" s="96"/>
      <c r="S1098" s="96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</row>
    <row r="1099">
      <c r="A1099" s="16"/>
      <c r="B1099" s="13"/>
      <c r="C1099" s="16"/>
      <c r="D1099" s="16"/>
      <c r="E1099" s="16"/>
      <c r="F1099" s="16"/>
      <c r="G1099" s="16"/>
      <c r="H1099" s="16"/>
      <c r="I1099" s="125"/>
      <c r="J1099" s="16"/>
      <c r="K1099" s="13"/>
      <c r="L1099" s="13"/>
      <c r="M1099" s="13"/>
      <c r="N1099" s="16"/>
      <c r="O1099" s="16"/>
      <c r="P1099" s="16"/>
      <c r="Q1099" s="16"/>
      <c r="R1099" s="96"/>
      <c r="S1099" s="96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</row>
    <row r="1100">
      <c r="A1100" s="16"/>
      <c r="B1100" s="13"/>
      <c r="C1100" s="16"/>
      <c r="D1100" s="16"/>
      <c r="E1100" s="16"/>
      <c r="F1100" s="16"/>
      <c r="G1100" s="16"/>
      <c r="H1100" s="16"/>
      <c r="I1100" s="125"/>
      <c r="J1100" s="16"/>
      <c r="K1100" s="13"/>
      <c r="L1100" s="13"/>
      <c r="M1100" s="13"/>
      <c r="N1100" s="16"/>
      <c r="O1100" s="16"/>
      <c r="P1100" s="16"/>
      <c r="Q1100" s="16"/>
      <c r="R1100" s="96"/>
      <c r="S1100" s="96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</row>
    <row r="1101">
      <c r="A1101" s="16"/>
      <c r="B1101" s="13"/>
      <c r="C1101" s="16"/>
      <c r="D1101" s="16"/>
      <c r="E1101" s="16"/>
      <c r="F1101" s="16"/>
      <c r="G1101" s="16"/>
      <c r="H1101" s="16"/>
      <c r="I1101" s="125"/>
      <c r="J1101" s="16"/>
      <c r="K1101" s="13"/>
      <c r="L1101" s="13"/>
      <c r="M1101" s="13"/>
      <c r="N1101" s="16"/>
      <c r="O1101" s="16"/>
      <c r="P1101" s="16"/>
      <c r="Q1101" s="16"/>
      <c r="R1101" s="96"/>
      <c r="S1101" s="96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</row>
    <row r="1102">
      <c r="A1102" s="16"/>
      <c r="B1102" s="13"/>
      <c r="C1102" s="16"/>
      <c r="D1102" s="16"/>
      <c r="E1102" s="16"/>
      <c r="F1102" s="16"/>
      <c r="G1102" s="16"/>
      <c r="H1102" s="16"/>
      <c r="I1102" s="125"/>
      <c r="J1102" s="16"/>
      <c r="K1102" s="13"/>
      <c r="L1102" s="13"/>
      <c r="M1102" s="13"/>
      <c r="N1102" s="16"/>
      <c r="O1102" s="16"/>
      <c r="P1102" s="16"/>
      <c r="Q1102" s="16"/>
      <c r="R1102" s="96"/>
      <c r="S1102" s="96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</row>
    <row r="1103">
      <c r="A1103" s="16"/>
      <c r="B1103" s="13"/>
      <c r="C1103" s="16"/>
      <c r="D1103" s="16"/>
      <c r="E1103" s="16"/>
      <c r="F1103" s="16"/>
      <c r="G1103" s="16"/>
      <c r="H1103" s="16"/>
      <c r="I1103" s="125"/>
      <c r="J1103" s="16"/>
      <c r="K1103" s="13"/>
      <c r="L1103" s="13"/>
      <c r="M1103" s="13"/>
      <c r="N1103" s="16"/>
      <c r="O1103" s="16"/>
      <c r="P1103" s="16"/>
      <c r="Q1103" s="16"/>
      <c r="R1103" s="96"/>
      <c r="S1103" s="96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</row>
    <row r="1104">
      <c r="A1104" s="16"/>
      <c r="B1104" s="13"/>
      <c r="C1104" s="16"/>
      <c r="D1104" s="16"/>
      <c r="E1104" s="16"/>
      <c r="F1104" s="16"/>
      <c r="G1104" s="16"/>
      <c r="H1104" s="16"/>
      <c r="I1104" s="125"/>
      <c r="J1104" s="16"/>
      <c r="K1104" s="13"/>
      <c r="L1104" s="13"/>
      <c r="M1104" s="13"/>
      <c r="N1104" s="16"/>
      <c r="O1104" s="16"/>
      <c r="P1104" s="16"/>
      <c r="Q1104" s="16"/>
      <c r="R1104" s="96"/>
      <c r="S1104" s="96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</row>
    <row r="1105">
      <c r="A1105" s="16"/>
      <c r="B1105" s="13"/>
      <c r="C1105" s="16"/>
      <c r="D1105" s="16"/>
      <c r="E1105" s="16"/>
      <c r="F1105" s="16"/>
      <c r="G1105" s="16"/>
      <c r="H1105" s="16"/>
      <c r="I1105" s="125"/>
      <c r="J1105" s="16"/>
      <c r="K1105" s="13"/>
      <c r="L1105" s="13"/>
      <c r="M1105" s="13"/>
      <c r="N1105" s="16"/>
      <c r="O1105" s="16"/>
      <c r="P1105" s="16"/>
      <c r="Q1105" s="16"/>
      <c r="R1105" s="96"/>
      <c r="S1105" s="96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</row>
    <row r="1106">
      <c r="A1106" s="16"/>
      <c r="B1106" s="13"/>
      <c r="C1106" s="16"/>
      <c r="D1106" s="16"/>
      <c r="E1106" s="16"/>
      <c r="F1106" s="16"/>
      <c r="G1106" s="16"/>
      <c r="H1106" s="16"/>
      <c r="I1106" s="125"/>
      <c r="J1106" s="16"/>
      <c r="K1106" s="13"/>
      <c r="L1106" s="13"/>
      <c r="M1106" s="13"/>
      <c r="N1106" s="16"/>
      <c r="O1106" s="16"/>
      <c r="P1106" s="16"/>
      <c r="Q1106" s="16"/>
      <c r="R1106" s="96"/>
      <c r="S1106" s="96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</row>
    <row r="1107">
      <c r="A1107" s="16"/>
      <c r="B1107" s="13"/>
      <c r="C1107" s="16"/>
      <c r="D1107" s="16"/>
      <c r="E1107" s="16"/>
      <c r="F1107" s="16"/>
      <c r="G1107" s="16"/>
      <c r="H1107" s="16"/>
      <c r="I1107" s="125"/>
      <c r="J1107" s="16"/>
      <c r="K1107" s="13"/>
      <c r="L1107" s="13"/>
      <c r="M1107" s="13"/>
      <c r="N1107" s="16"/>
      <c r="O1107" s="16"/>
      <c r="P1107" s="16"/>
      <c r="Q1107" s="16"/>
      <c r="R1107" s="96"/>
      <c r="S1107" s="96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</row>
    <row r="1108">
      <c r="A1108" s="16"/>
      <c r="B1108" s="13"/>
      <c r="C1108" s="16"/>
      <c r="D1108" s="16"/>
      <c r="E1108" s="16"/>
      <c r="F1108" s="16"/>
      <c r="G1108" s="16"/>
      <c r="H1108" s="16"/>
      <c r="I1108" s="125"/>
      <c r="J1108" s="16"/>
      <c r="K1108" s="13"/>
      <c r="L1108" s="13"/>
      <c r="M1108" s="13"/>
      <c r="N1108" s="16"/>
      <c r="O1108" s="16"/>
      <c r="P1108" s="16"/>
      <c r="Q1108" s="16"/>
      <c r="R1108" s="96"/>
      <c r="S1108" s="96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</row>
    <row r="1109">
      <c r="A1109" s="16"/>
      <c r="B1109" s="13"/>
      <c r="C1109" s="16"/>
      <c r="D1109" s="16"/>
      <c r="E1109" s="16"/>
      <c r="F1109" s="16"/>
      <c r="G1109" s="16"/>
      <c r="H1109" s="16"/>
      <c r="I1109" s="125"/>
      <c r="J1109" s="16"/>
      <c r="K1109" s="13"/>
      <c r="L1109" s="13"/>
      <c r="M1109" s="13"/>
      <c r="N1109" s="16"/>
      <c r="O1109" s="16"/>
      <c r="P1109" s="16"/>
      <c r="Q1109" s="16"/>
      <c r="R1109" s="96"/>
      <c r="S1109" s="96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</row>
    <row r="1110">
      <c r="A1110" s="16"/>
      <c r="B1110" s="13"/>
      <c r="C1110" s="16"/>
      <c r="D1110" s="16"/>
      <c r="E1110" s="16"/>
      <c r="F1110" s="16"/>
      <c r="G1110" s="16"/>
      <c r="H1110" s="16"/>
      <c r="I1110" s="125"/>
      <c r="J1110" s="16"/>
      <c r="K1110" s="13"/>
      <c r="L1110" s="13"/>
      <c r="M1110" s="13"/>
      <c r="N1110" s="16"/>
      <c r="O1110" s="16"/>
      <c r="P1110" s="16"/>
      <c r="Q1110" s="16"/>
      <c r="R1110" s="96"/>
      <c r="S1110" s="96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</row>
    <row r="1111">
      <c r="A1111" s="16"/>
      <c r="B1111" s="13"/>
      <c r="C1111" s="16"/>
      <c r="D1111" s="16"/>
      <c r="E1111" s="16"/>
      <c r="F1111" s="16"/>
      <c r="G1111" s="16"/>
      <c r="H1111" s="16"/>
      <c r="I1111" s="125"/>
      <c r="J1111" s="16"/>
      <c r="K1111" s="13"/>
      <c r="L1111" s="13"/>
      <c r="M1111" s="13"/>
      <c r="N1111" s="16"/>
      <c r="O1111" s="16"/>
      <c r="P1111" s="16"/>
      <c r="Q1111" s="16"/>
      <c r="R1111" s="96"/>
      <c r="S1111" s="96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</row>
    <row r="1112">
      <c r="A1112" s="16"/>
      <c r="B1112" s="13"/>
      <c r="C1112" s="16"/>
      <c r="D1112" s="16"/>
      <c r="E1112" s="16"/>
      <c r="F1112" s="16"/>
      <c r="G1112" s="16"/>
      <c r="H1112" s="16"/>
      <c r="I1112" s="125"/>
      <c r="J1112" s="16"/>
      <c r="K1112" s="13"/>
      <c r="L1112" s="13"/>
      <c r="M1112" s="13"/>
      <c r="N1112" s="16"/>
      <c r="O1112" s="16"/>
      <c r="P1112" s="16"/>
      <c r="Q1112" s="16"/>
      <c r="R1112" s="96"/>
      <c r="S1112" s="96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</row>
    <row r="1113">
      <c r="A1113" s="16"/>
      <c r="B1113" s="13"/>
      <c r="C1113" s="16"/>
      <c r="D1113" s="16"/>
      <c r="E1113" s="16"/>
      <c r="F1113" s="16"/>
      <c r="G1113" s="16"/>
      <c r="H1113" s="16"/>
      <c r="I1113" s="125"/>
      <c r="J1113" s="16"/>
      <c r="K1113" s="13"/>
      <c r="L1113" s="13"/>
      <c r="M1113" s="13"/>
      <c r="N1113" s="16"/>
      <c r="O1113" s="16"/>
      <c r="P1113" s="16"/>
      <c r="Q1113" s="16"/>
      <c r="R1113" s="96"/>
      <c r="S1113" s="96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</row>
    <row r="1114">
      <c r="A1114" s="16"/>
      <c r="B1114" s="13"/>
      <c r="C1114" s="16"/>
      <c r="D1114" s="16"/>
      <c r="E1114" s="16"/>
      <c r="F1114" s="16"/>
      <c r="G1114" s="16"/>
      <c r="H1114" s="16"/>
      <c r="I1114" s="125"/>
      <c r="J1114" s="16"/>
      <c r="K1114" s="13"/>
      <c r="L1114" s="13"/>
      <c r="M1114" s="13"/>
      <c r="N1114" s="16"/>
      <c r="O1114" s="16"/>
      <c r="P1114" s="16"/>
      <c r="Q1114" s="16"/>
      <c r="R1114" s="96"/>
      <c r="S1114" s="96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</row>
    <row r="1115">
      <c r="A1115" s="16"/>
      <c r="B1115" s="13"/>
      <c r="C1115" s="16"/>
      <c r="D1115" s="16"/>
      <c r="E1115" s="16"/>
      <c r="F1115" s="16"/>
      <c r="G1115" s="16"/>
      <c r="H1115" s="16"/>
      <c r="I1115" s="125"/>
      <c r="J1115" s="16"/>
      <c r="K1115" s="13"/>
      <c r="L1115" s="13"/>
      <c r="M1115" s="13"/>
      <c r="N1115" s="16"/>
      <c r="O1115" s="16"/>
      <c r="P1115" s="16"/>
      <c r="Q1115" s="16"/>
      <c r="R1115" s="96"/>
      <c r="S1115" s="96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</row>
    <row r="1116">
      <c r="A1116" s="16"/>
      <c r="B1116" s="13"/>
      <c r="C1116" s="16"/>
      <c r="D1116" s="16"/>
      <c r="E1116" s="16"/>
      <c r="F1116" s="16"/>
      <c r="G1116" s="16"/>
      <c r="H1116" s="16"/>
      <c r="I1116" s="125"/>
      <c r="J1116" s="16"/>
      <c r="K1116" s="13"/>
      <c r="L1116" s="13"/>
      <c r="M1116" s="13"/>
      <c r="N1116" s="16"/>
      <c r="O1116" s="16"/>
      <c r="P1116" s="16"/>
      <c r="Q1116" s="16"/>
      <c r="R1116" s="96"/>
      <c r="S1116" s="96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</row>
    <row r="1117">
      <c r="A1117" s="16"/>
      <c r="B1117" s="13"/>
      <c r="C1117" s="16"/>
      <c r="D1117" s="16"/>
      <c r="E1117" s="16"/>
      <c r="F1117" s="16"/>
      <c r="G1117" s="16"/>
      <c r="H1117" s="16"/>
      <c r="I1117" s="125"/>
      <c r="J1117" s="16"/>
      <c r="K1117" s="13"/>
      <c r="L1117" s="13"/>
      <c r="M1117" s="13"/>
      <c r="N1117" s="16"/>
      <c r="O1117" s="16"/>
      <c r="P1117" s="16"/>
      <c r="Q1117" s="16"/>
      <c r="R1117" s="96"/>
      <c r="S1117" s="96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</row>
    <row r="1118">
      <c r="A1118" s="16"/>
      <c r="B1118" s="13"/>
      <c r="C1118" s="16"/>
      <c r="D1118" s="16"/>
      <c r="E1118" s="16"/>
      <c r="F1118" s="16"/>
      <c r="G1118" s="16"/>
      <c r="H1118" s="16"/>
      <c r="I1118" s="125"/>
      <c r="J1118" s="16"/>
      <c r="K1118" s="13"/>
      <c r="L1118" s="13"/>
      <c r="M1118" s="13"/>
      <c r="N1118" s="16"/>
      <c r="O1118" s="16"/>
      <c r="P1118" s="16"/>
      <c r="Q1118" s="16"/>
      <c r="R1118" s="96"/>
      <c r="S1118" s="96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</row>
    <row r="1119">
      <c r="A1119" s="16"/>
      <c r="B1119" s="13"/>
      <c r="C1119" s="16"/>
      <c r="D1119" s="16"/>
      <c r="E1119" s="16"/>
      <c r="F1119" s="16"/>
      <c r="G1119" s="16"/>
      <c r="H1119" s="16"/>
      <c r="I1119" s="125"/>
      <c r="J1119" s="16"/>
      <c r="K1119" s="13"/>
      <c r="L1119" s="13"/>
      <c r="M1119" s="13"/>
      <c r="N1119" s="16"/>
      <c r="O1119" s="16"/>
      <c r="P1119" s="16"/>
      <c r="Q1119" s="16"/>
      <c r="R1119" s="96"/>
      <c r="S1119" s="96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</row>
    <row r="1120">
      <c r="A1120" s="16"/>
      <c r="B1120" s="13"/>
      <c r="C1120" s="16"/>
      <c r="D1120" s="16"/>
      <c r="E1120" s="16"/>
      <c r="F1120" s="16"/>
      <c r="G1120" s="16"/>
      <c r="H1120" s="16"/>
      <c r="I1120" s="125"/>
      <c r="J1120" s="16"/>
      <c r="K1120" s="13"/>
      <c r="L1120" s="13"/>
      <c r="M1120" s="13"/>
      <c r="N1120" s="16"/>
      <c r="O1120" s="16"/>
      <c r="P1120" s="16"/>
      <c r="Q1120" s="16"/>
      <c r="R1120" s="96"/>
      <c r="S1120" s="96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</row>
    <row r="1121">
      <c r="A1121" s="16"/>
      <c r="B1121" s="13"/>
      <c r="C1121" s="16"/>
      <c r="D1121" s="16"/>
      <c r="E1121" s="16"/>
      <c r="F1121" s="16"/>
      <c r="G1121" s="16"/>
      <c r="H1121" s="16"/>
      <c r="I1121" s="125"/>
      <c r="J1121" s="16"/>
      <c r="K1121" s="13"/>
      <c r="L1121" s="13"/>
      <c r="M1121" s="13"/>
      <c r="N1121" s="16"/>
      <c r="O1121" s="16"/>
      <c r="P1121" s="16"/>
      <c r="Q1121" s="16"/>
      <c r="R1121" s="96"/>
      <c r="S1121" s="96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</row>
    <row r="1122">
      <c r="A1122" s="16"/>
      <c r="B1122" s="13"/>
      <c r="C1122" s="16"/>
      <c r="D1122" s="16"/>
      <c r="E1122" s="16"/>
      <c r="F1122" s="16"/>
      <c r="G1122" s="16"/>
      <c r="H1122" s="16"/>
      <c r="I1122" s="125"/>
      <c r="J1122" s="16"/>
      <c r="K1122" s="13"/>
      <c r="L1122" s="13"/>
      <c r="M1122" s="13"/>
      <c r="N1122" s="16"/>
      <c r="O1122" s="16"/>
      <c r="P1122" s="16"/>
      <c r="Q1122" s="16"/>
      <c r="R1122" s="96"/>
      <c r="S1122" s="96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</row>
    <row r="1123">
      <c r="A1123" s="16"/>
      <c r="B1123" s="13"/>
      <c r="C1123" s="16"/>
      <c r="D1123" s="16"/>
      <c r="E1123" s="16"/>
      <c r="F1123" s="16"/>
      <c r="G1123" s="16"/>
      <c r="H1123" s="16"/>
      <c r="I1123" s="125"/>
      <c r="J1123" s="16"/>
      <c r="K1123" s="13"/>
      <c r="L1123" s="13"/>
      <c r="M1123" s="13"/>
      <c r="N1123" s="16"/>
      <c r="O1123" s="16"/>
      <c r="P1123" s="16"/>
      <c r="Q1123" s="16"/>
      <c r="R1123" s="96"/>
      <c r="S1123" s="96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</row>
    <row r="1124">
      <c r="A1124" s="16"/>
      <c r="B1124" s="13"/>
      <c r="C1124" s="16"/>
      <c r="D1124" s="16"/>
      <c r="E1124" s="16"/>
      <c r="F1124" s="16"/>
      <c r="G1124" s="16"/>
      <c r="H1124" s="16"/>
      <c r="I1124" s="125"/>
      <c r="J1124" s="16"/>
      <c r="K1124" s="13"/>
      <c r="L1124" s="13"/>
      <c r="M1124" s="13"/>
      <c r="N1124" s="16"/>
      <c r="O1124" s="16"/>
      <c r="P1124" s="16"/>
      <c r="Q1124" s="16"/>
      <c r="R1124" s="96"/>
      <c r="S1124" s="96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</row>
    <row r="1125">
      <c r="A1125" s="16"/>
      <c r="B1125" s="13"/>
      <c r="C1125" s="16"/>
      <c r="D1125" s="16"/>
      <c r="E1125" s="16"/>
      <c r="F1125" s="16"/>
      <c r="G1125" s="16"/>
      <c r="H1125" s="16"/>
      <c r="I1125" s="125"/>
      <c r="J1125" s="16"/>
      <c r="K1125" s="13"/>
      <c r="L1125" s="13"/>
      <c r="M1125" s="13"/>
      <c r="N1125" s="16"/>
      <c r="O1125" s="16"/>
      <c r="P1125" s="16"/>
      <c r="Q1125" s="16"/>
      <c r="R1125" s="96"/>
      <c r="S1125" s="96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</row>
    <row r="1126">
      <c r="A1126" s="16"/>
      <c r="B1126" s="13"/>
      <c r="C1126" s="16"/>
      <c r="D1126" s="16"/>
      <c r="E1126" s="16"/>
      <c r="F1126" s="16"/>
      <c r="G1126" s="16"/>
      <c r="H1126" s="16"/>
      <c r="I1126" s="125"/>
      <c r="J1126" s="16"/>
      <c r="K1126" s="13"/>
      <c r="L1126" s="13"/>
      <c r="M1126" s="13"/>
      <c r="N1126" s="16"/>
      <c r="O1126" s="16"/>
      <c r="P1126" s="16"/>
      <c r="Q1126" s="16"/>
      <c r="R1126" s="96"/>
      <c r="S1126" s="96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</row>
    <row r="1127">
      <c r="A1127" s="16"/>
      <c r="B1127" s="13"/>
      <c r="C1127" s="16"/>
      <c r="D1127" s="16"/>
      <c r="E1127" s="16"/>
      <c r="F1127" s="16"/>
      <c r="G1127" s="16"/>
      <c r="H1127" s="16"/>
      <c r="I1127" s="125"/>
      <c r="J1127" s="16"/>
      <c r="K1127" s="13"/>
      <c r="L1127" s="13"/>
      <c r="M1127" s="13"/>
      <c r="N1127" s="16"/>
      <c r="O1127" s="16"/>
      <c r="P1127" s="16"/>
      <c r="Q1127" s="16"/>
      <c r="R1127" s="96"/>
      <c r="S1127" s="96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</row>
    <row r="1128">
      <c r="A1128" s="16"/>
      <c r="B1128" s="13"/>
      <c r="C1128" s="16"/>
      <c r="D1128" s="16"/>
      <c r="E1128" s="16"/>
      <c r="F1128" s="16"/>
      <c r="G1128" s="16"/>
      <c r="H1128" s="16"/>
      <c r="I1128" s="125"/>
      <c r="J1128" s="16"/>
      <c r="K1128" s="13"/>
      <c r="L1128" s="13"/>
      <c r="M1128" s="13"/>
      <c r="N1128" s="16"/>
      <c r="O1128" s="16"/>
      <c r="P1128" s="16"/>
      <c r="Q1128" s="16"/>
      <c r="R1128" s="96"/>
      <c r="S1128" s="96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</row>
    <row r="1129">
      <c r="A1129" s="16"/>
      <c r="B1129" s="13"/>
      <c r="C1129" s="16"/>
      <c r="D1129" s="16"/>
      <c r="E1129" s="16"/>
      <c r="F1129" s="16"/>
      <c r="G1129" s="16"/>
      <c r="H1129" s="16"/>
      <c r="I1129" s="125"/>
      <c r="J1129" s="16"/>
      <c r="K1129" s="13"/>
      <c r="L1129" s="13"/>
      <c r="M1129" s="13"/>
      <c r="N1129" s="16"/>
      <c r="O1129" s="16"/>
      <c r="P1129" s="16"/>
      <c r="Q1129" s="16"/>
      <c r="R1129" s="96"/>
      <c r="S1129" s="96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</row>
    <row r="1130">
      <c r="A1130" s="16"/>
      <c r="B1130" s="13"/>
      <c r="C1130" s="16"/>
      <c r="D1130" s="16"/>
      <c r="E1130" s="16"/>
      <c r="F1130" s="16"/>
      <c r="G1130" s="16"/>
      <c r="H1130" s="16"/>
      <c r="I1130" s="125"/>
      <c r="J1130" s="16"/>
      <c r="K1130" s="13"/>
      <c r="L1130" s="13"/>
      <c r="M1130" s="13"/>
      <c r="N1130" s="16"/>
      <c r="O1130" s="16"/>
      <c r="P1130" s="16"/>
      <c r="Q1130" s="16"/>
      <c r="R1130" s="96"/>
      <c r="S1130" s="96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</row>
  </sheetData>
  <mergeCells count="16">
    <mergeCell ref="I6:I8"/>
    <mergeCell ref="L6:L8"/>
    <mergeCell ref="J7:J8"/>
    <mergeCell ref="K7:K8"/>
    <mergeCell ref="O6:O8"/>
    <mergeCell ref="P6:P8"/>
    <mergeCell ref="Q6:Q8"/>
    <mergeCell ref="R6:R8"/>
    <mergeCell ref="S6:S8"/>
    <mergeCell ref="O1:O5"/>
    <mergeCell ref="R1:R5"/>
    <mergeCell ref="H4:H5"/>
    <mergeCell ref="I4:I5"/>
    <mergeCell ref="K4:N5"/>
    <mergeCell ref="A6:A8"/>
    <mergeCell ref="B6:B8"/>
  </mergeCells>
  <dataValidations>
    <dataValidation type="list" allowBlank="1" showErrorMessage="1" sqref="L9:M182">
      <formula1>"✔,N"</formula1>
    </dataValidation>
    <dataValidation type="list" allowBlank="1" showErrorMessage="1" sqref="N9:O182">
      <formula1>"0,1,2,3,4"</formula1>
    </dataValidation>
    <dataValidation type="list" allowBlank="1" showErrorMessage="1" sqref="K9:K182 P9:P182">
      <formula1>"Y,N"</formula1>
    </dataValidation>
    <dataValidation type="list" allowBlank="1" showErrorMessage="1" sqref="Q9:Q182">
      <formula1>"Transport from BJ,Meet at KLIA,Other"</formula1>
    </dataValidation>
    <dataValidation type="list" allowBlank="1" showErrorMessage="1" sqref="R9:R182">
      <formula1>"Follow Parents - release on 28th Jun at SIN (1-way only),Follow Coach - release on 28th Jun at SIN (1-way only),Transit through KLIA,Parent pickup from BJ,Parent pickup from KLIA,Other"</formula1>
    </dataValidation>
  </dataValidations>
  <hyperlinks>
    <hyperlink r:id="rId1" ref="B3"/>
  </hyperlink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2"/>
</worksheet>
</file>